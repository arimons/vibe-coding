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documents\엑셀계산\BY26년 분석\건식\Cicca B5\"/>
    </mc:Choice>
  </mc:AlternateContent>
  <xr:revisionPtr revIDLastSave="0" documentId="8_{F2290596-AAA3-4E04-8B08-FA9C5722E2A2}" xr6:coauthVersionLast="47" xr6:coauthVersionMax="47" xr10:uidLastSave="{00000000-0000-0000-0000-000000000000}"/>
  <bookViews>
    <workbookView xWindow="-120" yWindow="-120" windowWidth="29040" windowHeight="15720" tabRatio="605" activeTab="3" xr2:uid="{00000000-000D-0000-FFFF-FFFF00000000}"/>
  </bookViews>
  <sheets>
    <sheet name="결과종합_지방산" sheetId="26" r:id="rId1"/>
    <sheet name="콜레스테롤" sheetId="27" r:id="rId2"/>
    <sheet name="결과종합_세라마이드" sheetId="28" r:id="rId3"/>
    <sheet name="결과종합_Cer 8종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3" i="26" l="1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J6" i="26"/>
  <c r="J5" i="26"/>
  <c r="J4" i="26"/>
  <c r="BU5" i="22" l="1"/>
  <c r="BU6" i="22"/>
  <c r="BU7" i="22"/>
  <c r="BU8" i="22"/>
  <c r="BU9" i="22"/>
  <c r="BU10" i="22"/>
  <c r="BU11" i="22"/>
  <c r="BU12" i="22"/>
  <c r="BU13" i="22"/>
  <c r="BU14" i="22"/>
  <c r="BU15" i="22"/>
  <c r="BU16" i="22"/>
  <c r="BU17" i="22"/>
  <c r="BU18" i="22"/>
  <c r="BU19" i="22"/>
  <c r="BU20" i="22"/>
  <c r="BU21" i="22"/>
  <c r="BU22" i="22"/>
  <c r="BU23" i="22"/>
  <c r="BU24" i="22"/>
  <c r="BU25" i="22"/>
  <c r="BU26" i="22"/>
  <c r="BU27" i="22"/>
  <c r="BU28" i="22"/>
  <c r="BU29" i="22"/>
  <c r="BU30" i="22"/>
  <c r="BU31" i="22"/>
  <c r="BU32" i="22"/>
  <c r="BU33" i="22"/>
  <c r="BU34" i="22"/>
  <c r="BU35" i="22"/>
  <c r="BU36" i="22"/>
  <c r="BU37" i="22"/>
  <c r="BU38" i="22"/>
  <c r="BU39" i="22"/>
  <c r="BU40" i="22"/>
  <c r="BU41" i="22"/>
  <c r="BU42" i="22"/>
  <c r="BU43" i="22"/>
  <c r="BU44" i="22"/>
  <c r="BU45" i="22"/>
  <c r="BU46" i="22"/>
  <c r="BU47" i="22"/>
  <c r="BU48" i="22"/>
  <c r="BU49" i="22"/>
  <c r="BU50" i="22"/>
  <c r="BU51" i="22"/>
  <c r="BU52" i="22"/>
  <c r="BU53" i="22"/>
  <c r="BU54" i="22"/>
  <c r="BU55" i="22"/>
  <c r="BU56" i="22"/>
  <c r="BU57" i="22"/>
  <c r="BU58" i="22"/>
  <c r="BU59" i="22"/>
  <c r="BU60" i="22"/>
  <c r="BU61" i="22"/>
  <c r="BU62" i="22"/>
  <c r="BU63" i="22"/>
  <c r="BN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35" i="22"/>
  <c r="BN36" i="22"/>
  <c r="BN37" i="22"/>
  <c r="BN38" i="22"/>
  <c r="BN39" i="22"/>
  <c r="BN40" i="22"/>
  <c r="BN41" i="22"/>
  <c r="BN42" i="22"/>
  <c r="BN43" i="22"/>
  <c r="BN44" i="22"/>
  <c r="BN45" i="22"/>
  <c r="BN46" i="22"/>
  <c r="BN47" i="22"/>
  <c r="BN48" i="22"/>
  <c r="BN49" i="22"/>
  <c r="BN50" i="22"/>
  <c r="BN51" i="22"/>
  <c r="BN52" i="22"/>
  <c r="BN53" i="22"/>
  <c r="BN54" i="22"/>
  <c r="BN55" i="22"/>
  <c r="BN56" i="22"/>
  <c r="BN57" i="22"/>
  <c r="BN58" i="22"/>
  <c r="BN59" i="22"/>
  <c r="BN60" i="22"/>
  <c r="BN61" i="22"/>
  <c r="BN62" i="22"/>
  <c r="BN63" i="22"/>
  <c r="BH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35" i="22"/>
  <c r="BH36" i="22"/>
  <c r="BH37" i="22"/>
  <c r="BH38" i="22"/>
  <c r="BH39" i="22"/>
  <c r="BH40" i="22"/>
  <c r="BH41" i="22"/>
  <c r="BH42" i="22"/>
  <c r="BH43" i="22"/>
  <c r="BH44" i="22"/>
  <c r="BH45" i="22"/>
  <c r="BH46" i="22"/>
  <c r="BH47" i="22"/>
  <c r="BH48" i="22"/>
  <c r="BH49" i="22"/>
  <c r="BH50" i="22"/>
  <c r="BH51" i="22"/>
  <c r="BH52" i="22"/>
  <c r="BH53" i="22"/>
  <c r="BH54" i="22"/>
  <c r="BH55" i="22"/>
  <c r="BH56" i="22"/>
  <c r="BH57" i="22"/>
  <c r="BH58" i="22"/>
  <c r="BH59" i="22"/>
  <c r="BH60" i="22"/>
  <c r="BH61" i="22"/>
  <c r="BH62" i="22"/>
  <c r="BH63" i="22"/>
  <c r="AX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27" i="22"/>
  <c r="AX28" i="22"/>
  <c r="AX29" i="22"/>
  <c r="AX30" i="22"/>
  <c r="AX31" i="22"/>
  <c r="AX32" i="22"/>
  <c r="AX33" i="22"/>
  <c r="AX34" i="22"/>
  <c r="AX35" i="22"/>
  <c r="AX36" i="22"/>
  <c r="AX37" i="22"/>
  <c r="AX38" i="22"/>
  <c r="AX39" i="22"/>
  <c r="AX40" i="22"/>
  <c r="AX41" i="22"/>
  <c r="AX42" i="22"/>
  <c r="AX43" i="22"/>
  <c r="AX44" i="22"/>
  <c r="AX45" i="22"/>
  <c r="AX46" i="22"/>
  <c r="AX47" i="22"/>
  <c r="AX48" i="22"/>
  <c r="AX49" i="22"/>
  <c r="AX50" i="22"/>
  <c r="AX51" i="22"/>
  <c r="AX52" i="22"/>
  <c r="AX53" i="22"/>
  <c r="AX54" i="22"/>
  <c r="AX55" i="22"/>
  <c r="AX56" i="22"/>
  <c r="AX57" i="22"/>
  <c r="AX58" i="22"/>
  <c r="AX59" i="22"/>
  <c r="AX60" i="22"/>
  <c r="AX61" i="22"/>
  <c r="AX62" i="22"/>
  <c r="AX63" i="22"/>
  <c r="AO5" i="22"/>
  <c r="AO6" i="22"/>
  <c r="AO7" i="22"/>
  <c r="AO8" i="22"/>
  <c r="AO9" i="22"/>
  <c r="AO10" i="22"/>
  <c r="AO11" i="22"/>
  <c r="AO12" i="22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O35" i="22"/>
  <c r="AO36" i="22"/>
  <c r="AO37" i="22"/>
  <c r="AO38" i="22"/>
  <c r="AO39" i="22"/>
  <c r="AO40" i="22"/>
  <c r="AO41" i="22"/>
  <c r="AO42" i="22"/>
  <c r="AO43" i="22"/>
  <c r="AO44" i="22"/>
  <c r="AO45" i="22"/>
  <c r="AO46" i="22"/>
  <c r="AO47" i="22"/>
  <c r="AO48" i="22"/>
  <c r="AO49" i="22"/>
  <c r="AO50" i="22"/>
  <c r="AO51" i="22"/>
  <c r="AO52" i="22"/>
  <c r="AO53" i="22"/>
  <c r="AO54" i="22"/>
  <c r="AO55" i="22"/>
  <c r="AO56" i="22"/>
  <c r="AO57" i="22"/>
  <c r="AO58" i="22"/>
  <c r="AO59" i="22"/>
  <c r="AO60" i="22"/>
  <c r="AO61" i="22"/>
  <c r="AO62" i="22"/>
  <c r="AO63" i="22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V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36" i="22"/>
  <c r="V37" i="22"/>
  <c r="V38" i="22"/>
  <c r="V39" i="22"/>
  <c r="V40" i="22"/>
  <c r="V41" i="22"/>
  <c r="V42" i="22"/>
  <c r="V43" i="22"/>
  <c r="V44" i="22"/>
  <c r="V45" i="22"/>
  <c r="V46" i="22"/>
  <c r="V47" i="22"/>
  <c r="V48" i="22"/>
  <c r="V49" i="22"/>
  <c r="V50" i="22"/>
  <c r="V51" i="22"/>
  <c r="V52" i="22"/>
  <c r="V53" i="22"/>
  <c r="V54" i="22"/>
  <c r="V55" i="22"/>
  <c r="V56" i="22"/>
  <c r="V57" i="22"/>
  <c r="V58" i="22"/>
  <c r="V59" i="22"/>
  <c r="V60" i="22"/>
  <c r="V61" i="22"/>
  <c r="V62" i="22"/>
  <c r="V63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6" i="22"/>
  <c r="L57" i="22"/>
  <c r="L58" i="22"/>
  <c r="L59" i="22"/>
  <c r="L60" i="22"/>
  <c r="L61" i="22"/>
  <c r="L62" i="22"/>
  <c r="L63" i="22"/>
  <c r="BV10" i="22" l="1"/>
  <c r="BV33" i="22"/>
  <c r="BV53" i="22"/>
  <c r="BV41" i="22"/>
  <c r="BV18" i="22"/>
  <c r="BV56" i="22"/>
  <c r="BV20" i="22"/>
  <c r="BV31" i="22"/>
  <c r="BV29" i="22"/>
  <c r="BV5" i="22"/>
  <c r="BV51" i="22"/>
  <c r="BV39" i="22"/>
  <c r="BV16" i="22"/>
  <c r="BV55" i="22"/>
  <c r="BV27" i="22"/>
  <c r="BV22" i="22"/>
  <c r="BV43" i="22"/>
  <c r="BV8" i="22"/>
  <c r="BV49" i="22"/>
  <c r="BV37" i="22"/>
  <c r="BV15" i="22"/>
  <c r="BV47" i="22"/>
  <c r="BV26" i="22"/>
  <c r="BV14" i="22"/>
  <c r="BV13" i="22"/>
  <c r="BV48" i="22"/>
  <c r="BV36" i="22"/>
  <c r="BV46" i="22"/>
  <c r="BV35" i="22"/>
  <c r="BV25" i="22"/>
  <c r="BV45" i="22"/>
  <c r="BV34" i="22"/>
  <c r="BV24" i="22"/>
  <c r="BV12" i="22"/>
  <c r="BV11" i="22"/>
  <c r="BV44" i="22"/>
  <c r="BV23" i="22"/>
  <c r="BV54" i="22"/>
  <c r="BV42" i="22"/>
  <c r="BV32" i="22"/>
  <c r="BV21" i="22"/>
  <c r="BV9" i="22"/>
  <c r="BV52" i="22"/>
  <c r="BV40" i="22"/>
  <c r="BV30" i="22"/>
  <c r="BV19" i="22"/>
  <c r="BV7" i="22"/>
  <c r="BV50" i="22"/>
  <c r="BV38" i="22"/>
  <c r="BV28" i="22"/>
  <c r="BV17" i="22"/>
  <c r="BV6" i="22"/>
  <c r="AF57" i="22" l="1"/>
  <c r="AF58" i="22"/>
  <c r="BV58" i="22" s="1"/>
  <c r="AF59" i="22"/>
  <c r="BV59" i="22" s="1"/>
  <c r="AF60" i="22"/>
  <c r="BV60" i="22" s="1"/>
  <c r="AF61" i="22"/>
  <c r="BV61" i="22" s="1"/>
  <c r="AF62" i="22"/>
  <c r="BV62" i="22" s="1"/>
  <c r="AF63" i="22"/>
  <c r="BV63" i="22" s="1"/>
  <c r="BV57" i="22" l="1"/>
  <c r="BU4" i="22" l="1"/>
  <c r="BN4" i="22"/>
  <c r="BH4" i="22"/>
  <c r="AX4" i="22"/>
  <c r="AO4" i="22"/>
  <c r="AF4" i="22"/>
  <c r="V4" i="22"/>
  <c r="L4" i="22"/>
  <c r="BV4" i="22" s="1"/>
</calcChain>
</file>

<file path=xl/sharedStrings.xml><?xml version="1.0" encoding="utf-8"?>
<sst xmlns="http://schemas.openxmlformats.org/spreadsheetml/2006/main" count="117" uniqueCount="97">
  <si>
    <t xml:space="preserve">Amount </t>
    <phoneticPr fontId="2" type="noConversion"/>
  </si>
  <si>
    <t>C16_NDS</t>
  </si>
  <si>
    <t>C18_NDS</t>
  </si>
  <si>
    <t>C20_NDS</t>
  </si>
  <si>
    <t>C22_NDS</t>
  </si>
  <si>
    <t>C24_NDS</t>
  </si>
  <si>
    <t>C26_NDS</t>
  </si>
  <si>
    <t>C28_NDS</t>
  </si>
  <si>
    <t>C16_NS</t>
  </si>
  <si>
    <t>C22_NS</t>
  </si>
  <si>
    <t>C24_1_NS</t>
  </si>
  <si>
    <t>C24_NS</t>
  </si>
  <si>
    <t>C26_NS</t>
  </si>
  <si>
    <t>C28_NS</t>
  </si>
  <si>
    <t>C16_NP</t>
  </si>
  <si>
    <t>C18_NP</t>
  </si>
  <si>
    <t>C20_NP</t>
  </si>
  <si>
    <t>C22_NP</t>
  </si>
  <si>
    <t>C24_NP</t>
  </si>
  <si>
    <t>C26_NP</t>
  </si>
  <si>
    <t>C16_AP</t>
  </si>
  <si>
    <t>C18_AP</t>
  </si>
  <si>
    <t>C20_AP</t>
  </si>
  <si>
    <t>C22_AP</t>
  </si>
  <si>
    <t>C24_AP</t>
  </si>
  <si>
    <t>C26_AP</t>
  </si>
  <si>
    <t>C18_NS</t>
    <phoneticPr fontId="2" type="noConversion"/>
  </si>
  <si>
    <t>C20_NS</t>
    <phoneticPr fontId="2" type="noConversion"/>
  </si>
  <si>
    <t>적용</t>
    <phoneticPr fontId="2" type="noConversion"/>
  </si>
  <si>
    <t>C28_NP</t>
  </si>
  <si>
    <t>C28_AP</t>
    <phoneticPr fontId="2" type="noConversion"/>
  </si>
  <si>
    <t>C18_AH</t>
    <phoneticPr fontId="2" type="noConversion"/>
  </si>
  <si>
    <t>C20_AH</t>
    <phoneticPr fontId="2" type="noConversion"/>
  </si>
  <si>
    <t>C22_AH</t>
    <phoneticPr fontId="2" type="noConversion"/>
  </si>
  <si>
    <t>C24_AH</t>
    <phoneticPr fontId="2" type="noConversion"/>
  </si>
  <si>
    <t>C26_AH</t>
    <phoneticPr fontId="2" type="noConversion"/>
  </si>
  <si>
    <t>C28_AH</t>
    <phoneticPr fontId="2" type="noConversion"/>
  </si>
  <si>
    <t>C18_NH</t>
    <phoneticPr fontId="2" type="noConversion"/>
  </si>
  <si>
    <t>C16_NH</t>
    <phoneticPr fontId="2" type="noConversion"/>
  </si>
  <si>
    <t>C20_NH</t>
    <phoneticPr fontId="2" type="noConversion"/>
  </si>
  <si>
    <t>C22_NH</t>
    <phoneticPr fontId="2" type="noConversion"/>
  </si>
  <si>
    <t>C24_NH</t>
    <phoneticPr fontId="2" type="noConversion"/>
  </si>
  <si>
    <t>C26_NH</t>
    <phoneticPr fontId="2" type="noConversion"/>
  </si>
  <si>
    <t>C28_NH</t>
    <phoneticPr fontId="2" type="noConversion"/>
  </si>
  <si>
    <t>C30_NH</t>
    <phoneticPr fontId="2" type="noConversion"/>
  </si>
  <si>
    <t>C28_EOP</t>
    <phoneticPr fontId="2" type="noConversion"/>
  </si>
  <si>
    <t>C28_EOS</t>
    <phoneticPr fontId="2" type="noConversion"/>
  </si>
  <si>
    <t>C25_NP</t>
  </si>
  <si>
    <t>C25_AP</t>
  </si>
  <si>
    <t>피험자 No</t>
    <phoneticPr fontId="2" type="noConversion"/>
  </si>
  <si>
    <t>C25_NDS</t>
  </si>
  <si>
    <t>C25_NS</t>
  </si>
  <si>
    <t>C16_AH</t>
    <phoneticPr fontId="2" type="noConversion"/>
  </si>
  <si>
    <t>C25_AH</t>
  </si>
  <si>
    <t>C30_NP</t>
    <phoneticPr fontId="2" type="noConversion"/>
  </si>
  <si>
    <t>C29_EOP</t>
    <phoneticPr fontId="2" type="noConversion"/>
  </si>
  <si>
    <t>C30_EOP</t>
    <phoneticPr fontId="2" type="noConversion"/>
  </si>
  <si>
    <t>C31_EOP</t>
    <phoneticPr fontId="2" type="noConversion"/>
  </si>
  <si>
    <t>C32_EOP</t>
    <phoneticPr fontId="2" type="noConversion"/>
  </si>
  <si>
    <t>C29_EOS</t>
  </si>
  <si>
    <t>C30_EOS</t>
  </si>
  <si>
    <t>C31_EOS</t>
  </si>
  <si>
    <t>C32_EOS</t>
  </si>
  <si>
    <t>C33_EOS</t>
  </si>
  <si>
    <t>C25_NH</t>
  </si>
  <si>
    <t>전박</t>
    <phoneticPr fontId="2" type="noConversion"/>
  </si>
  <si>
    <t xml:space="preserve">섭취전 </t>
    <phoneticPr fontId="2" type="noConversion"/>
  </si>
  <si>
    <t>C20_FA</t>
    <phoneticPr fontId="2" type="noConversion"/>
  </si>
  <si>
    <t>C22_FA</t>
    <phoneticPr fontId="2" type="noConversion"/>
  </si>
  <si>
    <t>C24_FA</t>
    <phoneticPr fontId="2" type="noConversion"/>
  </si>
  <si>
    <t>C26_FA</t>
    <phoneticPr fontId="2" type="noConversion"/>
  </si>
  <si>
    <t>C28_FA</t>
    <phoneticPr fontId="2" type="noConversion"/>
  </si>
  <si>
    <t>C30_FA</t>
    <phoneticPr fontId="2" type="noConversion"/>
  </si>
  <si>
    <t>NDS_total</t>
    <phoneticPr fontId="3" type="noConversion"/>
  </si>
  <si>
    <t>NS_total</t>
    <phoneticPr fontId="3" type="noConversion"/>
  </si>
  <si>
    <t>NS total(ng/mg protein)</t>
    <phoneticPr fontId="2" type="noConversion"/>
  </si>
  <si>
    <t>NDS total(ng/mg protein)</t>
    <phoneticPr fontId="2" type="noConversion"/>
  </si>
  <si>
    <t>AP_total</t>
    <phoneticPr fontId="3" type="noConversion"/>
  </si>
  <si>
    <t>AH_total</t>
    <phoneticPr fontId="3" type="noConversion"/>
  </si>
  <si>
    <t>NH_total</t>
    <phoneticPr fontId="3" type="noConversion"/>
  </si>
  <si>
    <t>NH total(ng/mg protein)</t>
    <phoneticPr fontId="2" type="noConversion"/>
  </si>
  <si>
    <t>AH total(ng/mg protein)</t>
    <phoneticPr fontId="2" type="noConversion"/>
  </si>
  <si>
    <t>AP total(ng/mg protein)</t>
    <phoneticPr fontId="2" type="noConversion"/>
  </si>
  <si>
    <t>NP total(ng/mg protein)</t>
    <phoneticPr fontId="2" type="noConversion"/>
  </si>
  <si>
    <t>EOP total(ng/mg protein)</t>
    <phoneticPr fontId="2" type="noConversion"/>
  </si>
  <si>
    <t>EOP_total</t>
    <phoneticPr fontId="3" type="noConversion"/>
  </si>
  <si>
    <t>EOS_total</t>
    <phoneticPr fontId="3" type="noConversion"/>
  </si>
  <si>
    <t>EOS total(ng/mg protein)</t>
    <phoneticPr fontId="2" type="noConversion"/>
  </si>
  <si>
    <t>Ceramides_total</t>
    <phoneticPr fontId="3" type="noConversion"/>
  </si>
  <si>
    <t>Cer total(ng/mg protein)</t>
    <phoneticPr fontId="2" type="noConversion"/>
  </si>
  <si>
    <t>FA_total</t>
    <phoneticPr fontId="3" type="noConversion"/>
  </si>
  <si>
    <t>FA total(ng/mg protein)</t>
    <phoneticPr fontId="2" type="noConversion"/>
  </si>
  <si>
    <t>Cholesterol</t>
    <phoneticPr fontId="2" type="noConversion"/>
  </si>
  <si>
    <t>(ug/mg protein)</t>
    <phoneticPr fontId="2" type="noConversion"/>
  </si>
  <si>
    <t>NP_total</t>
    <phoneticPr fontId="3" type="noConversion"/>
  </si>
  <si>
    <t>4주 섭취</t>
    <phoneticPr fontId="2" type="noConversion"/>
  </si>
  <si>
    <t>복용기간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</si>
</sst>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555555"/>
      <name val="맑은 고딕"/>
      <family val="3"/>
      <charset val="129"/>
      <scheme val="minor"/>
    </font>
    <font>
      <sz val="10"/>
      <color rgb="FF333333"/>
      <name val="아리따-돋움_TTF_Medium"/>
      <family val="1"/>
      <charset val="129"/>
    </font>
    <font>
      <sz val="10"/>
      <color rgb="FF333333"/>
      <name val="맑은 고딕"/>
      <family val="3"/>
      <charset val="129"/>
      <scheme val="minor"/>
    </font>
    <font>
      <sz val="10"/>
      <color rgb="FF333333"/>
      <name val="맑은 고딕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/>
  </cellStyleXfs>
  <cellXfs count="20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vertical="center"/>
    </xf>
    <xf numFmtId="2" fontId="0" fillId="0" borderId="0" xfId="0" applyNumberForma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>
      <alignment horizontal="center" vertical="center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2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</cellXfs>
  <cellStyles count="3">
    <cellStyle name="常规 5" xfId="2" xr:uid="{00000000-0005-0000-0000-000000000000}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169334</xdr:rowOff>
    </xdr:from>
    <xdr:to>
      <xdr:col>3</xdr:col>
      <xdr:colOff>944122</xdr:colOff>
      <xdr:row>121</xdr:row>
      <xdr:rowOff>126999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189ED6C-E90C-44F9-961E-F82875157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2202" y="24267584"/>
          <a:ext cx="938831" cy="22627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201085</xdr:rowOff>
    </xdr:from>
    <xdr:to>
      <xdr:col>3</xdr:col>
      <xdr:colOff>966931</xdr:colOff>
      <xdr:row>121</xdr:row>
      <xdr:rowOff>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C359F0-9A56-4278-9E9A-1A2B7F99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6892" y="24299335"/>
          <a:ext cx="971164" cy="21039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109</xdr:row>
      <xdr:rowOff>52917</xdr:rowOff>
    </xdr:from>
    <xdr:to>
      <xdr:col>3</xdr:col>
      <xdr:colOff>858531</xdr:colOff>
      <xdr:row>122</xdr:row>
      <xdr:rowOff>137584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EA09494-F64C-4433-8208-8BC54C1DD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88300" y="23941617"/>
          <a:ext cx="861706" cy="2808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169334</xdr:rowOff>
    </xdr:from>
    <xdr:to>
      <xdr:col>3</xdr:col>
      <xdr:colOff>944122</xdr:colOff>
      <xdr:row>121</xdr:row>
      <xdr:rowOff>126999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EB95A0-8811-4124-AA50-55831CF55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2202" y="23010284"/>
          <a:ext cx="938831" cy="22627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201085</xdr:rowOff>
    </xdr:from>
    <xdr:to>
      <xdr:col>3</xdr:col>
      <xdr:colOff>966931</xdr:colOff>
      <xdr:row>121</xdr:row>
      <xdr:rowOff>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F291688-1104-4153-85F5-3780C00A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6892" y="23042035"/>
          <a:ext cx="971164" cy="21039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109</xdr:row>
      <xdr:rowOff>52917</xdr:rowOff>
    </xdr:from>
    <xdr:to>
      <xdr:col>3</xdr:col>
      <xdr:colOff>858531</xdr:colOff>
      <xdr:row>122</xdr:row>
      <xdr:rowOff>137584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B3E3DC-471D-4E84-AEA8-ECCC46B42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88300" y="22684317"/>
          <a:ext cx="861706" cy="28088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158752</xdr:colOff>
      <xdr:row>110</xdr:row>
      <xdr:rowOff>169334</xdr:rowOff>
    </xdr:from>
    <xdr:to>
      <xdr:col>5</xdr:col>
      <xdr:colOff>383208</xdr:colOff>
      <xdr:row>121</xdr:row>
      <xdr:rowOff>126999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0919" y="24108834"/>
          <a:ext cx="944122" cy="2285999"/>
        </a:xfrm>
        <a:prstGeom prst="rect">
          <a:avLst/>
        </a:prstGeom>
      </xdr:spPr>
    </xdr:pic>
    <xdr:clientData/>
  </xdr:twoCellAnchor>
  <xdr:twoCellAnchor editAs="oneCell">
    <xdr:from>
      <xdr:col>6</xdr:col>
      <xdr:colOff>275167</xdr:colOff>
      <xdr:row>110</xdr:row>
      <xdr:rowOff>201085</xdr:rowOff>
    </xdr:from>
    <xdr:to>
      <xdr:col>7</xdr:col>
      <xdr:colOff>522431</xdr:colOff>
      <xdr:row>121</xdr:row>
      <xdr:rowOff>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6667" y="24140585"/>
          <a:ext cx="966931" cy="2127250"/>
        </a:xfrm>
        <a:prstGeom prst="rect">
          <a:avLst/>
        </a:prstGeom>
      </xdr:spPr>
    </xdr:pic>
    <xdr:clientData/>
  </xdr:twoCellAnchor>
  <xdr:twoCellAnchor editAs="oneCell">
    <xdr:from>
      <xdr:col>8</xdr:col>
      <xdr:colOff>349250</xdr:colOff>
      <xdr:row>109</xdr:row>
      <xdr:rowOff>52917</xdr:rowOff>
    </xdr:from>
    <xdr:to>
      <xdr:col>9</xdr:col>
      <xdr:colOff>477531</xdr:colOff>
      <xdr:row>122</xdr:row>
      <xdr:rowOff>137584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0667" y="23780750"/>
          <a:ext cx="858531" cy="2836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1E64-6380-493D-8FE9-3922F6B72349}">
  <dimension ref="A2:O86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:B34"/>
    </sheetView>
  </sheetViews>
  <sheetFormatPr defaultRowHeight="16.5"/>
  <cols>
    <col min="1" max="1" width="7.375" customWidth="1"/>
    <col min="2" max="2" width="43.25" bestFit="1" customWidth="1"/>
    <col min="3" max="3" width="9.375" customWidth="1"/>
    <col min="4" max="5" width="9.25" bestFit="1" customWidth="1"/>
    <col min="6" max="6" width="9.875" bestFit="1" customWidth="1"/>
    <col min="7" max="8" width="9.875" customWidth="1"/>
    <col min="9" max="9" width="9.875" bestFit="1" customWidth="1"/>
    <col min="10" max="10" width="19.875" customWidth="1"/>
  </cols>
  <sheetData>
    <row r="2" spans="1:10">
      <c r="J2" s="9" t="s">
        <v>91</v>
      </c>
    </row>
    <row r="3" spans="1:10">
      <c r="A3" t="s">
        <v>28</v>
      </c>
      <c r="B3" t="s">
        <v>96</v>
      </c>
      <c r="C3" s="2" t="s">
        <v>49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72</v>
      </c>
      <c r="J3" s="10" t="s">
        <v>90</v>
      </c>
    </row>
    <row r="4" spans="1:10">
      <c r="A4" t="s">
        <v>65</v>
      </c>
      <c r="B4" t="s">
        <v>66</v>
      </c>
      <c r="C4" s="11">
        <v>1</v>
      </c>
      <c r="D4" s="6">
        <v>191.10353924454955</v>
      </c>
      <c r="E4" s="6">
        <v>252.55600934637789</v>
      </c>
      <c r="F4" s="6">
        <v>1130.9784869322646</v>
      </c>
      <c r="G4" s="6">
        <v>1332.3570908719239</v>
      </c>
      <c r="H4" s="6">
        <v>190.59095197652579</v>
      </c>
      <c r="I4" s="6">
        <v>62.261989564310987</v>
      </c>
      <c r="J4" s="8">
        <f t="shared" ref="J4:J63" si="0">SUM(D4:I4)</f>
        <v>3159.8480679359532</v>
      </c>
    </row>
    <row r="5" spans="1:10">
      <c r="C5" s="11">
        <v>2</v>
      </c>
      <c r="D5" s="6">
        <v>129.8435223005562</v>
      </c>
      <c r="E5" s="6">
        <v>230.22746032582361</v>
      </c>
      <c r="F5" s="6">
        <v>1021.3904209010136</v>
      </c>
      <c r="G5" s="6">
        <v>1047.3801362778825</v>
      </c>
      <c r="H5" s="6">
        <v>141.76563562911895</v>
      </c>
      <c r="I5" s="6">
        <v>30.626474538876277</v>
      </c>
      <c r="J5" s="8">
        <f t="shared" si="0"/>
        <v>2601.233649973271</v>
      </c>
    </row>
    <row r="6" spans="1:10">
      <c r="C6" s="11">
        <v>3</v>
      </c>
      <c r="D6" s="6">
        <v>576.39444811252349</v>
      </c>
      <c r="E6" s="6">
        <v>701.67454379585922</v>
      </c>
      <c r="F6" s="6">
        <v>2672.0594407847952</v>
      </c>
      <c r="G6" s="6">
        <v>2901.1205349707675</v>
      </c>
      <c r="H6" s="6">
        <v>384.68652386000088</v>
      </c>
      <c r="I6" s="6">
        <v>77.207137678888628</v>
      </c>
      <c r="J6" s="8">
        <f t="shared" si="0"/>
        <v>7313.1426292028355</v>
      </c>
    </row>
    <row r="7" spans="1:10">
      <c r="C7" s="11">
        <v>5</v>
      </c>
      <c r="D7" s="6">
        <v>202.54998364880234</v>
      </c>
      <c r="E7" s="6">
        <v>380.31512594060302</v>
      </c>
      <c r="F7" s="6">
        <v>1853.9928689415256</v>
      </c>
      <c r="G7" s="6">
        <v>2086.8541437213835</v>
      </c>
      <c r="H7" s="6">
        <v>317.6154392787995</v>
      </c>
      <c r="I7" s="6">
        <v>69.611553466896652</v>
      </c>
      <c r="J7" s="8">
        <f t="shared" si="0"/>
        <v>4910.9391149980111</v>
      </c>
    </row>
    <row r="8" spans="1:10">
      <c r="C8" s="11">
        <v>6</v>
      </c>
      <c r="D8" s="6">
        <v>143.2720270924892</v>
      </c>
      <c r="E8" s="6">
        <v>188.31833825540539</v>
      </c>
      <c r="F8" s="6">
        <v>788.03279218202738</v>
      </c>
      <c r="G8" s="6">
        <v>745.94636796985787</v>
      </c>
      <c r="H8" s="6">
        <v>108.11760759312487</v>
      </c>
      <c r="I8" s="6">
        <v>26.633498090415795</v>
      </c>
      <c r="J8" s="8">
        <f t="shared" si="0"/>
        <v>2000.3206311833205</v>
      </c>
    </row>
    <row r="9" spans="1:10">
      <c r="C9" s="11">
        <v>7</v>
      </c>
      <c r="D9" s="6">
        <v>144.92868960596996</v>
      </c>
      <c r="E9" s="6">
        <v>315.23134796058395</v>
      </c>
      <c r="F9" s="6">
        <v>1663.4623365449643</v>
      </c>
      <c r="G9" s="6">
        <v>2266.8485387266719</v>
      </c>
      <c r="H9" s="6">
        <v>399.02651452540476</v>
      </c>
      <c r="I9" s="6">
        <v>90.804146853281651</v>
      </c>
      <c r="J9" s="8">
        <f t="shared" si="0"/>
        <v>4880.3015742168764</v>
      </c>
    </row>
    <row r="10" spans="1:10">
      <c r="B10" s="14"/>
      <c r="C10" s="11">
        <v>8</v>
      </c>
      <c r="D10" s="6">
        <v>73.347508333400398</v>
      </c>
      <c r="E10" s="6">
        <v>117.64357618817853</v>
      </c>
      <c r="F10" s="6">
        <v>585.64474517136159</v>
      </c>
      <c r="G10" s="6">
        <v>655.15443905801783</v>
      </c>
      <c r="H10" s="6">
        <v>80.57485616906871</v>
      </c>
      <c r="I10" s="6">
        <v>11.0971246199046</v>
      </c>
      <c r="J10" s="8">
        <f t="shared" si="0"/>
        <v>1523.4622495399317</v>
      </c>
    </row>
    <row r="11" spans="1:10">
      <c r="C11" s="11">
        <v>9</v>
      </c>
      <c r="D11" s="6">
        <v>191.56066254372109</v>
      </c>
      <c r="E11" s="6">
        <v>414.95620041297792</v>
      </c>
      <c r="F11" s="6">
        <v>1315.9267390064176</v>
      </c>
      <c r="G11" s="6">
        <v>1244.6695669927303</v>
      </c>
      <c r="H11" s="6">
        <v>192.74835738118927</v>
      </c>
      <c r="I11" s="6">
        <v>40.834225268671744</v>
      </c>
      <c r="J11" s="8">
        <f t="shared" si="0"/>
        <v>3400.6957516057078</v>
      </c>
    </row>
    <row r="12" spans="1:10">
      <c r="C12" s="11">
        <v>10</v>
      </c>
      <c r="D12" s="6">
        <v>197.71363807662783</v>
      </c>
      <c r="E12" s="6">
        <v>372.27523428056122</v>
      </c>
      <c r="F12" s="6">
        <v>1255.0484975526606</v>
      </c>
      <c r="G12" s="6">
        <v>1673.0248699067449</v>
      </c>
      <c r="H12" s="6">
        <v>261.7201683560628</v>
      </c>
      <c r="I12" s="6">
        <v>54.963764725961482</v>
      </c>
      <c r="J12" s="8">
        <f t="shared" si="0"/>
        <v>3814.7461728986186</v>
      </c>
    </row>
    <row r="13" spans="1:10">
      <c r="C13" s="11">
        <v>11</v>
      </c>
      <c r="D13" s="6">
        <v>338.64652693190544</v>
      </c>
      <c r="E13" s="6">
        <v>567.23644680691223</v>
      </c>
      <c r="F13" s="6">
        <v>2224.2110104586232</v>
      </c>
      <c r="G13" s="6">
        <v>2644.037109266384</v>
      </c>
      <c r="H13" s="6">
        <v>355.9559515828015</v>
      </c>
      <c r="I13" s="6">
        <v>90.800883469492561</v>
      </c>
      <c r="J13" s="8">
        <f t="shared" si="0"/>
        <v>6220.8879285161192</v>
      </c>
    </row>
    <row r="14" spans="1:10">
      <c r="C14" s="11">
        <v>12</v>
      </c>
      <c r="D14" s="6">
        <v>196.3892251656174</v>
      </c>
      <c r="E14" s="6">
        <v>317.85062727525366</v>
      </c>
      <c r="F14" s="6">
        <v>1306.7158367359741</v>
      </c>
      <c r="G14" s="6">
        <v>1594.5216665052076</v>
      </c>
      <c r="H14" s="6">
        <v>261.25268052769025</v>
      </c>
      <c r="I14" s="6">
        <v>53.765925270591147</v>
      </c>
      <c r="J14" s="8">
        <f t="shared" si="0"/>
        <v>3730.4959614803342</v>
      </c>
    </row>
    <row r="15" spans="1:10">
      <c r="C15" s="11">
        <v>13</v>
      </c>
      <c r="D15" s="6">
        <v>383.78431623415912</v>
      </c>
      <c r="E15" s="6">
        <v>499.88688930617525</v>
      </c>
      <c r="F15" s="6">
        <v>1889.5562444613663</v>
      </c>
      <c r="G15" s="6">
        <v>2054.0621812511467</v>
      </c>
      <c r="H15" s="6">
        <v>261.87283378912821</v>
      </c>
      <c r="I15" s="6">
        <v>49.178880197639749</v>
      </c>
      <c r="J15" s="8">
        <f t="shared" si="0"/>
        <v>5138.3413452396153</v>
      </c>
    </row>
    <row r="16" spans="1:10">
      <c r="C16" s="11">
        <v>14</v>
      </c>
      <c r="D16" s="6">
        <v>142.85869709471038</v>
      </c>
      <c r="E16" s="6">
        <v>350.64537655430803</v>
      </c>
      <c r="F16" s="6">
        <v>1238.3151375275347</v>
      </c>
      <c r="G16" s="6">
        <v>1302.9280191172338</v>
      </c>
      <c r="H16" s="6">
        <v>180.46580268955475</v>
      </c>
      <c r="I16" s="6">
        <v>35.714797881440091</v>
      </c>
      <c r="J16" s="8">
        <f t="shared" si="0"/>
        <v>3250.9278308647818</v>
      </c>
    </row>
    <row r="17" spans="2:10">
      <c r="C17" s="11">
        <v>15</v>
      </c>
      <c r="D17" s="6">
        <v>179.0074271831036</v>
      </c>
      <c r="E17" s="6">
        <v>356.1827469194389</v>
      </c>
      <c r="F17" s="6">
        <v>825.97885365338539</v>
      </c>
      <c r="G17" s="6">
        <v>434.01467643794098</v>
      </c>
      <c r="H17" s="6">
        <v>29.49565114595735</v>
      </c>
      <c r="I17" s="6">
        <v>3.1868216786189323</v>
      </c>
      <c r="J17" s="8">
        <f t="shared" si="0"/>
        <v>1827.8661770184451</v>
      </c>
    </row>
    <row r="18" spans="2:10">
      <c r="C18" s="11">
        <v>16</v>
      </c>
      <c r="D18" s="6">
        <v>208.26295515884826</v>
      </c>
      <c r="E18" s="6">
        <v>336.38390151220472</v>
      </c>
      <c r="F18" s="6">
        <v>1543.5457663649813</v>
      </c>
      <c r="G18" s="6">
        <v>1795.4402637671385</v>
      </c>
      <c r="H18" s="6">
        <v>232.64611061259205</v>
      </c>
      <c r="I18" s="6">
        <v>39.401936679641906</v>
      </c>
      <c r="J18" s="8">
        <f t="shared" si="0"/>
        <v>4155.680934095406</v>
      </c>
    </row>
    <row r="19" spans="2:10">
      <c r="C19" s="11">
        <v>17</v>
      </c>
      <c r="D19" s="6">
        <v>175.32862314287087</v>
      </c>
      <c r="E19" s="6">
        <v>333.01310371043479</v>
      </c>
      <c r="F19" s="6">
        <v>1496.9121258934661</v>
      </c>
      <c r="G19" s="6">
        <v>1679.6678904137891</v>
      </c>
      <c r="H19" s="6">
        <v>239.71397066097902</v>
      </c>
      <c r="I19" s="6">
        <v>47.696719726268967</v>
      </c>
      <c r="J19" s="8">
        <f t="shared" si="0"/>
        <v>3972.3324335478092</v>
      </c>
    </row>
    <row r="20" spans="2:10">
      <c r="C20" s="11">
        <v>18</v>
      </c>
      <c r="D20" s="6">
        <v>417.7951229373831</v>
      </c>
      <c r="E20" s="6">
        <v>648.86886402551909</v>
      </c>
      <c r="F20" s="6">
        <v>2574.0256989372524</v>
      </c>
      <c r="G20" s="6">
        <v>2622.3091301450336</v>
      </c>
      <c r="H20" s="6">
        <v>360.91549368005411</v>
      </c>
      <c r="I20" s="6">
        <v>85.534291795813488</v>
      </c>
      <c r="J20" s="8">
        <f t="shared" si="0"/>
        <v>6709.4486015210559</v>
      </c>
    </row>
    <row r="21" spans="2:10">
      <c r="C21" s="11">
        <v>19</v>
      </c>
      <c r="D21" s="6">
        <v>352.69829805691535</v>
      </c>
      <c r="E21" s="6">
        <v>913.04377726682446</v>
      </c>
      <c r="F21" s="6">
        <v>2820.3303695922064</v>
      </c>
      <c r="G21" s="6">
        <v>3068.2462588943868</v>
      </c>
      <c r="H21" s="6">
        <v>444.12280453870039</v>
      </c>
      <c r="I21" s="6">
        <v>69.831189968145026</v>
      </c>
      <c r="J21" s="8">
        <f t="shared" si="0"/>
        <v>7668.2726983171788</v>
      </c>
    </row>
    <row r="22" spans="2:10">
      <c r="C22" s="11">
        <v>20</v>
      </c>
      <c r="D22" s="6">
        <v>283.50932904131184</v>
      </c>
      <c r="E22" s="6">
        <v>617.05203596140461</v>
      </c>
      <c r="F22" s="6">
        <v>2221.6744529738771</v>
      </c>
      <c r="G22" s="6">
        <v>2927.944855710949</v>
      </c>
      <c r="H22" s="6">
        <v>376.67439373591367</v>
      </c>
      <c r="I22" s="6">
        <v>63.021374823621763</v>
      </c>
      <c r="J22" s="8">
        <f t="shared" si="0"/>
        <v>6489.8764422470776</v>
      </c>
    </row>
    <row r="23" spans="2:10">
      <c r="C23" s="11">
        <v>21</v>
      </c>
      <c r="D23" s="6">
        <v>238.11527440364281</v>
      </c>
      <c r="E23" s="6">
        <v>336.1910405118673</v>
      </c>
      <c r="F23" s="6">
        <v>1304.4241029460341</v>
      </c>
      <c r="G23" s="6">
        <v>1500.1956191048662</v>
      </c>
      <c r="H23" s="6">
        <v>209.56369729282545</v>
      </c>
      <c r="I23" s="6">
        <v>48.353899825665579</v>
      </c>
      <c r="J23" s="8">
        <f t="shared" si="0"/>
        <v>3636.8436340849012</v>
      </c>
    </row>
    <row r="24" spans="2:10">
      <c r="C24" s="11">
        <v>22</v>
      </c>
      <c r="D24" s="6">
        <v>287.698386030785</v>
      </c>
      <c r="E24" s="6">
        <v>487.51149886815909</v>
      </c>
      <c r="F24" s="6">
        <v>1410.9823899515868</v>
      </c>
      <c r="G24" s="6">
        <v>1336.2445852307101</v>
      </c>
      <c r="H24" s="6">
        <v>196.1498295787091</v>
      </c>
      <c r="I24" s="6">
        <v>44.516532859369356</v>
      </c>
      <c r="J24" s="8">
        <f t="shared" si="0"/>
        <v>3763.1032225193194</v>
      </c>
    </row>
    <row r="25" spans="2:10">
      <c r="C25" s="11">
        <v>23</v>
      </c>
      <c r="D25" s="6">
        <v>214.13973515802448</v>
      </c>
      <c r="E25" s="6">
        <v>339.19964442777041</v>
      </c>
      <c r="F25" s="6">
        <v>1162.7685460173493</v>
      </c>
      <c r="G25" s="6">
        <v>1313.8752864505248</v>
      </c>
      <c r="H25" s="6">
        <v>184.83731026981434</v>
      </c>
      <c r="I25" s="6">
        <v>33.580200505104898</v>
      </c>
      <c r="J25" s="8">
        <f t="shared" si="0"/>
        <v>3248.4007228285882</v>
      </c>
    </row>
    <row r="26" spans="2:10">
      <c r="C26" s="11">
        <v>24</v>
      </c>
      <c r="D26" s="6">
        <v>224.94994047215906</v>
      </c>
      <c r="E26" s="6">
        <v>374.07146619071187</v>
      </c>
      <c r="F26" s="6">
        <v>1570.6202893662087</v>
      </c>
      <c r="G26" s="6">
        <v>1806.5855128656958</v>
      </c>
      <c r="H26" s="6">
        <v>279.39541856399023</v>
      </c>
      <c r="I26" s="6">
        <v>59.733934601695353</v>
      </c>
      <c r="J26" s="8">
        <f t="shared" si="0"/>
        <v>4315.3565620604613</v>
      </c>
    </row>
    <row r="27" spans="2:10">
      <c r="B27" s="15"/>
      <c r="C27" s="11">
        <v>26</v>
      </c>
      <c r="D27" s="6">
        <v>224.59621024707664</v>
      </c>
      <c r="E27" s="6">
        <v>492.29309105644717</v>
      </c>
      <c r="F27" s="6">
        <v>1733.2784926945997</v>
      </c>
      <c r="G27" s="6">
        <v>1790.0137249253144</v>
      </c>
      <c r="H27" s="6">
        <v>254.34483698531938</v>
      </c>
      <c r="I27" s="6">
        <v>41.630366570321414</v>
      </c>
      <c r="J27" s="8">
        <f t="shared" si="0"/>
        <v>4536.1567224790797</v>
      </c>
    </row>
    <row r="28" spans="2:10">
      <c r="B28" s="15"/>
      <c r="C28" s="11">
        <v>27</v>
      </c>
      <c r="D28" s="6">
        <v>160.08166286581371</v>
      </c>
      <c r="E28" s="6">
        <v>299.64621523039403</v>
      </c>
      <c r="F28" s="6">
        <v>1229.3712937950295</v>
      </c>
      <c r="G28" s="6">
        <v>1505.4519695243605</v>
      </c>
      <c r="H28" s="6">
        <v>231.64336440311547</v>
      </c>
      <c r="I28" s="6">
        <v>49.201527870232326</v>
      </c>
      <c r="J28" s="8">
        <f t="shared" si="0"/>
        <v>3475.3960336889459</v>
      </c>
    </row>
    <row r="29" spans="2:10">
      <c r="B29" s="15"/>
      <c r="C29" s="11">
        <v>28</v>
      </c>
      <c r="D29" s="6">
        <v>249.7406624460167</v>
      </c>
      <c r="E29" s="6">
        <v>488.24086861663591</v>
      </c>
      <c r="F29" s="6">
        <v>1345.3983179003903</v>
      </c>
      <c r="G29" s="6">
        <v>1179.5076095481693</v>
      </c>
      <c r="H29" s="6">
        <v>154.88167130401706</v>
      </c>
      <c r="I29" s="6">
        <v>23.608472581961454</v>
      </c>
      <c r="J29" s="8">
        <f t="shared" si="0"/>
        <v>3441.3776023971909</v>
      </c>
    </row>
    <row r="30" spans="2:10">
      <c r="B30" s="15"/>
      <c r="C30" s="11">
        <v>29</v>
      </c>
      <c r="D30" s="6">
        <v>933.34215463592193</v>
      </c>
      <c r="E30" s="6">
        <v>1235.6023687879142</v>
      </c>
      <c r="F30" s="6">
        <v>2833.8184984524205</v>
      </c>
      <c r="G30" s="6">
        <v>3681.8623281163796</v>
      </c>
      <c r="H30" s="6">
        <v>433.29263515092185</v>
      </c>
      <c r="I30" s="6">
        <v>79.606505553962563</v>
      </c>
      <c r="J30" s="8">
        <f t="shared" si="0"/>
        <v>9197.5244906975204</v>
      </c>
    </row>
    <row r="31" spans="2:10">
      <c r="C31" s="11">
        <v>30</v>
      </c>
      <c r="D31" s="6">
        <v>465.93093035698291</v>
      </c>
      <c r="E31" s="6">
        <v>849.86132234978015</v>
      </c>
      <c r="F31" s="6">
        <v>2666.4389604196408</v>
      </c>
      <c r="G31" s="6">
        <v>3086.0714973068893</v>
      </c>
      <c r="H31" s="6">
        <v>439.95973511255369</v>
      </c>
      <c r="I31" s="6">
        <v>92.053404871711422</v>
      </c>
      <c r="J31" s="8">
        <f t="shared" si="0"/>
        <v>7600.315850417559</v>
      </c>
    </row>
    <row r="32" spans="2:10">
      <c r="B32" s="16"/>
      <c r="C32" s="11">
        <v>31</v>
      </c>
      <c r="D32" s="6">
        <v>716.71677405231765</v>
      </c>
      <c r="E32" s="6">
        <v>1422.5832910885422</v>
      </c>
      <c r="F32" s="6">
        <v>4165.6656095119433</v>
      </c>
      <c r="G32" s="6">
        <v>5653.0694001798965</v>
      </c>
      <c r="H32" s="6">
        <v>892.42040825762683</v>
      </c>
      <c r="I32" s="6">
        <v>184.2350078831347</v>
      </c>
      <c r="J32" s="8">
        <f t="shared" si="0"/>
        <v>13034.690490973462</v>
      </c>
    </row>
    <row r="33" spans="2:10">
      <c r="B33" s="15"/>
      <c r="C33" s="11">
        <v>32</v>
      </c>
      <c r="D33" s="6">
        <v>815.69080302013174</v>
      </c>
      <c r="E33" s="6">
        <v>1104.278219067513</v>
      </c>
      <c r="F33" s="6">
        <v>2807.1656130645388</v>
      </c>
      <c r="G33" s="6">
        <v>3156.6027378832596</v>
      </c>
      <c r="H33" s="6">
        <v>391.56278630803325</v>
      </c>
      <c r="I33" s="6">
        <v>83.326688598345001</v>
      </c>
      <c r="J33" s="8">
        <f t="shared" si="0"/>
        <v>8358.6268479418213</v>
      </c>
    </row>
    <row r="34" spans="2:10">
      <c r="B34" s="17" t="s">
        <v>95</v>
      </c>
      <c r="C34" s="11">
        <v>1</v>
      </c>
      <c r="D34" s="6">
        <v>591.84164444093085</v>
      </c>
      <c r="E34" s="6">
        <v>806.14998260115738</v>
      </c>
      <c r="F34" s="6">
        <v>2965.2796017698665</v>
      </c>
      <c r="G34" s="6">
        <v>3868.0826969608147</v>
      </c>
      <c r="H34" s="6">
        <v>598.84857434002697</v>
      </c>
      <c r="I34" s="6">
        <v>149.01512807552152</v>
      </c>
      <c r="J34" s="8">
        <f>SUM(D34:I34)</f>
        <v>8979.2176281883185</v>
      </c>
    </row>
    <row r="35" spans="2:10">
      <c r="C35" s="11">
        <v>2</v>
      </c>
      <c r="D35" s="6">
        <v>928.72098379354156</v>
      </c>
      <c r="E35" s="6">
        <v>1420.4128225194454</v>
      </c>
      <c r="F35" s="6">
        <v>3659.7642385368163</v>
      </c>
      <c r="G35" s="6">
        <v>6224.9113153444086</v>
      </c>
      <c r="H35" s="6">
        <v>1220.6672344756291</v>
      </c>
      <c r="I35" s="6">
        <v>392.01152256460489</v>
      </c>
      <c r="J35" s="8">
        <f>SUM(D35:I35)</f>
        <v>13846.488117234447</v>
      </c>
    </row>
    <row r="36" spans="2:10">
      <c r="B36" s="15"/>
      <c r="C36" s="11">
        <v>3</v>
      </c>
      <c r="D36" s="6">
        <v>540.74775593349148</v>
      </c>
      <c r="E36" s="6">
        <v>587.015955894179</v>
      </c>
      <c r="F36" s="6">
        <v>1944.9743529214736</v>
      </c>
      <c r="G36" s="6">
        <v>2581.4033439546342</v>
      </c>
      <c r="H36" s="6">
        <v>389.74534030121919</v>
      </c>
      <c r="I36" s="6">
        <v>133.70072987126656</v>
      </c>
      <c r="J36" s="8">
        <f>SUM(D36:I36)</f>
        <v>6177.5874788762649</v>
      </c>
    </row>
    <row r="37" spans="2:10">
      <c r="B37" s="15"/>
      <c r="C37" s="11">
        <v>5</v>
      </c>
      <c r="D37" s="6">
        <v>792.24567178248014</v>
      </c>
      <c r="E37" s="6">
        <v>1136.4743560253844</v>
      </c>
      <c r="F37" s="6">
        <v>5367.6046693462522</v>
      </c>
      <c r="G37" s="6">
        <v>7110.496056746556</v>
      </c>
      <c r="H37" s="6">
        <v>1345.8874967903871</v>
      </c>
      <c r="I37" s="6">
        <v>372.13227672015842</v>
      </c>
      <c r="J37" s="8">
        <f>SUM(D37:I37)</f>
        <v>16124.840527411217</v>
      </c>
    </row>
    <row r="38" spans="2:10">
      <c r="B38" s="15"/>
      <c r="C38" s="11">
        <v>6</v>
      </c>
      <c r="D38" s="6">
        <v>1066.4102129982386</v>
      </c>
      <c r="E38" s="6">
        <v>1616.9791931916373</v>
      </c>
      <c r="F38" s="6">
        <v>3818.1205353259843</v>
      </c>
      <c r="G38" s="6">
        <v>4789.7559808197257</v>
      </c>
      <c r="H38" s="6">
        <v>771.41929877202585</v>
      </c>
      <c r="I38" s="6">
        <v>181.80277614961955</v>
      </c>
      <c r="J38" s="8">
        <f>SUM(D38:I38)</f>
        <v>12244.487997257231</v>
      </c>
    </row>
    <row r="39" spans="2:10">
      <c r="B39" s="15"/>
      <c r="C39" s="11">
        <v>7</v>
      </c>
      <c r="D39" s="6">
        <v>877.75832430640355</v>
      </c>
      <c r="E39" s="6">
        <v>1429.1065362782306</v>
      </c>
      <c r="F39" s="6">
        <v>4068.397492028615</v>
      </c>
      <c r="G39" s="6">
        <v>6477.0557692528455</v>
      </c>
      <c r="H39" s="6">
        <v>1235.8478928517666</v>
      </c>
      <c r="I39" s="6">
        <v>343.77824074788464</v>
      </c>
      <c r="J39" s="8">
        <f>SUM(D39:I39)</f>
        <v>14431.944255465745</v>
      </c>
    </row>
    <row r="40" spans="2:10">
      <c r="B40" s="15"/>
      <c r="C40" s="11">
        <v>8</v>
      </c>
      <c r="D40" s="6">
        <v>988.87763569025913</v>
      </c>
      <c r="E40" s="6">
        <v>1718.3584089795415</v>
      </c>
      <c r="F40" s="6">
        <v>4976.3780709039911</v>
      </c>
      <c r="G40" s="6">
        <v>7968.7894688098686</v>
      </c>
      <c r="H40" s="6">
        <v>1483.0203625103968</v>
      </c>
      <c r="I40" s="6">
        <v>257.46313086001959</v>
      </c>
      <c r="J40" s="8">
        <f>SUM(D40:I40)</f>
        <v>17392.887077754076</v>
      </c>
    </row>
    <row r="41" spans="2:10">
      <c r="B41" s="15"/>
      <c r="C41" s="11">
        <v>9</v>
      </c>
      <c r="D41" s="6">
        <v>295.67162674570437</v>
      </c>
      <c r="E41" s="6">
        <v>489.90963785302233</v>
      </c>
      <c r="F41" s="6">
        <v>1535.2632170429069</v>
      </c>
      <c r="G41" s="6">
        <v>2139.5143457043073</v>
      </c>
      <c r="H41" s="6">
        <v>403.31683247629132</v>
      </c>
      <c r="I41" s="6">
        <v>132.7245504949031</v>
      </c>
      <c r="J41" s="8">
        <f>SUM(D41:I41)</f>
        <v>4996.4002103171351</v>
      </c>
    </row>
    <row r="42" spans="2:10">
      <c r="B42" s="15"/>
      <c r="C42" s="11">
        <v>10</v>
      </c>
      <c r="D42" s="6">
        <v>316.84491323318605</v>
      </c>
      <c r="E42" s="6">
        <v>833.96185031244397</v>
      </c>
      <c r="F42" s="6">
        <v>2953.3697560691503</v>
      </c>
      <c r="G42" s="6">
        <v>5073.1308334194891</v>
      </c>
      <c r="H42" s="6">
        <v>1112.9329369826025</v>
      </c>
      <c r="I42" s="6">
        <v>400.05708424909568</v>
      </c>
      <c r="J42" s="8">
        <f>SUM(D42:I42)</f>
        <v>10690.297374265969</v>
      </c>
    </row>
    <row r="43" spans="2:10">
      <c r="B43" s="15"/>
      <c r="C43" s="11">
        <v>11</v>
      </c>
      <c r="D43" s="6">
        <v>382.66247559688219</v>
      </c>
      <c r="E43" s="6">
        <v>687.14087585118261</v>
      </c>
      <c r="F43" s="6">
        <v>2881.3976532064271</v>
      </c>
      <c r="G43" s="6">
        <v>4572.8721676131963</v>
      </c>
      <c r="H43" s="6">
        <v>785.98354896630065</v>
      </c>
      <c r="I43" s="6">
        <v>216.92021477761759</v>
      </c>
      <c r="J43" s="8">
        <f>SUM(D43:I43)</f>
        <v>9526.9769360116061</v>
      </c>
    </row>
    <row r="44" spans="2:10">
      <c r="B44" s="15"/>
      <c r="C44" s="11">
        <v>12</v>
      </c>
      <c r="D44" s="6">
        <v>333.39792955815363</v>
      </c>
      <c r="E44" s="6">
        <v>543.02541130333202</v>
      </c>
      <c r="F44" s="6">
        <v>2183.7176272154329</v>
      </c>
      <c r="G44" s="6">
        <v>3064.8444508123284</v>
      </c>
      <c r="H44" s="6">
        <v>550.38837989679939</v>
      </c>
      <c r="I44" s="6">
        <v>191.93764681586791</v>
      </c>
      <c r="J44" s="8">
        <f>SUM(D44:I44)</f>
        <v>6867.3114456019139</v>
      </c>
    </row>
    <row r="45" spans="2:10">
      <c r="B45" s="15"/>
      <c r="C45" s="11">
        <v>13</v>
      </c>
      <c r="D45" s="6">
        <v>554.9845041448408</v>
      </c>
      <c r="E45" s="6">
        <v>953.08532634465371</v>
      </c>
      <c r="F45" s="6">
        <v>3920.1161228804549</v>
      </c>
      <c r="G45" s="6">
        <v>7040.6425213643142</v>
      </c>
      <c r="H45" s="6">
        <v>1426.582550019727</v>
      </c>
      <c r="I45" s="6">
        <v>476.38669404797287</v>
      </c>
      <c r="J45" s="8">
        <f>SUM(D45:I45)</f>
        <v>14371.797718801963</v>
      </c>
    </row>
    <row r="46" spans="2:10">
      <c r="B46" s="15"/>
      <c r="C46" s="11">
        <v>14</v>
      </c>
      <c r="D46" s="6">
        <v>366.33928493946485</v>
      </c>
      <c r="E46" s="6">
        <v>727.51031237859797</v>
      </c>
      <c r="F46" s="6">
        <v>2523.317578494411</v>
      </c>
      <c r="G46" s="6">
        <v>3891.1343072619834</v>
      </c>
      <c r="H46" s="6">
        <v>740.95238560734629</v>
      </c>
      <c r="I46" s="6">
        <v>180.53848220188573</v>
      </c>
      <c r="J46" s="8">
        <f>SUM(D46:I46)</f>
        <v>8429.7923508836902</v>
      </c>
    </row>
    <row r="47" spans="2:10">
      <c r="B47" s="15"/>
      <c r="C47" s="11">
        <v>15</v>
      </c>
      <c r="D47" s="6">
        <v>546.33299423786605</v>
      </c>
      <c r="E47" s="6">
        <v>1127.7031686344719</v>
      </c>
      <c r="F47" s="6">
        <v>3710.281502123154</v>
      </c>
      <c r="G47" s="6">
        <v>4294.6966589196318</v>
      </c>
      <c r="H47" s="6">
        <v>873.75563586059047</v>
      </c>
      <c r="I47" s="6">
        <v>264.1996183837615</v>
      </c>
      <c r="J47" s="8">
        <f>SUM(D47:I47)</f>
        <v>10816.969578159476</v>
      </c>
    </row>
    <row r="48" spans="2:10">
      <c r="B48" s="15"/>
      <c r="C48" s="11">
        <v>16</v>
      </c>
      <c r="D48" s="6">
        <v>294.26224819070717</v>
      </c>
      <c r="E48" s="6">
        <v>450.49962377674791</v>
      </c>
      <c r="F48" s="6">
        <v>1630.2030347054308</v>
      </c>
      <c r="G48" s="6">
        <v>2434.5549490266285</v>
      </c>
      <c r="H48" s="6">
        <v>390.09284874834361</v>
      </c>
      <c r="I48" s="6">
        <v>89.852712358087572</v>
      </c>
      <c r="J48" s="8">
        <f>SUM(D48:I48)</f>
        <v>5289.465416805946</v>
      </c>
    </row>
    <row r="49" spans="2:10">
      <c r="B49" s="15"/>
      <c r="C49" s="11">
        <v>17</v>
      </c>
      <c r="D49" s="6">
        <v>359.23274993299162</v>
      </c>
      <c r="E49" s="6">
        <v>382.32799497993329</v>
      </c>
      <c r="F49" s="6">
        <v>1302.1674830230554</v>
      </c>
      <c r="G49" s="6">
        <v>1538.572491652051</v>
      </c>
      <c r="H49" s="6">
        <v>228.01707504570118</v>
      </c>
      <c r="I49" s="6">
        <v>59.356824459294749</v>
      </c>
      <c r="J49" s="8">
        <f>SUM(D49:I49)</f>
        <v>3869.6746190930276</v>
      </c>
    </row>
    <row r="50" spans="2:10">
      <c r="B50" s="15"/>
      <c r="C50" s="11">
        <v>18</v>
      </c>
      <c r="D50" s="6">
        <v>816.50654805900706</v>
      </c>
      <c r="E50" s="6">
        <v>1021.3535902488302</v>
      </c>
      <c r="F50" s="6">
        <v>3124.4750385564948</v>
      </c>
      <c r="G50" s="6">
        <v>4401.7705597013583</v>
      </c>
      <c r="H50" s="6">
        <v>681.3364232271548</v>
      </c>
      <c r="I50" s="6">
        <v>226.05398806179332</v>
      </c>
      <c r="J50" s="8">
        <f>SUM(D50:I50)</f>
        <v>10271.496147854636</v>
      </c>
    </row>
    <row r="51" spans="2:10">
      <c r="B51" s="15"/>
      <c r="C51" s="11">
        <v>19</v>
      </c>
      <c r="D51" s="6">
        <v>738.82697540243089</v>
      </c>
      <c r="E51" s="6">
        <v>1427.7591384132988</v>
      </c>
      <c r="F51" s="6">
        <v>3991.9227218044189</v>
      </c>
      <c r="G51" s="6">
        <v>5377.5667688865788</v>
      </c>
      <c r="H51" s="6">
        <v>961.95513681194655</v>
      </c>
      <c r="I51" s="6">
        <v>185.25892314635857</v>
      </c>
      <c r="J51" s="8">
        <f>SUM(D51:I51)</f>
        <v>12683.289664465034</v>
      </c>
    </row>
    <row r="52" spans="2:10">
      <c r="B52" s="15"/>
      <c r="C52" s="11">
        <v>20</v>
      </c>
      <c r="D52" s="6">
        <v>341.04526511049528</v>
      </c>
      <c r="E52" s="6">
        <v>631.87064893994159</v>
      </c>
      <c r="F52" s="6">
        <v>2401.6075210613903</v>
      </c>
      <c r="G52" s="6">
        <v>3747.3634450427685</v>
      </c>
      <c r="H52" s="6">
        <v>599.21745260941441</v>
      </c>
      <c r="I52" s="6">
        <v>158.07807695849911</v>
      </c>
      <c r="J52" s="8">
        <f>SUM(D52:I52)</f>
        <v>7879.182409722509</v>
      </c>
    </row>
    <row r="53" spans="2:10">
      <c r="B53" s="15"/>
      <c r="C53" s="11">
        <v>21</v>
      </c>
      <c r="D53" s="6">
        <v>324.63489593611172</v>
      </c>
      <c r="E53" s="6">
        <v>403.90219773654837</v>
      </c>
      <c r="F53" s="6">
        <v>1357.2922632640425</v>
      </c>
      <c r="G53" s="6">
        <v>1804.9751310360334</v>
      </c>
      <c r="H53" s="6">
        <v>308.19283318215008</v>
      </c>
      <c r="I53" s="6">
        <v>93.840152345304816</v>
      </c>
      <c r="J53" s="8">
        <f>SUM(D53:I53)</f>
        <v>4292.8374735001908</v>
      </c>
    </row>
    <row r="54" spans="2:10">
      <c r="B54" s="15"/>
      <c r="C54" s="11">
        <v>22</v>
      </c>
      <c r="D54" s="6">
        <v>441.92181368075592</v>
      </c>
      <c r="E54" s="6">
        <v>580.67748228762616</v>
      </c>
      <c r="F54" s="6">
        <v>1746.8748578201626</v>
      </c>
      <c r="G54" s="6">
        <v>2086.0314450698133</v>
      </c>
      <c r="H54" s="6">
        <v>352.56062980618231</v>
      </c>
      <c r="I54" s="6">
        <v>134.0980028677252</v>
      </c>
      <c r="J54" s="8">
        <f>SUM(D54:I54)</f>
        <v>5342.1642315322651</v>
      </c>
    </row>
    <row r="55" spans="2:10">
      <c r="B55" s="15"/>
      <c r="C55" s="11">
        <v>23</v>
      </c>
      <c r="D55" s="6">
        <v>264.94694886656305</v>
      </c>
      <c r="E55" s="6">
        <v>432.15936349195169</v>
      </c>
      <c r="F55" s="6">
        <v>1464.6145542653289</v>
      </c>
      <c r="G55" s="6">
        <v>2183.6333616932652</v>
      </c>
      <c r="H55" s="6">
        <v>372.13570905530923</v>
      </c>
      <c r="I55" s="6">
        <v>107.19515485918058</v>
      </c>
      <c r="J55" s="8">
        <f>SUM(D55:I55)</f>
        <v>4824.6850922315989</v>
      </c>
    </row>
    <row r="56" spans="2:10">
      <c r="B56" s="15"/>
      <c r="C56" s="11">
        <v>24</v>
      </c>
      <c r="D56" s="6">
        <v>376.17345572572094</v>
      </c>
      <c r="E56" s="6">
        <v>569.17430696622284</v>
      </c>
      <c r="F56" s="6">
        <v>2093.1272883054667</v>
      </c>
      <c r="G56" s="6">
        <v>3636.9821410905379</v>
      </c>
      <c r="H56" s="6">
        <v>747.62757181284212</v>
      </c>
      <c r="I56" s="6">
        <v>206.22623066140974</v>
      </c>
      <c r="J56" s="8">
        <f>SUM(D56:I56)</f>
        <v>7629.3109945621991</v>
      </c>
    </row>
    <row r="57" spans="2:10">
      <c r="B57" s="15"/>
      <c r="C57" s="11">
        <v>26</v>
      </c>
      <c r="D57" s="6">
        <v>326.48052152634364</v>
      </c>
      <c r="E57" s="6">
        <v>691.31997921123366</v>
      </c>
      <c r="F57" s="6">
        <v>2400.3928659359035</v>
      </c>
      <c r="G57" s="6">
        <v>2979.294077403511</v>
      </c>
      <c r="H57" s="6">
        <v>506.07940422720276</v>
      </c>
      <c r="I57" s="6">
        <v>136.37974515690581</v>
      </c>
      <c r="J57" s="8">
        <f>SUM(D57:I57)</f>
        <v>7039.9465934611007</v>
      </c>
    </row>
    <row r="58" spans="2:10">
      <c r="B58" s="15"/>
      <c r="C58" s="11">
        <v>27</v>
      </c>
      <c r="D58" s="6">
        <v>728.87297603496347</v>
      </c>
      <c r="E58" s="6">
        <v>1020.8296331573924</v>
      </c>
      <c r="F58" s="6">
        <v>3593.9987279590573</v>
      </c>
      <c r="G58" s="6">
        <v>5323.3938390426101</v>
      </c>
      <c r="H58" s="6">
        <v>957.37728560691289</v>
      </c>
      <c r="I58" s="6">
        <v>303.98768267633176</v>
      </c>
      <c r="J58" s="8">
        <f>SUM(D58:I58)</f>
        <v>11928.460144477269</v>
      </c>
    </row>
    <row r="59" spans="2:10">
      <c r="B59" s="15"/>
      <c r="C59" s="11">
        <v>28</v>
      </c>
      <c r="D59" s="6">
        <v>837.66519070582376</v>
      </c>
      <c r="E59" s="6">
        <v>1482.8991384464414</v>
      </c>
      <c r="F59" s="6">
        <v>4216.3132525152905</v>
      </c>
      <c r="G59" s="6">
        <v>4709.8980728959832</v>
      </c>
      <c r="H59" s="6">
        <v>775.60336109269019</v>
      </c>
      <c r="I59" s="6">
        <v>174.34443536614279</v>
      </c>
      <c r="J59" s="8">
        <f>SUM(D59:I59)</f>
        <v>12196.723451022372</v>
      </c>
    </row>
    <row r="60" spans="2:10">
      <c r="B60" s="15"/>
      <c r="C60" s="11">
        <v>29</v>
      </c>
      <c r="D60" s="6">
        <v>866.22159158351849</v>
      </c>
      <c r="E60" s="6">
        <v>1090.9050048369654</v>
      </c>
      <c r="F60" s="6">
        <v>3049.9211819821885</v>
      </c>
      <c r="G60" s="6">
        <v>4204.7031602912139</v>
      </c>
      <c r="H60" s="6">
        <v>583.86271733268939</v>
      </c>
      <c r="I60" s="6">
        <v>146.01235837287072</v>
      </c>
      <c r="J60" s="8">
        <f>SUM(D60:I60)</f>
        <v>9941.6260143994477</v>
      </c>
    </row>
    <row r="61" spans="2:10">
      <c r="C61" s="11">
        <v>30</v>
      </c>
      <c r="D61" s="6">
        <v>532.76727302868051</v>
      </c>
      <c r="E61" s="6">
        <v>959.33351643490448</v>
      </c>
      <c r="F61" s="6">
        <v>2840.0370073095842</v>
      </c>
      <c r="G61" s="6">
        <v>4596.8527267975205</v>
      </c>
      <c r="H61" s="6">
        <v>822.24590523679217</v>
      </c>
      <c r="I61" s="6">
        <v>242.35835459614805</v>
      </c>
      <c r="J61" s="8">
        <f>SUM(D61:I61)</f>
        <v>9993.5947834036306</v>
      </c>
    </row>
    <row r="62" spans="2:10">
      <c r="C62" s="11">
        <v>31</v>
      </c>
      <c r="D62" s="6">
        <v>244.91607956169176</v>
      </c>
      <c r="E62" s="6">
        <v>442.74605253653073</v>
      </c>
      <c r="F62" s="6">
        <v>1451.1392318603384</v>
      </c>
      <c r="G62" s="6">
        <v>2275.4670432384878</v>
      </c>
      <c r="H62" s="6">
        <v>400.04877887369804</v>
      </c>
      <c r="I62" s="6">
        <v>101.84186962064882</v>
      </c>
      <c r="J62" s="8">
        <f>SUM(D62:I62)</f>
        <v>4916.1590556913961</v>
      </c>
    </row>
    <row r="63" spans="2:10">
      <c r="C63" s="11">
        <v>32</v>
      </c>
      <c r="D63" s="6">
        <v>536.36742465062468</v>
      </c>
      <c r="E63" s="6">
        <v>710.42715864616741</v>
      </c>
      <c r="F63" s="6">
        <v>2183.2869616915282</v>
      </c>
      <c r="G63" s="6">
        <v>2990.1775141522053</v>
      </c>
      <c r="H63" s="6">
        <v>468.40421283895182</v>
      </c>
      <c r="I63" s="6">
        <v>138.94005014700494</v>
      </c>
      <c r="J63" s="8">
        <f t="shared" ref="J63" si="1">SUM(D63:I63)</f>
        <v>7027.6033221264825</v>
      </c>
    </row>
    <row r="65" spans="2:15">
      <c r="C65" s="11"/>
      <c r="D65" s="6"/>
      <c r="E65" s="6"/>
      <c r="F65" s="6"/>
      <c r="G65" s="6"/>
      <c r="H65" s="6"/>
      <c r="I65" s="6"/>
      <c r="J65" s="8"/>
    </row>
    <row r="66" spans="2:15">
      <c r="C66" s="1"/>
      <c r="D66" s="3"/>
      <c r="E66" s="3"/>
      <c r="F66" s="3"/>
      <c r="G66" s="3"/>
      <c r="H66" s="3"/>
      <c r="I66" s="3"/>
      <c r="J66" s="3"/>
    </row>
    <row r="67" spans="2:15">
      <c r="C67" s="7"/>
      <c r="D67" s="3"/>
      <c r="E67" s="3"/>
      <c r="F67" s="3"/>
      <c r="G67" s="3"/>
      <c r="H67" s="3"/>
      <c r="I67" s="3"/>
      <c r="J67" s="3"/>
      <c r="K67" s="3"/>
    </row>
    <row r="68" spans="2:15">
      <c r="C68" s="7"/>
      <c r="D68" s="3"/>
      <c r="E68" s="3"/>
      <c r="F68" s="3"/>
      <c r="G68" s="3"/>
      <c r="H68" s="3"/>
      <c r="I68" s="3"/>
      <c r="J68" s="3"/>
      <c r="K68" s="3"/>
    </row>
    <row r="69" spans="2:15">
      <c r="C69" s="7"/>
      <c r="M69" s="11"/>
      <c r="N69" s="11"/>
      <c r="O69" s="11"/>
    </row>
    <row r="70" spans="2:15">
      <c r="C70" s="7"/>
      <c r="D70" s="3"/>
      <c r="E70" s="3"/>
      <c r="F70" s="3"/>
      <c r="G70" s="3"/>
      <c r="H70" s="3"/>
      <c r="I70" s="3"/>
      <c r="J70" s="3"/>
      <c r="K70" s="3"/>
    </row>
    <row r="71" spans="2:15">
      <c r="C71" s="7"/>
      <c r="D71" s="3"/>
      <c r="E71" s="3"/>
      <c r="F71" s="3"/>
      <c r="G71" s="3"/>
      <c r="H71" s="3"/>
      <c r="I71" s="3"/>
      <c r="J71" s="3"/>
      <c r="K71" s="3"/>
    </row>
    <row r="72" spans="2:15">
      <c r="C72" s="7"/>
    </row>
    <row r="73" spans="2:15">
      <c r="B73" s="9"/>
      <c r="C73" s="7"/>
    </row>
    <row r="74" spans="2:15">
      <c r="C74" s="7"/>
      <c r="D74" s="3"/>
      <c r="E74" s="3"/>
      <c r="F74" s="3"/>
      <c r="G74" s="3"/>
      <c r="H74" s="3"/>
      <c r="I74" s="3"/>
      <c r="J74" s="3"/>
      <c r="K74" s="3"/>
    </row>
    <row r="75" spans="2:15">
      <c r="C75" s="7"/>
      <c r="D75" s="3"/>
      <c r="E75" s="3"/>
      <c r="F75" s="3"/>
      <c r="G75" s="3"/>
      <c r="H75" s="3"/>
      <c r="I75" s="3"/>
      <c r="J75" s="3"/>
      <c r="K75" s="3"/>
    </row>
    <row r="76" spans="2:15">
      <c r="C76" s="7"/>
      <c r="D76" s="3"/>
      <c r="E76" s="3"/>
      <c r="F76" s="3"/>
      <c r="G76" s="3"/>
      <c r="H76" s="3"/>
      <c r="I76" s="3"/>
      <c r="J76" s="3"/>
      <c r="K76" s="3"/>
    </row>
    <row r="77" spans="2:15" ht="18" customHeight="1">
      <c r="C77" s="7"/>
      <c r="D77" s="3"/>
      <c r="E77" s="3"/>
      <c r="F77" s="3"/>
      <c r="G77" s="3"/>
      <c r="H77" s="3"/>
      <c r="I77" s="3"/>
      <c r="J77" s="3"/>
    </row>
    <row r="78" spans="2:15">
      <c r="C78" s="7"/>
      <c r="D78" s="3"/>
      <c r="E78" s="3"/>
      <c r="F78" s="3"/>
      <c r="G78" s="3"/>
      <c r="I78" s="3"/>
      <c r="J78" s="3"/>
    </row>
    <row r="79" spans="2:15">
      <c r="D79" s="11"/>
      <c r="E79" s="11"/>
      <c r="F79" s="11"/>
      <c r="G79" s="11"/>
      <c r="I79" s="11"/>
      <c r="J79" s="11"/>
    </row>
    <row r="80" spans="2:15">
      <c r="D80" s="3"/>
      <c r="E80" s="3"/>
      <c r="F80" s="3"/>
      <c r="G80" s="3"/>
      <c r="I80" s="3"/>
      <c r="J80" s="3"/>
    </row>
    <row r="81" spans="4:10">
      <c r="D81" s="3"/>
      <c r="E81" s="3"/>
      <c r="F81" s="3"/>
      <c r="G81" s="3"/>
      <c r="I81" s="3"/>
      <c r="J81" s="3"/>
    </row>
    <row r="82" spans="4:10">
      <c r="D82" s="3"/>
      <c r="E82" s="3"/>
      <c r="F82" s="3"/>
      <c r="G82" s="3"/>
      <c r="I82" s="3"/>
      <c r="J82" s="3"/>
    </row>
    <row r="83" spans="4:10">
      <c r="D83" s="3"/>
      <c r="E83" s="3"/>
      <c r="F83" s="3"/>
      <c r="G83" s="3"/>
      <c r="I83" s="3"/>
      <c r="J83" s="3"/>
    </row>
    <row r="84" spans="4:10">
      <c r="D84" s="3"/>
      <c r="E84" s="3"/>
      <c r="F84" s="3"/>
      <c r="G84" s="3"/>
      <c r="I84" s="3"/>
      <c r="J84" s="3"/>
    </row>
    <row r="85" spans="4:10">
      <c r="D85" s="3"/>
      <c r="E85" s="3"/>
      <c r="F85" s="3"/>
      <c r="G85" s="3"/>
    </row>
    <row r="86" spans="4:10">
      <c r="D86" s="3"/>
      <c r="E86" s="3"/>
      <c r="F86" s="3"/>
      <c r="G86" s="3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ADEE-2DA7-47D4-B2C1-CD9231C30758}">
  <dimension ref="A2:I82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:B34"/>
    </sheetView>
  </sheetViews>
  <sheetFormatPr defaultRowHeight="16.5"/>
  <cols>
    <col min="1" max="1" width="7.375" customWidth="1"/>
    <col min="2" max="2" width="17.75" bestFit="1" customWidth="1"/>
    <col min="3" max="3" width="9.375" customWidth="1"/>
    <col min="4" max="4" width="26.5" bestFit="1" customWidth="1"/>
  </cols>
  <sheetData>
    <row r="2" spans="1:4">
      <c r="D2" t="s">
        <v>93</v>
      </c>
    </row>
    <row r="3" spans="1:4">
      <c r="A3" t="s">
        <v>28</v>
      </c>
      <c r="B3" t="s">
        <v>96</v>
      </c>
      <c r="C3" s="2" t="s">
        <v>49</v>
      </c>
      <c r="D3" s="11" t="s">
        <v>92</v>
      </c>
    </row>
    <row r="4" spans="1:4">
      <c r="A4" t="s">
        <v>65</v>
      </c>
      <c r="B4" t="s">
        <v>66</v>
      </c>
      <c r="C4" s="11">
        <v>1</v>
      </c>
      <c r="D4" s="3">
        <v>0.64402277459412438</v>
      </c>
    </row>
    <row r="5" spans="1:4">
      <c r="C5" s="11">
        <v>2</v>
      </c>
      <c r="D5" s="3">
        <v>1.1770071971178364</v>
      </c>
    </row>
    <row r="6" spans="1:4">
      <c r="C6" s="11">
        <v>3</v>
      </c>
      <c r="D6" s="3">
        <v>1.3790366775800833</v>
      </c>
    </row>
    <row r="7" spans="1:4">
      <c r="C7" s="11">
        <v>5</v>
      </c>
      <c r="D7" s="3">
        <v>1.114656355062793</v>
      </c>
    </row>
    <row r="8" spans="1:4">
      <c r="C8" s="11">
        <v>6</v>
      </c>
      <c r="D8" s="3">
        <v>0.45035055887386721</v>
      </c>
    </row>
    <row r="9" spans="1:4">
      <c r="C9" s="11">
        <v>7</v>
      </c>
      <c r="D9" s="3">
        <v>1.0757447289666533</v>
      </c>
    </row>
    <row r="10" spans="1:4">
      <c r="B10" s="14"/>
      <c r="C10" s="11">
        <v>8</v>
      </c>
      <c r="D10" s="3">
        <v>0.4888427988386691</v>
      </c>
    </row>
    <row r="11" spans="1:4">
      <c r="C11" s="11">
        <v>9</v>
      </c>
      <c r="D11" s="3">
        <v>0.92862119567576951</v>
      </c>
    </row>
    <row r="12" spans="1:4">
      <c r="C12" s="11">
        <v>10</v>
      </c>
      <c r="D12" s="3">
        <v>0.99419438159980034</v>
      </c>
    </row>
    <row r="13" spans="1:4">
      <c r="C13" s="11">
        <v>11</v>
      </c>
      <c r="D13" s="3">
        <v>1.3042284810361067</v>
      </c>
    </row>
    <row r="14" spans="1:4">
      <c r="C14" s="11">
        <v>12</v>
      </c>
      <c r="D14" s="3">
        <v>1.2515583087485296</v>
      </c>
    </row>
    <row r="15" spans="1:4">
      <c r="C15" s="11">
        <v>13</v>
      </c>
      <c r="D15" s="3">
        <v>0.95851643693613897</v>
      </c>
    </row>
    <row r="16" spans="1:4">
      <c r="C16" s="11">
        <v>14</v>
      </c>
      <c r="D16" s="3">
        <v>1.1387363226862877</v>
      </c>
    </row>
    <row r="17" spans="2:4">
      <c r="C17" s="11">
        <v>15</v>
      </c>
      <c r="D17" s="3">
        <v>0.80925891791020199</v>
      </c>
    </row>
    <row r="18" spans="2:4">
      <c r="C18" s="11">
        <v>16</v>
      </c>
      <c r="D18" s="3">
        <v>1.0252154633389712</v>
      </c>
    </row>
    <row r="19" spans="2:4">
      <c r="C19" s="11">
        <v>17</v>
      </c>
      <c r="D19" s="3">
        <v>0.72542161153228313</v>
      </c>
    </row>
    <row r="20" spans="2:4">
      <c r="C20" s="11">
        <v>18</v>
      </c>
      <c r="D20" s="3">
        <v>1.7183761644365263</v>
      </c>
    </row>
    <row r="21" spans="2:4">
      <c r="C21" s="11">
        <v>19</v>
      </c>
      <c r="D21" s="3">
        <v>2.2461488791633482</v>
      </c>
    </row>
    <row r="22" spans="2:4">
      <c r="C22" s="11">
        <v>20</v>
      </c>
      <c r="D22" s="3">
        <v>1.6296870818165985</v>
      </c>
    </row>
    <row r="23" spans="2:4">
      <c r="C23" s="11">
        <v>21</v>
      </c>
      <c r="D23" s="3">
        <v>0.84890182286606686</v>
      </c>
    </row>
    <row r="24" spans="2:4">
      <c r="C24" s="11">
        <v>22</v>
      </c>
      <c r="D24" s="3">
        <v>1.0920934700543266</v>
      </c>
    </row>
    <row r="25" spans="2:4">
      <c r="C25" s="11">
        <v>23</v>
      </c>
      <c r="D25" s="3">
        <v>0.67775161429842934</v>
      </c>
    </row>
    <row r="26" spans="2:4">
      <c r="C26" s="11">
        <v>24</v>
      </c>
      <c r="D26" s="3">
        <v>1.2287303380521506</v>
      </c>
    </row>
    <row r="27" spans="2:4">
      <c r="B27" s="15"/>
      <c r="C27" s="11">
        <v>26</v>
      </c>
      <c r="D27" s="3">
        <v>1.0114706967228411</v>
      </c>
    </row>
    <row r="28" spans="2:4">
      <c r="B28" s="15"/>
      <c r="C28" s="11">
        <v>27</v>
      </c>
      <c r="D28" s="3">
        <v>1.0890220425661334</v>
      </c>
    </row>
    <row r="29" spans="2:4">
      <c r="B29" s="15"/>
      <c r="C29" s="11">
        <v>28</v>
      </c>
      <c r="D29" s="3">
        <v>1.510292769108877</v>
      </c>
    </row>
    <row r="30" spans="2:4">
      <c r="B30" s="15"/>
      <c r="C30" s="11">
        <v>29</v>
      </c>
      <c r="D30" s="3">
        <v>1.2106922329454315</v>
      </c>
    </row>
    <row r="31" spans="2:4">
      <c r="C31" s="11">
        <v>30</v>
      </c>
      <c r="D31" s="3">
        <v>1.794076817933391</v>
      </c>
    </row>
    <row r="32" spans="2:4">
      <c r="B32" s="16"/>
      <c r="C32" s="11">
        <v>31</v>
      </c>
      <c r="D32" s="3">
        <v>3.1808201166901053</v>
      </c>
    </row>
    <row r="33" spans="2:4">
      <c r="B33" s="15"/>
      <c r="C33" s="11">
        <v>32</v>
      </c>
      <c r="D33" s="3">
        <v>1.2355945094172436</v>
      </c>
    </row>
    <row r="34" spans="2:4">
      <c r="B34" s="17" t="s">
        <v>95</v>
      </c>
      <c r="C34" s="11">
        <v>1</v>
      </c>
      <c r="D34" s="3">
        <v>1.4318280489245232</v>
      </c>
    </row>
    <row r="35" spans="2:4">
      <c r="C35" s="11">
        <v>2</v>
      </c>
      <c r="D35" s="3">
        <v>2.6132022196647857</v>
      </c>
    </row>
    <row r="36" spans="2:4">
      <c r="B36" s="15"/>
      <c r="C36" s="11">
        <v>3</v>
      </c>
      <c r="D36" s="3">
        <v>0.92662473408990476</v>
      </c>
    </row>
    <row r="37" spans="2:4">
      <c r="B37" s="15"/>
      <c r="C37" s="11">
        <v>5</v>
      </c>
      <c r="D37" s="3">
        <v>2.4961130572915562</v>
      </c>
    </row>
    <row r="38" spans="2:4">
      <c r="B38" s="15"/>
      <c r="C38" s="11">
        <v>6</v>
      </c>
      <c r="D38" s="3">
        <v>1.2738203760794515</v>
      </c>
    </row>
    <row r="39" spans="2:4">
      <c r="B39" s="15"/>
      <c r="C39" s="11">
        <v>7</v>
      </c>
      <c r="D39" s="3">
        <v>2.1381692389630724</v>
      </c>
    </row>
    <row r="40" spans="2:4">
      <c r="B40" s="15"/>
      <c r="C40" s="11">
        <v>8</v>
      </c>
      <c r="D40" s="3">
        <v>1.7699301263257974</v>
      </c>
    </row>
    <row r="41" spans="2:4">
      <c r="B41" s="15"/>
      <c r="C41" s="11">
        <v>9</v>
      </c>
      <c r="D41" s="3">
        <v>0.94575865523359592</v>
      </c>
    </row>
    <row r="42" spans="2:4">
      <c r="B42" s="15"/>
      <c r="C42" s="11">
        <v>10</v>
      </c>
      <c r="D42" s="3">
        <v>1.7865992992143005</v>
      </c>
    </row>
    <row r="43" spans="2:4">
      <c r="B43" s="15"/>
      <c r="C43" s="11">
        <v>11</v>
      </c>
      <c r="D43" s="3">
        <v>2.1142246905883013</v>
      </c>
    </row>
    <row r="44" spans="2:4">
      <c r="B44" s="15"/>
      <c r="C44" s="11">
        <v>12</v>
      </c>
      <c r="D44" s="3">
        <v>1.3946537777523369</v>
      </c>
    </row>
    <row r="45" spans="2:4">
      <c r="B45" s="15"/>
      <c r="C45" s="11">
        <v>13</v>
      </c>
      <c r="D45" s="3">
        <v>1.6462453733895395</v>
      </c>
    </row>
    <row r="46" spans="2:4">
      <c r="B46" s="15"/>
      <c r="C46" s="11">
        <v>14</v>
      </c>
      <c r="D46" s="3">
        <v>1.8510591697453762</v>
      </c>
    </row>
    <row r="47" spans="2:4">
      <c r="B47" s="15"/>
      <c r="C47" s="11">
        <v>15</v>
      </c>
      <c r="D47" s="3">
        <v>3.4624656977589017</v>
      </c>
    </row>
    <row r="48" spans="2:4">
      <c r="B48" s="15"/>
      <c r="C48" s="11">
        <v>16</v>
      </c>
      <c r="D48" s="3">
        <v>1.1670285546028447</v>
      </c>
    </row>
    <row r="49" spans="2:4">
      <c r="B49" s="15"/>
      <c r="C49" s="11">
        <v>17</v>
      </c>
      <c r="D49" s="3">
        <v>0.57678969596509722</v>
      </c>
    </row>
    <row r="50" spans="2:4">
      <c r="B50" s="15"/>
      <c r="C50" s="11">
        <v>18</v>
      </c>
      <c r="D50" s="3">
        <v>2.2597456763668258</v>
      </c>
    </row>
    <row r="51" spans="2:4">
      <c r="B51" s="15"/>
      <c r="C51" s="11">
        <v>19</v>
      </c>
      <c r="D51" s="3">
        <v>3.5758633770453923</v>
      </c>
    </row>
    <row r="52" spans="2:4">
      <c r="B52" s="15"/>
      <c r="C52" s="11">
        <v>20</v>
      </c>
      <c r="D52" s="3">
        <v>1.555704986380114</v>
      </c>
    </row>
    <row r="53" spans="2:4">
      <c r="B53" s="15"/>
      <c r="C53" s="11">
        <v>21</v>
      </c>
      <c r="D53" s="3">
        <v>0.92371557618108835</v>
      </c>
    </row>
    <row r="54" spans="2:4">
      <c r="B54" s="15"/>
      <c r="C54" s="11">
        <v>22</v>
      </c>
      <c r="D54" s="3">
        <v>0.70064736861304133</v>
      </c>
    </row>
    <row r="55" spans="2:4">
      <c r="B55" s="15"/>
      <c r="C55" s="11">
        <v>23</v>
      </c>
      <c r="D55" s="3">
        <v>0.98543275015027099</v>
      </c>
    </row>
    <row r="56" spans="2:4">
      <c r="B56" s="15"/>
      <c r="C56" s="11">
        <v>24</v>
      </c>
      <c r="D56" s="3">
        <v>1.1619744356256025</v>
      </c>
    </row>
    <row r="57" spans="2:4">
      <c r="B57" s="15"/>
      <c r="C57" s="11">
        <v>26</v>
      </c>
      <c r="D57" s="3">
        <v>1.3462428545489644</v>
      </c>
    </row>
    <row r="58" spans="2:4">
      <c r="B58" s="15"/>
      <c r="C58" s="11">
        <v>27</v>
      </c>
      <c r="D58" s="3">
        <v>2.1433637764285072</v>
      </c>
    </row>
    <row r="59" spans="2:4">
      <c r="B59" s="15"/>
      <c r="C59" s="11">
        <v>28</v>
      </c>
      <c r="D59" s="3">
        <v>2.6242962574171398</v>
      </c>
    </row>
    <row r="60" spans="2:4">
      <c r="B60" s="15"/>
      <c r="C60" s="11">
        <v>29</v>
      </c>
      <c r="D60" s="3">
        <v>1.7514144830409795</v>
      </c>
    </row>
    <row r="61" spans="2:4">
      <c r="C61" s="11">
        <v>30</v>
      </c>
      <c r="D61" s="3">
        <v>1.4432140157394364</v>
      </c>
    </row>
    <row r="62" spans="2:4">
      <c r="C62" s="11">
        <v>31</v>
      </c>
      <c r="D62" s="3">
        <v>0.66010193715720644</v>
      </c>
    </row>
    <row r="63" spans="2:4">
      <c r="C63" s="11">
        <v>32</v>
      </c>
      <c r="D63" s="3">
        <v>0.5289184628024366</v>
      </c>
    </row>
    <row r="65" spans="2:9">
      <c r="C65" s="11"/>
      <c r="D65" s="3"/>
    </row>
    <row r="66" spans="2:9">
      <c r="C66" s="1"/>
    </row>
    <row r="67" spans="2:9">
      <c r="C67" s="7"/>
      <c r="D67" s="3"/>
    </row>
    <row r="68" spans="2:9">
      <c r="C68" s="7"/>
      <c r="D68" s="3"/>
      <c r="G68" s="11"/>
      <c r="H68" s="11"/>
      <c r="I68" s="11"/>
    </row>
    <row r="69" spans="2:9">
      <c r="C69" s="7"/>
    </row>
    <row r="70" spans="2:9">
      <c r="C70" s="7"/>
      <c r="D70" s="3"/>
    </row>
    <row r="71" spans="2:9">
      <c r="C71" s="7"/>
      <c r="D71" s="3"/>
    </row>
    <row r="72" spans="2:9">
      <c r="C72" s="7"/>
      <c r="D72" s="3"/>
    </row>
    <row r="73" spans="2:9">
      <c r="B73" s="9"/>
      <c r="C73" s="7"/>
    </row>
    <row r="74" spans="2:9">
      <c r="C74" s="7"/>
      <c r="D74" s="3"/>
    </row>
    <row r="75" spans="2:9">
      <c r="C75" s="7"/>
      <c r="D75" s="3"/>
    </row>
    <row r="76" spans="2:9">
      <c r="C76" s="7"/>
      <c r="D76" s="3"/>
    </row>
    <row r="77" spans="2:9">
      <c r="C77" s="7"/>
      <c r="D77" s="3"/>
    </row>
    <row r="78" spans="2:9">
      <c r="C78" s="7"/>
      <c r="D78" s="11"/>
      <c r="E78" s="11"/>
      <c r="F78" s="11"/>
    </row>
    <row r="79" spans="2:9">
      <c r="C79" s="7"/>
      <c r="D79" s="11"/>
      <c r="E79" s="3"/>
      <c r="F79" s="3"/>
    </row>
    <row r="80" spans="2:9">
      <c r="C80" s="7"/>
      <c r="D80" s="11"/>
      <c r="E80" s="3"/>
      <c r="F80" s="3"/>
    </row>
    <row r="81" spans="3:4">
      <c r="C81" s="7"/>
    </row>
    <row r="82" spans="3:4">
      <c r="C82" s="7"/>
      <c r="D82" s="3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8EC5-4381-4C97-AAEB-E91E895D0EF1}">
  <dimension ref="A2:E82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:B34"/>
    </sheetView>
  </sheetViews>
  <sheetFormatPr defaultRowHeight="16.5"/>
  <cols>
    <col min="1" max="1" width="7.375" customWidth="1"/>
    <col min="2" max="2" width="35.625" customWidth="1"/>
    <col min="3" max="3" width="9.375" customWidth="1"/>
    <col min="4" max="4" width="23.125" customWidth="1"/>
    <col min="5" max="5" width="26.5" bestFit="1" customWidth="1"/>
  </cols>
  <sheetData>
    <row r="2" spans="1:5">
      <c r="D2" s="9" t="s">
        <v>89</v>
      </c>
    </row>
    <row r="3" spans="1:5">
      <c r="A3" t="s">
        <v>28</v>
      </c>
      <c r="B3" t="s">
        <v>96</v>
      </c>
      <c r="C3" s="2" t="s">
        <v>49</v>
      </c>
      <c r="D3" s="10" t="s">
        <v>88</v>
      </c>
    </row>
    <row r="4" spans="1:5">
      <c r="A4" t="s">
        <v>65</v>
      </c>
      <c r="B4" t="s">
        <v>66</v>
      </c>
      <c r="C4" s="11">
        <v>1</v>
      </c>
      <c r="D4" s="19">
        <v>2473.4212361771943</v>
      </c>
      <c r="E4" s="3"/>
    </row>
    <row r="5" spans="1:5">
      <c r="C5" s="11">
        <v>2</v>
      </c>
      <c r="D5" s="19">
        <v>3479.6047603149682</v>
      </c>
      <c r="E5" s="3"/>
    </row>
    <row r="6" spans="1:5">
      <c r="C6" s="11">
        <v>3</v>
      </c>
      <c r="D6" s="19">
        <v>5274.8839712300296</v>
      </c>
      <c r="E6" s="3"/>
    </row>
    <row r="7" spans="1:5">
      <c r="C7" s="11">
        <v>5</v>
      </c>
      <c r="D7" s="19">
        <v>5279.6031417001313</v>
      </c>
      <c r="E7" s="3"/>
    </row>
    <row r="8" spans="1:5">
      <c r="C8" s="11">
        <v>6</v>
      </c>
      <c r="D8" s="19">
        <v>2301.6307644360886</v>
      </c>
      <c r="E8" s="3"/>
    </row>
    <row r="9" spans="1:5">
      <c r="C9" s="11">
        <v>7</v>
      </c>
      <c r="D9" s="19">
        <v>3628.1333014710021</v>
      </c>
      <c r="E9" s="3"/>
    </row>
    <row r="10" spans="1:5">
      <c r="B10" s="14"/>
      <c r="C10" s="11">
        <v>8</v>
      </c>
      <c r="D10" s="19">
        <v>1919.8420468320758</v>
      </c>
      <c r="E10" s="3"/>
    </row>
    <row r="11" spans="1:5">
      <c r="C11" s="11">
        <v>9</v>
      </c>
      <c r="D11" s="19">
        <v>4315.5505811332687</v>
      </c>
      <c r="E11" s="3"/>
    </row>
    <row r="12" spans="1:5">
      <c r="C12" s="11">
        <v>10</v>
      </c>
      <c r="D12" s="19">
        <v>5868.0781194472665</v>
      </c>
      <c r="E12" s="3"/>
    </row>
    <row r="13" spans="1:5">
      <c r="C13" s="11">
        <v>11</v>
      </c>
      <c r="D13" s="19">
        <v>5801.0053528686676</v>
      </c>
      <c r="E13" s="3"/>
    </row>
    <row r="14" spans="1:5">
      <c r="C14" s="11">
        <v>12</v>
      </c>
      <c r="D14" s="19">
        <v>4759.9005514276623</v>
      </c>
      <c r="E14" s="3"/>
    </row>
    <row r="15" spans="1:5">
      <c r="C15" s="11">
        <v>13</v>
      </c>
      <c r="D15" s="19">
        <v>7238.0479440358549</v>
      </c>
      <c r="E15" s="3"/>
    </row>
    <row r="16" spans="1:5">
      <c r="C16" s="11">
        <v>14</v>
      </c>
      <c r="D16" s="19">
        <v>5124.4460228819944</v>
      </c>
      <c r="E16" s="3"/>
    </row>
    <row r="17" spans="2:5">
      <c r="C17" s="11">
        <v>15</v>
      </c>
      <c r="D17" s="19">
        <v>3502.4698162587397</v>
      </c>
      <c r="E17" s="3"/>
    </row>
    <row r="18" spans="2:5">
      <c r="C18" s="11">
        <v>16</v>
      </c>
      <c r="D18" s="19">
        <v>3207.6838780967823</v>
      </c>
      <c r="E18" s="3"/>
    </row>
    <row r="19" spans="2:5">
      <c r="C19" s="11">
        <v>17</v>
      </c>
      <c r="D19" s="19">
        <v>2874.8253035796952</v>
      </c>
      <c r="E19" s="3"/>
    </row>
    <row r="20" spans="2:5">
      <c r="C20" s="11">
        <v>18</v>
      </c>
      <c r="D20" s="19">
        <v>6501.8079358276245</v>
      </c>
      <c r="E20" s="3"/>
    </row>
    <row r="21" spans="2:5">
      <c r="C21" s="11">
        <v>19</v>
      </c>
      <c r="D21" s="19">
        <v>9956.6244059682049</v>
      </c>
      <c r="E21" s="3"/>
    </row>
    <row r="22" spans="2:5">
      <c r="C22" s="11">
        <v>20</v>
      </c>
      <c r="D22" s="19">
        <v>6519.2623230322952</v>
      </c>
      <c r="E22" s="3"/>
    </row>
    <row r="23" spans="2:5">
      <c r="C23" s="11">
        <v>21</v>
      </c>
      <c r="D23" s="19">
        <v>4121.7569664582679</v>
      </c>
      <c r="E23" s="3"/>
    </row>
    <row r="24" spans="2:5">
      <c r="C24" s="11">
        <v>22</v>
      </c>
      <c r="D24" s="19">
        <v>5711.3737405976726</v>
      </c>
      <c r="E24" s="3"/>
    </row>
    <row r="25" spans="2:5">
      <c r="C25" s="11">
        <v>23</v>
      </c>
      <c r="D25" s="19">
        <v>3648.7833905063121</v>
      </c>
      <c r="E25" s="3"/>
    </row>
    <row r="26" spans="2:5">
      <c r="C26" s="11">
        <v>24</v>
      </c>
      <c r="D26" s="19">
        <v>4863.224684553621</v>
      </c>
      <c r="E26" s="3"/>
    </row>
    <row r="27" spans="2:5">
      <c r="B27" s="15"/>
      <c r="C27" s="11">
        <v>26</v>
      </c>
      <c r="D27" s="19">
        <v>4947.6102898921527</v>
      </c>
      <c r="E27" s="3"/>
    </row>
    <row r="28" spans="2:5">
      <c r="B28" s="15"/>
      <c r="C28" s="11">
        <v>27</v>
      </c>
      <c r="D28" s="19">
        <v>4962.1408002272401</v>
      </c>
      <c r="E28" s="3"/>
    </row>
    <row r="29" spans="2:5">
      <c r="B29" s="15"/>
      <c r="C29" s="11">
        <v>28</v>
      </c>
      <c r="D29" s="19">
        <v>5048.9890885778159</v>
      </c>
      <c r="E29" s="3"/>
    </row>
    <row r="30" spans="2:5">
      <c r="B30" s="15"/>
      <c r="C30" s="11">
        <v>29</v>
      </c>
      <c r="D30" s="19">
        <v>9233.6878625487243</v>
      </c>
      <c r="E30" s="3"/>
    </row>
    <row r="31" spans="2:5">
      <c r="C31" s="11">
        <v>30</v>
      </c>
      <c r="D31" s="19">
        <v>8417.1951098463123</v>
      </c>
      <c r="E31" s="3"/>
    </row>
    <row r="32" spans="2:5">
      <c r="B32" s="16"/>
      <c r="C32" s="11">
        <v>31</v>
      </c>
      <c r="D32" s="19">
        <v>11143.928093633787</v>
      </c>
      <c r="E32" s="3"/>
    </row>
    <row r="33" spans="2:5">
      <c r="B33" s="15"/>
      <c r="C33" s="11">
        <v>32</v>
      </c>
      <c r="D33" s="19">
        <v>8615.6546895468928</v>
      </c>
      <c r="E33" s="3"/>
    </row>
    <row r="34" spans="2:5">
      <c r="B34" s="17" t="s">
        <v>95</v>
      </c>
      <c r="C34" s="11">
        <v>1</v>
      </c>
      <c r="D34" s="19">
        <v>6041.6060928335</v>
      </c>
      <c r="E34" s="3"/>
    </row>
    <row r="35" spans="2:5">
      <c r="C35" s="11">
        <v>2</v>
      </c>
      <c r="D35" s="19">
        <v>10281.849504461919</v>
      </c>
      <c r="E35" s="3"/>
    </row>
    <row r="36" spans="2:5">
      <c r="B36" s="15"/>
      <c r="C36" s="11">
        <v>3</v>
      </c>
      <c r="D36" s="19">
        <v>3892.8421940045096</v>
      </c>
      <c r="E36" s="3"/>
    </row>
    <row r="37" spans="2:5">
      <c r="B37" s="15"/>
      <c r="C37" s="11">
        <v>5</v>
      </c>
      <c r="D37" s="19">
        <v>16515.141382989168</v>
      </c>
      <c r="E37" s="3"/>
    </row>
    <row r="38" spans="2:5">
      <c r="B38" s="15"/>
      <c r="C38" s="11">
        <v>6</v>
      </c>
      <c r="D38" s="19">
        <v>6262.2156013255089</v>
      </c>
      <c r="E38" s="3"/>
    </row>
    <row r="39" spans="2:5">
      <c r="B39" s="15"/>
      <c r="C39" s="11">
        <v>7</v>
      </c>
      <c r="D39" s="19">
        <v>6911.8755589049051</v>
      </c>
      <c r="E39" s="3"/>
    </row>
    <row r="40" spans="2:5">
      <c r="B40" s="15"/>
      <c r="C40" s="11">
        <v>8</v>
      </c>
      <c r="D40" s="19">
        <v>8350.7796345175993</v>
      </c>
      <c r="E40" s="3"/>
    </row>
    <row r="41" spans="2:5">
      <c r="B41" s="15"/>
      <c r="C41" s="11">
        <v>9</v>
      </c>
      <c r="D41" s="19">
        <v>3879.2150518949888</v>
      </c>
      <c r="E41" s="3"/>
    </row>
    <row r="42" spans="2:5">
      <c r="B42" s="15"/>
      <c r="C42" s="11">
        <v>10</v>
      </c>
      <c r="D42" s="19">
        <v>8705.2666542004627</v>
      </c>
      <c r="E42" s="3"/>
    </row>
    <row r="43" spans="2:5">
      <c r="B43" s="15"/>
      <c r="C43" s="11">
        <v>11</v>
      </c>
      <c r="D43" s="19">
        <v>10613.11848923572</v>
      </c>
      <c r="E43" s="3"/>
    </row>
    <row r="44" spans="2:5">
      <c r="B44" s="15"/>
      <c r="C44" s="11">
        <v>12</v>
      </c>
      <c r="D44" s="19">
        <v>7373.0484188424289</v>
      </c>
      <c r="E44" s="3"/>
    </row>
    <row r="45" spans="2:5">
      <c r="B45" s="15"/>
      <c r="C45" s="11">
        <v>13</v>
      </c>
      <c r="D45" s="19">
        <v>13178.38492007117</v>
      </c>
      <c r="E45" s="3"/>
    </row>
    <row r="46" spans="2:5">
      <c r="B46" s="15"/>
      <c r="C46" s="11">
        <v>14</v>
      </c>
      <c r="D46" s="19">
        <v>6709.5516231164775</v>
      </c>
      <c r="E46" s="3"/>
    </row>
    <row r="47" spans="2:5">
      <c r="B47" s="15"/>
      <c r="C47" s="11">
        <v>15</v>
      </c>
      <c r="D47" s="19">
        <v>12756.574401332919</v>
      </c>
      <c r="E47" s="3"/>
    </row>
    <row r="48" spans="2:5">
      <c r="B48" s="15"/>
      <c r="C48" s="11">
        <v>16</v>
      </c>
      <c r="D48" s="19">
        <v>4934.7160484396272</v>
      </c>
      <c r="E48" s="3"/>
    </row>
    <row r="49" spans="2:5">
      <c r="B49" s="15"/>
      <c r="C49" s="11">
        <v>17</v>
      </c>
      <c r="D49" s="19">
        <v>3986.5435039365725</v>
      </c>
      <c r="E49" s="3"/>
    </row>
    <row r="50" spans="2:5">
      <c r="B50" s="15"/>
      <c r="C50" s="11">
        <v>18</v>
      </c>
      <c r="D50" s="19">
        <v>11332.765424013014</v>
      </c>
      <c r="E50" s="3"/>
    </row>
    <row r="51" spans="2:5">
      <c r="B51" s="15"/>
      <c r="C51" s="11">
        <v>19</v>
      </c>
      <c r="D51" s="19">
        <v>16507.82762736539</v>
      </c>
      <c r="E51" s="3"/>
    </row>
    <row r="52" spans="2:5">
      <c r="B52" s="15"/>
      <c r="C52" s="11">
        <v>20</v>
      </c>
      <c r="D52" s="19">
        <v>5447.5926727712576</v>
      </c>
      <c r="E52" s="3"/>
    </row>
    <row r="53" spans="2:5">
      <c r="B53" s="15"/>
      <c r="C53" s="11">
        <v>21</v>
      </c>
      <c r="D53" s="19">
        <v>5581.0679570135844</v>
      </c>
      <c r="E53" s="3"/>
    </row>
    <row r="54" spans="2:5">
      <c r="B54" s="15"/>
      <c r="C54" s="11">
        <v>22</v>
      </c>
      <c r="D54" s="19">
        <v>4610.9364607835751</v>
      </c>
      <c r="E54" s="3"/>
    </row>
    <row r="55" spans="2:5">
      <c r="B55" s="15"/>
      <c r="C55" s="11">
        <v>23</v>
      </c>
      <c r="D55" s="19">
        <v>4661.039486929044</v>
      </c>
      <c r="E55" s="3"/>
    </row>
    <row r="56" spans="2:5">
      <c r="B56" s="15"/>
      <c r="C56" s="11">
        <v>24</v>
      </c>
      <c r="D56" s="19">
        <v>4286.070690714897</v>
      </c>
      <c r="E56" s="3"/>
    </row>
    <row r="57" spans="2:5">
      <c r="B57" s="15"/>
      <c r="C57" s="11">
        <v>26</v>
      </c>
      <c r="D57" s="19">
        <v>7952.659452611394</v>
      </c>
      <c r="E57" s="3"/>
    </row>
    <row r="58" spans="2:5">
      <c r="B58" s="15"/>
      <c r="C58" s="11">
        <v>27</v>
      </c>
      <c r="D58" s="19">
        <v>7756.9186752834521</v>
      </c>
      <c r="E58" s="3"/>
    </row>
    <row r="59" spans="2:5">
      <c r="B59" s="15"/>
      <c r="C59" s="11">
        <v>28</v>
      </c>
      <c r="D59" s="19">
        <v>9309.2651129433998</v>
      </c>
      <c r="E59" s="3"/>
    </row>
    <row r="60" spans="2:5">
      <c r="B60" s="15"/>
      <c r="C60" s="11">
        <v>29</v>
      </c>
      <c r="D60" s="19">
        <v>8108.1082053915297</v>
      </c>
      <c r="E60" s="3"/>
    </row>
    <row r="61" spans="2:5">
      <c r="C61" s="11">
        <v>30</v>
      </c>
      <c r="D61" s="19">
        <v>7436.9002173556619</v>
      </c>
      <c r="E61" s="3"/>
    </row>
    <row r="62" spans="2:5">
      <c r="C62" s="11">
        <v>31</v>
      </c>
      <c r="D62" s="19">
        <v>2989.7819662809825</v>
      </c>
      <c r="E62" s="3"/>
    </row>
    <row r="63" spans="2:5">
      <c r="C63" s="11">
        <v>32</v>
      </c>
      <c r="D63" s="19">
        <v>2815.9462207981028</v>
      </c>
      <c r="E63" s="3"/>
    </row>
    <row r="64" spans="2:5">
      <c r="E64" s="3"/>
    </row>
    <row r="65" spans="2:5">
      <c r="C65" s="11"/>
      <c r="E65" s="3"/>
    </row>
    <row r="66" spans="2:5">
      <c r="C66" s="1"/>
    </row>
    <row r="67" spans="2:5">
      <c r="C67" s="7"/>
      <c r="D67" s="3"/>
      <c r="E67" s="3"/>
    </row>
    <row r="68" spans="2:5">
      <c r="C68" s="7"/>
      <c r="D68" s="3"/>
      <c r="E68" s="3"/>
    </row>
    <row r="69" spans="2:5">
      <c r="C69" s="7"/>
    </row>
    <row r="70" spans="2:5">
      <c r="C70" s="7"/>
      <c r="D70" s="3"/>
      <c r="E70" s="3"/>
    </row>
    <row r="71" spans="2:5">
      <c r="C71" s="7"/>
      <c r="D71" s="3"/>
      <c r="E71" s="3"/>
    </row>
    <row r="72" spans="2:5">
      <c r="C72" s="7"/>
      <c r="D72" s="3"/>
      <c r="E72" s="3"/>
    </row>
    <row r="73" spans="2:5">
      <c r="B73" s="9"/>
      <c r="C73" s="7"/>
    </row>
    <row r="74" spans="2:5">
      <c r="C74" s="7"/>
      <c r="D74" s="3"/>
      <c r="E74" s="3"/>
    </row>
    <row r="75" spans="2:5">
      <c r="C75" s="7"/>
      <c r="D75" s="3"/>
      <c r="E75" s="3"/>
    </row>
    <row r="76" spans="2:5">
      <c r="C76" s="7"/>
      <c r="D76" s="3"/>
      <c r="E76" s="3"/>
    </row>
    <row r="77" spans="2:5">
      <c r="C77" s="7"/>
      <c r="D77" s="3"/>
      <c r="E77" s="3"/>
    </row>
    <row r="78" spans="2:5">
      <c r="C78" s="7"/>
      <c r="D78" s="3"/>
      <c r="E78" s="3"/>
    </row>
    <row r="79" spans="2:5">
      <c r="C79" s="7"/>
      <c r="D79" s="3"/>
      <c r="E79" s="3"/>
    </row>
    <row r="80" spans="2:5">
      <c r="C80" s="7"/>
      <c r="D80" s="3"/>
      <c r="E80" s="3"/>
    </row>
    <row r="81" spans="3:5">
      <c r="C81" s="7"/>
    </row>
    <row r="82" spans="3:5">
      <c r="C82" s="7"/>
      <c r="D82" s="3"/>
      <c r="E82" s="3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82"/>
  <sheetViews>
    <sheetView tabSelected="1"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7" sqref="B17"/>
    </sheetView>
  </sheetViews>
  <sheetFormatPr defaultRowHeight="16.5"/>
  <cols>
    <col min="1" max="1" width="7.375" customWidth="1"/>
    <col min="2" max="2" width="35.625" customWidth="1"/>
    <col min="3" max="3" width="9.375" customWidth="1"/>
    <col min="4" max="4" width="9.875" bestFit="1" customWidth="1"/>
    <col min="5" max="5" width="9.375" bestFit="1" customWidth="1"/>
    <col min="6" max="7" width="9.5" bestFit="1" customWidth="1"/>
    <col min="8" max="8" width="9.625" bestFit="1" customWidth="1"/>
    <col min="9" max="9" width="9.625" customWidth="1"/>
    <col min="10" max="10" width="10.625" bestFit="1" customWidth="1"/>
    <col min="11" max="11" width="10" bestFit="1" customWidth="1"/>
    <col min="12" max="12" width="20.375" bestFit="1" customWidth="1"/>
    <col min="13" max="13" width="9.5" bestFit="1" customWidth="1"/>
    <col min="14" max="14" width="11.625" customWidth="1"/>
    <col min="15" max="15" width="9.375" customWidth="1"/>
    <col min="16" max="16" width="9.25" bestFit="1" customWidth="1"/>
    <col min="17" max="17" width="9.5" bestFit="1" customWidth="1"/>
    <col min="18" max="18" width="11.5" customWidth="1"/>
    <col min="19" max="19" width="9.5" customWidth="1"/>
    <col min="20" max="20" width="9.75" customWidth="1"/>
    <col min="21" max="21" width="10.5" customWidth="1"/>
    <col min="22" max="22" width="18.5" customWidth="1"/>
    <col min="23" max="23" width="9.875" bestFit="1" customWidth="1"/>
    <col min="24" max="25" width="9.25" bestFit="1" customWidth="1"/>
    <col min="26" max="26" width="9.875" bestFit="1" customWidth="1"/>
    <col min="27" max="28" width="9.875" customWidth="1"/>
    <col min="29" max="29" width="9.875" bestFit="1" customWidth="1"/>
    <col min="30" max="31" width="9.875" customWidth="1"/>
    <col min="32" max="32" width="19.875" customWidth="1"/>
    <col min="33" max="33" width="9.875" bestFit="1" customWidth="1"/>
    <col min="34" max="35" width="9.5" bestFit="1" customWidth="1"/>
    <col min="36" max="37" width="10.5" bestFit="1" customWidth="1"/>
    <col min="38" max="38" width="10.5" customWidth="1"/>
    <col min="39" max="40" width="11.375" customWidth="1"/>
    <col min="41" max="41" width="20.125" customWidth="1"/>
    <col min="42" max="42" width="9.375" customWidth="1"/>
    <col min="43" max="43" width="11" bestFit="1" customWidth="1"/>
    <col min="44" max="45" width="9.875" bestFit="1" customWidth="1"/>
    <col min="46" max="46" width="11" bestFit="1" customWidth="1"/>
    <col min="47" max="47" width="11" customWidth="1"/>
    <col min="48" max="48" width="11" bestFit="1" customWidth="1"/>
    <col min="49" max="49" width="10.625" bestFit="1" customWidth="1"/>
    <col min="50" max="50" width="21.25" bestFit="1" customWidth="1"/>
    <col min="52" max="54" width="9.375" bestFit="1" customWidth="1"/>
    <col min="55" max="55" width="10.375" bestFit="1" customWidth="1"/>
    <col min="56" max="56" width="10.375" customWidth="1"/>
    <col min="57" max="58" width="11.625" bestFit="1" customWidth="1"/>
    <col min="59" max="59" width="11.625" customWidth="1"/>
    <col min="60" max="60" width="11.625" bestFit="1" customWidth="1"/>
    <col min="61" max="61" width="9.375" bestFit="1" customWidth="1"/>
    <col min="62" max="62" width="11.625" bestFit="1" customWidth="1"/>
    <col min="64" max="65" width="9.375" bestFit="1" customWidth="1"/>
    <col min="66" max="66" width="21.25" bestFit="1" customWidth="1"/>
    <col min="67" max="70" width="10.375" bestFit="1" customWidth="1"/>
    <col min="71" max="72" width="9" bestFit="1" customWidth="1"/>
    <col min="73" max="74" width="21.25" bestFit="1" customWidth="1"/>
    <col min="76" max="76" width="26.5" bestFit="1" customWidth="1"/>
  </cols>
  <sheetData>
    <row r="1" spans="1:76">
      <c r="D1" t="s">
        <v>0</v>
      </c>
    </row>
    <row r="2" spans="1:76">
      <c r="D2" s="11"/>
      <c r="L2" s="9" t="s">
        <v>76</v>
      </c>
      <c r="V2" s="9" t="s">
        <v>75</v>
      </c>
      <c r="AF2" s="9" t="s">
        <v>83</v>
      </c>
      <c r="AO2" s="9" t="s">
        <v>82</v>
      </c>
      <c r="AX2" s="13" t="s">
        <v>81</v>
      </c>
      <c r="BH2" s="13" t="s">
        <v>80</v>
      </c>
      <c r="BN2" s="13" t="s">
        <v>84</v>
      </c>
      <c r="BU2" t="s">
        <v>87</v>
      </c>
      <c r="BV2" s="9" t="s">
        <v>89</v>
      </c>
    </row>
    <row r="3" spans="1:76">
      <c r="A3" t="s">
        <v>28</v>
      </c>
      <c r="B3" t="s">
        <v>96</v>
      </c>
      <c r="C3" s="2" t="s">
        <v>49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50</v>
      </c>
      <c r="J3" s="4" t="s">
        <v>6</v>
      </c>
      <c r="K3" s="4" t="s">
        <v>7</v>
      </c>
      <c r="L3" s="10" t="s">
        <v>73</v>
      </c>
      <c r="M3" s="4" t="s">
        <v>8</v>
      </c>
      <c r="N3" s="4" t="s">
        <v>26</v>
      </c>
      <c r="O3" s="4" t="s">
        <v>27</v>
      </c>
      <c r="P3" s="4" t="s">
        <v>9</v>
      </c>
      <c r="Q3" s="4" t="s">
        <v>10</v>
      </c>
      <c r="R3" s="4" t="s">
        <v>11</v>
      </c>
      <c r="S3" s="4" t="s">
        <v>51</v>
      </c>
      <c r="T3" s="4" t="s">
        <v>12</v>
      </c>
      <c r="U3" s="4" t="s">
        <v>13</v>
      </c>
      <c r="V3" s="10" t="s">
        <v>74</v>
      </c>
      <c r="W3" s="4" t="s">
        <v>14</v>
      </c>
      <c r="X3" s="4" t="s">
        <v>15</v>
      </c>
      <c r="Y3" s="4" t="s">
        <v>16</v>
      </c>
      <c r="Z3" s="4" t="s">
        <v>17</v>
      </c>
      <c r="AA3" s="4" t="s">
        <v>18</v>
      </c>
      <c r="AB3" s="4" t="s">
        <v>47</v>
      </c>
      <c r="AC3" s="4" t="s">
        <v>19</v>
      </c>
      <c r="AD3" s="4" t="s">
        <v>29</v>
      </c>
      <c r="AE3" s="4" t="s">
        <v>54</v>
      </c>
      <c r="AF3" s="10" t="s">
        <v>94</v>
      </c>
      <c r="AG3" s="4" t="s">
        <v>20</v>
      </c>
      <c r="AH3" s="4" t="s">
        <v>21</v>
      </c>
      <c r="AI3" s="4" t="s">
        <v>22</v>
      </c>
      <c r="AJ3" s="4" t="s">
        <v>23</v>
      </c>
      <c r="AK3" s="4" t="s">
        <v>24</v>
      </c>
      <c r="AL3" s="4" t="s">
        <v>48</v>
      </c>
      <c r="AM3" s="4" t="s">
        <v>25</v>
      </c>
      <c r="AN3" s="4" t="s">
        <v>30</v>
      </c>
      <c r="AO3" s="10" t="s">
        <v>77</v>
      </c>
      <c r="AP3" s="5" t="s">
        <v>52</v>
      </c>
      <c r="AQ3" s="5" t="s">
        <v>31</v>
      </c>
      <c r="AR3" s="5" t="s">
        <v>32</v>
      </c>
      <c r="AS3" s="5" t="s">
        <v>33</v>
      </c>
      <c r="AT3" s="5" t="s">
        <v>34</v>
      </c>
      <c r="AU3" s="5" t="s">
        <v>53</v>
      </c>
      <c r="AV3" s="5" t="s">
        <v>35</v>
      </c>
      <c r="AW3" s="5" t="s">
        <v>36</v>
      </c>
      <c r="AX3" s="10" t="s">
        <v>78</v>
      </c>
      <c r="AY3" s="5" t="s">
        <v>38</v>
      </c>
      <c r="AZ3" s="5" t="s">
        <v>37</v>
      </c>
      <c r="BA3" s="5" t="s">
        <v>39</v>
      </c>
      <c r="BB3" s="5" t="s">
        <v>40</v>
      </c>
      <c r="BC3" s="5" t="s">
        <v>41</v>
      </c>
      <c r="BD3" s="5" t="s">
        <v>64</v>
      </c>
      <c r="BE3" s="5" t="s">
        <v>42</v>
      </c>
      <c r="BF3" s="5" t="s">
        <v>43</v>
      </c>
      <c r="BG3" s="5" t="s">
        <v>44</v>
      </c>
      <c r="BH3" s="10" t="s">
        <v>79</v>
      </c>
      <c r="BI3" s="4" t="s">
        <v>45</v>
      </c>
      <c r="BJ3" s="4" t="s">
        <v>55</v>
      </c>
      <c r="BK3" s="4" t="s">
        <v>56</v>
      </c>
      <c r="BL3" s="4" t="s">
        <v>57</v>
      </c>
      <c r="BM3" s="4" t="s">
        <v>58</v>
      </c>
      <c r="BN3" s="10" t="s">
        <v>85</v>
      </c>
      <c r="BO3" s="4" t="s">
        <v>46</v>
      </c>
      <c r="BP3" s="4" t="s">
        <v>59</v>
      </c>
      <c r="BQ3" s="4" t="s">
        <v>60</v>
      </c>
      <c r="BR3" s="4" t="s">
        <v>61</v>
      </c>
      <c r="BS3" s="4" t="s">
        <v>62</v>
      </c>
      <c r="BT3" s="4" t="s">
        <v>63</v>
      </c>
      <c r="BU3" s="10" t="s">
        <v>86</v>
      </c>
      <c r="BV3" s="10" t="s">
        <v>88</v>
      </c>
    </row>
    <row r="4" spans="1:76">
      <c r="A4" t="s">
        <v>65</v>
      </c>
      <c r="B4" t="s">
        <v>66</v>
      </c>
      <c r="C4" s="11">
        <v>1</v>
      </c>
      <c r="D4" s="6">
        <v>8.5598296756123151</v>
      </c>
      <c r="E4" s="6">
        <v>3.7813182811836827</v>
      </c>
      <c r="F4" s="6">
        <v>0.96310761878061957</v>
      </c>
      <c r="G4" s="6">
        <v>2.8786562809539253</v>
      </c>
      <c r="H4" s="6">
        <v>18.943152286656357</v>
      </c>
      <c r="I4" s="6">
        <v>4.6410809905048529</v>
      </c>
      <c r="J4" s="6">
        <v>11.507740296695433</v>
      </c>
      <c r="K4" s="6">
        <v>1.6988386656666992</v>
      </c>
      <c r="L4" s="8">
        <f t="shared" ref="L4:L33" si="0">SUM(D4:K4)</f>
        <v>52.973724096053886</v>
      </c>
      <c r="M4" s="6">
        <v>9.0035607317917687</v>
      </c>
      <c r="N4" s="6">
        <v>1.6695094734854561</v>
      </c>
      <c r="O4" s="6">
        <v>2.4306939654651605</v>
      </c>
      <c r="P4" s="6">
        <v>8.4788921890757685</v>
      </c>
      <c r="Q4" s="6">
        <v>24.579266581420359</v>
      </c>
      <c r="R4" s="6">
        <v>28.689833201640759</v>
      </c>
      <c r="S4" s="6">
        <v>8.9849022007932753</v>
      </c>
      <c r="T4" s="6">
        <v>29.958544569116476</v>
      </c>
      <c r="U4" s="6">
        <v>5.3253728794177073</v>
      </c>
      <c r="V4" s="8">
        <f t="shared" ref="V4:V33" si="1">SUM(M4:U4)</f>
        <v>119.12057579220674</v>
      </c>
      <c r="W4" s="6">
        <v>0.98133910174158712</v>
      </c>
      <c r="X4" s="6">
        <v>1.0065718270981059</v>
      </c>
      <c r="Y4" s="6">
        <v>0.5685852489398443</v>
      </c>
      <c r="Z4" s="6">
        <v>4.2879017749243529</v>
      </c>
      <c r="AA4" s="6">
        <v>141.38829291841532</v>
      </c>
      <c r="AB4" s="6">
        <v>45.732658936461881</v>
      </c>
      <c r="AC4" s="6">
        <v>105.40853616427376</v>
      </c>
      <c r="AD4" s="6">
        <v>23.022334617079753</v>
      </c>
      <c r="AE4" s="6">
        <v>1.2415168665344694</v>
      </c>
      <c r="AF4" s="8">
        <f t="shared" ref="AF4:AF33" si="2">SUM(W4:AE4)</f>
        <v>323.63773745546911</v>
      </c>
      <c r="AG4" s="6">
        <v>3.2149181651301739</v>
      </c>
      <c r="AH4" s="6">
        <v>1.1083085062714186</v>
      </c>
      <c r="AI4" s="6">
        <v>1.9537997455777456</v>
      </c>
      <c r="AJ4" s="6">
        <v>1.3983675363910046</v>
      </c>
      <c r="AK4" s="6">
        <v>92.901561646796864</v>
      </c>
      <c r="AL4" s="6">
        <v>19.116345882835283</v>
      </c>
      <c r="AM4" s="6">
        <v>37.130064182955635</v>
      </c>
      <c r="AN4" s="6">
        <v>0.38471970105048814</v>
      </c>
      <c r="AO4" s="8">
        <f t="shared" ref="AO4:AO33" si="3">SUM(AG4:AN4)</f>
        <v>157.20808536700864</v>
      </c>
      <c r="AP4" s="3">
        <v>19.538826539405367</v>
      </c>
      <c r="AQ4" s="12">
        <v>6.5572437632708862</v>
      </c>
      <c r="AR4" s="12">
        <v>3.5620533363831752</v>
      </c>
      <c r="AS4" s="12">
        <v>4.7595184610863743</v>
      </c>
      <c r="AT4" s="12">
        <v>130.09890562832061</v>
      </c>
      <c r="AU4" s="12">
        <v>106.70858351417083</v>
      </c>
      <c r="AV4" s="12">
        <v>342.27347405976542</v>
      </c>
      <c r="AW4" s="12">
        <v>30.819141097788581</v>
      </c>
      <c r="AX4" s="6">
        <f t="shared" ref="AX4:AX33" si="4">SUM(AP4:AW4)</f>
        <v>644.31774640019125</v>
      </c>
      <c r="AY4" s="12"/>
      <c r="AZ4" s="6">
        <v>8.9462160394576919</v>
      </c>
      <c r="BA4" s="6">
        <v>5.4269578507538867</v>
      </c>
      <c r="BB4" s="6">
        <v>16.927317662709125</v>
      </c>
      <c r="BC4" s="6">
        <v>274.67095643865224</v>
      </c>
      <c r="BD4" s="6">
        <v>140.89256915784119</v>
      </c>
      <c r="BE4" s="6">
        <v>528.4538113404351</v>
      </c>
      <c r="BF4" s="6">
        <v>169.62719356813659</v>
      </c>
      <c r="BG4" s="6">
        <v>14.74883800945385</v>
      </c>
      <c r="BH4" s="6">
        <f t="shared" ref="BH4:BH33" si="5">SUM(AY4:BG4)</f>
        <v>1159.6938600674398</v>
      </c>
      <c r="BI4" s="3">
        <v>0.16348801811048183</v>
      </c>
      <c r="BJ4" s="3">
        <v>0.64488301580592922</v>
      </c>
      <c r="BK4" s="3">
        <v>2.033610713876068</v>
      </c>
      <c r="BL4" s="3">
        <v>0.41882589792816516</v>
      </c>
      <c r="BM4" s="3">
        <v>0.4404569530255561</v>
      </c>
      <c r="BN4" s="6">
        <f t="shared" ref="BN4:BN33" si="6">SUM(BI4:BM4)</f>
        <v>3.7012645987462003</v>
      </c>
      <c r="BO4" s="6">
        <v>0.68864535715726294</v>
      </c>
      <c r="BP4" s="6">
        <v>1.0235085792288072</v>
      </c>
      <c r="BQ4" s="6">
        <v>6.562180191023975</v>
      </c>
      <c r="BR4" s="6">
        <v>1.7746885210452832</v>
      </c>
      <c r="BS4" s="6">
        <v>2.5543275032768276</v>
      </c>
      <c r="BT4" s="6">
        <v>0.16489224834654118</v>
      </c>
      <c r="BU4" s="6">
        <f t="shared" ref="BU4:BU33" si="7">SUM(BO4:BT4)</f>
        <v>12.768242400078696</v>
      </c>
      <c r="BV4" s="8">
        <f t="shared" ref="BV4:BV33" si="8">SUM(L4,V4,AF4,AO4,AX4,BH4,BN4,BU4)</f>
        <v>2473.4212361771943</v>
      </c>
      <c r="BX4" s="3"/>
    </row>
    <row r="5" spans="1:76">
      <c r="C5" s="11">
        <v>2</v>
      </c>
      <c r="D5" s="6">
        <v>8.3381515446275003</v>
      </c>
      <c r="E5" s="6">
        <v>4.0168515107075544</v>
      </c>
      <c r="F5" s="6">
        <v>0.89305145793591789</v>
      </c>
      <c r="G5" s="6">
        <v>2.3162537087988513</v>
      </c>
      <c r="H5" s="6">
        <v>20.200988381973314</v>
      </c>
      <c r="I5" s="6">
        <v>6.6124548144031694</v>
      </c>
      <c r="J5" s="6">
        <v>14.97867697512554</v>
      </c>
      <c r="K5" s="6">
        <v>3.2987759514733161</v>
      </c>
      <c r="L5" s="8">
        <f t="shared" si="0"/>
        <v>60.655204345045163</v>
      </c>
      <c r="M5" s="6">
        <v>6.8603116294858939</v>
      </c>
      <c r="N5" s="6">
        <v>1.5937974774001482</v>
      </c>
      <c r="O5" s="6">
        <v>1.2771534667575908</v>
      </c>
      <c r="P5" s="6">
        <v>5.2461256239610927</v>
      </c>
      <c r="Q5" s="6">
        <v>27.37708428553346</v>
      </c>
      <c r="R5" s="6">
        <v>23.320654184970572</v>
      </c>
      <c r="S5" s="6">
        <v>7.4343028248877507</v>
      </c>
      <c r="T5" s="6">
        <v>30.516428051437984</v>
      </c>
      <c r="U5" s="6">
        <v>8.3821437679339468</v>
      </c>
      <c r="V5" s="8">
        <f t="shared" si="1"/>
        <v>112.00800131236844</v>
      </c>
      <c r="W5" s="6">
        <v>1.7348094685639868</v>
      </c>
      <c r="X5" s="6">
        <v>0.63202312939396943</v>
      </c>
      <c r="Y5" s="6">
        <v>0.78635263657627574</v>
      </c>
      <c r="Z5" s="6">
        <v>7.6211117601633092</v>
      </c>
      <c r="AA5" s="6">
        <v>214.99043179086641</v>
      </c>
      <c r="AB5" s="6">
        <v>90.230523359440696</v>
      </c>
      <c r="AC5" s="6">
        <v>211.39576580576872</v>
      </c>
      <c r="AD5" s="6">
        <v>59.747918338123554</v>
      </c>
      <c r="AE5" s="6">
        <v>2.7045095819864522</v>
      </c>
      <c r="AF5" s="8">
        <f t="shared" si="2"/>
        <v>589.84344587088344</v>
      </c>
      <c r="AG5" s="6">
        <v>1.3043194180067568</v>
      </c>
      <c r="AH5" s="6">
        <v>0.75211364956264382</v>
      </c>
      <c r="AI5" s="6">
        <v>0.74603244976958283</v>
      </c>
      <c r="AJ5" s="6">
        <v>2.076584636582433</v>
      </c>
      <c r="AK5" s="6">
        <v>124.65875595336611</v>
      </c>
      <c r="AL5" s="6">
        <v>33.952552171982454</v>
      </c>
      <c r="AM5" s="6">
        <v>58.297785491581514</v>
      </c>
      <c r="AN5" s="6">
        <v>1.2344064774690566</v>
      </c>
      <c r="AO5" s="8">
        <f t="shared" si="3"/>
        <v>223.02255024832058</v>
      </c>
      <c r="AP5" s="3">
        <v>16.377370860315231</v>
      </c>
      <c r="AQ5" s="12">
        <v>10.397546419149755</v>
      </c>
      <c r="AR5" s="12">
        <v>2.1007286640994445</v>
      </c>
      <c r="AS5" s="12">
        <v>7.332032084417369</v>
      </c>
      <c r="AT5" s="12">
        <v>225.6250945888485</v>
      </c>
      <c r="AU5" s="12">
        <v>208.53366428276502</v>
      </c>
      <c r="AV5" s="12">
        <v>608.77473924542767</v>
      </c>
      <c r="AW5" s="12">
        <v>51.670658572443529</v>
      </c>
      <c r="AX5" s="6">
        <f t="shared" si="4"/>
        <v>1130.8118347174666</v>
      </c>
      <c r="AY5" s="12"/>
      <c r="AZ5" s="6">
        <v>6.3429391509516071</v>
      </c>
      <c r="BA5" s="6">
        <v>6.5624044150736696</v>
      </c>
      <c r="BB5" s="6">
        <v>18.692775241822222</v>
      </c>
      <c r="BC5" s="6">
        <v>323.62572371300593</v>
      </c>
      <c r="BD5" s="6">
        <v>158.01064103628545</v>
      </c>
      <c r="BE5" s="6">
        <v>572.67362151748205</v>
      </c>
      <c r="BF5" s="6">
        <v>217.85808353556376</v>
      </c>
      <c r="BG5" s="6">
        <v>24.12584312302544</v>
      </c>
      <c r="BH5" s="6">
        <f t="shared" si="5"/>
        <v>1327.8920317332099</v>
      </c>
      <c r="BI5" s="3">
        <v>1.0298769356162982</v>
      </c>
      <c r="BJ5" s="3">
        <v>0.46126537833541759</v>
      </c>
      <c r="BK5" s="3">
        <v>5.8934140616807493</v>
      </c>
      <c r="BL5" s="3">
        <v>0.94611186214648291</v>
      </c>
      <c r="BM5" s="3">
        <v>1.0552195932945829</v>
      </c>
      <c r="BN5" s="6">
        <f t="shared" si="6"/>
        <v>9.3858878310735303</v>
      </c>
      <c r="BO5" s="6">
        <v>1.7585376322241164</v>
      </c>
      <c r="BP5" s="6">
        <v>2.1228087554907642</v>
      </c>
      <c r="BQ5" s="6">
        <v>14.373510604640815</v>
      </c>
      <c r="BR5" s="6">
        <v>2.6756794084795574</v>
      </c>
      <c r="BS5" s="6">
        <v>4.8193755664877855</v>
      </c>
      <c r="BT5" s="6">
        <v>0.23589228927760597</v>
      </c>
      <c r="BU5" s="6">
        <f t="shared" si="7"/>
        <v>25.985804256600641</v>
      </c>
      <c r="BV5" s="8">
        <f t="shared" si="8"/>
        <v>3479.6047603149682</v>
      </c>
      <c r="BX5" s="3"/>
    </row>
    <row r="6" spans="1:76">
      <c r="C6" s="11">
        <v>3</v>
      </c>
      <c r="D6" s="6">
        <v>3.5565797877762888</v>
      </c>
      <c r="E6" s="6">
        <v>2.0138698867120692</v>
      </c>
      <c r="F6" s="6">
        <v>1.5290523191176062</v>
      </c>
      <c r="G6" s="6">
        <v>3.0635650769566629</v>
      </c>
      <c r="H6" s="6">
        <v>16.819641047748746</v>
      </c>
      <c r="I6" s="6">
        <v>3.7141719620311178</v>
      </c>
      <c r="J6" s="6">
        <v>7.2099105277971525</v>
      </c>
      <c r="K6" s="6">
        <v>1.0864537275727553</v>
      </c>
      <c r="L6" s="8">
        <f t="shared" si="0"/>
        <v>38.993244335712397</v>
      </c>
      <c r="M6" s="6">
        <v>11.779596630025365</v>
      </c>
      <c r="N6" s="6">
        <v>1.9195672963686896</v>
      </c>
      <c r="O6" s="6">
        <v>1.5574650538508035</v>
      </c>
      <c r="P6" s="6">
        <v>7.155382360985227</v>
      </c>
      <c r="Q6" s="6">
        <v>25.904839150635322</v>
      </c>
      <c r="R6" s="6">
        <v>23.137411129947829</v>
      </c>
      <c r="S6" s="6">
        <v>7.1299935671171353</v>
      </c>
      <c r="T6" s="6">
        <v>17.73597444031833</v>
      </c>
      <c r="U6" s="6">
        <v>2.5496006222976577</v>
      </c>
      <c r="V6" s="8">
        <f t="shared" si="1"/>
        <v>98.869830251546361</v>
      </c>
      <c r="W6" s="6">
        <v>2.8056586763388238</v>
      </c>
      <c r="X6" s="6">
        <v>2.2629360136321597</v>
      </c>
      <c r="Y6" s="6">
        <v>1.7880721777990864</v>
      </c>
      <c r="Z6" s="6">
        <v>15.083533051925805</v>
      </c>
      <c r="AA6" s="6">
        <v>315.66776880864467</v>
      </c>
      <c r="AB6" s="6">
        <v>127.75821443813054</v>
      </c>
      <c r="AC6" s="6">
        <v>196.61231623234579</v>
      </c>
      <c r="AD6" s="6">
        <v>36.415815273907832</v>
      </c>
      <c r="AE6" s="6">
        <v>1.2474893015848587</v>
      </c>
      <c r="AF6" s="8">
        <f t="shared" si="2"/>
        <v>699.6418039743096</v>
      </c>
      <c r="AG6" s="6">
        <v>1.5044748510853287</v>
      </c>
      <c r="AH6" s="6">
        <v>1.1137943366823131</v>
      </c>
      <c r="AI6" s="6">
        <v>1.3680030714620774</v>
      </c>
      <c r="AJ6" s="6">
        <v>3.2177180936071323</v>
      </c>
      <c r="AK6" s="6">
        <v>149.20578743105841</v>
      </c>
      <c r="AL6" s="6">
        <v>45.20794333683407</v>
      </c>
      <c r="AM6" s="6">
        <v>47.639849667482139</v>
      </c>
      <c r="AN6" s="6">
        <v>0.52771417887433603</v>
      </c>
      <c r="AO6" s="8">
        <f t="shared" si="3"/>
        <v>249.7852849670858</v>
      </c>
      <c r="AP6" s="3">
        <v>31.211287630718004</v>
      </c>
      <c r="AQ6" s="12">
        <v>14.204905524555848</v>
      </c>
      <c r="AR6" s="12">
        <v>4.0807528606666175</v>
      </c>
      <c r="AS6" s="12">
        <v>11.324570647699364</v>
      </c>
      <c r="AT6" s="12">
        <v>428.70745503734315</v>
      </c>
      <c r="AU6" s="12">
        <v>374.61726549398787</v>
      </c>
      <c r="AV6" s="12">
        <v>1080.4567954326858</v>
      </c>
      <c r="AW6" s="12">
        <v>69.749574200601558</v>
      </c>
      <c r="AX6" s="6">
        <f t="shared" si="4"/>
        <v>2014.3526068282581</v>
      </c>
      <c r="AY6" s="12"/>
      <c r="AZ6" s="6">
        <v>14.806353367313154</v>
      </c>
      <c r="BA6" s="6">
        <v>10.800765506316708</v>
      </c>
      <c r="BB6" s="6">
        <v>31.708572242385259</v>
      </c>
      <c r="BC6" s="6">
        <v>579.60043541381037</v>
      </c>
      <c r="BD6" s="6">
        <v>302.25477864816821</v>
      </c>
      <c r="BE6" s="6">
        <v>946.21232594220567</v>
      </c>
      <c r="BF6" s="6">
        <v>256.53682393980932</v>
      </c>
      <c r="BG6" s="6">
        <v>21.524211824024622</v>
      </c>
      <c r="BH6" s="6">
        <f t="shared" si="5"/>
        <v>2163.4442668840334</v>
      </c>
      <c r="BI6" s="3">
        <v>0.36376829021285056</v>
      </c>
      <c r="BJ6" s="3">
        <v>0.27542209254124278</v>
      </c>
      <c r="BK6" s="3">
        <v>1.7067833191115434</v>
      </c>
      <c r="BL6" s="3">
        <v>0.26025214368075583</v>
      </c>
      <c r="BM6" s="3">
        <v>0.3225364082527486</v>
      </c>
      <c r="BN6" s="6">
        <f t="shared" si="6"/>
        <v>2.9287622537991407</v>
      </c>
      <c r="BO6" s="6">
        <v>0.49056037302778333</v>
      </c>
      <c r="BP6" s="6">
        <v>0.57493197285657971</v>
      </c>
      <c r="BQ6" s="6">
        <v>3.5241494784203025</v>
      </c>
      <c r="BR6" s="6">
        <v>0.92904580227148426</v>
      </c>
      <c r="BS6" s="6">
        <v>1.2380005869245947</v>
      </c>
      <c r="BT6" s="6">
        <v>0.1114835217830457</v>
      </c>
      <c r="BU6" s="6">
        <f t="shared" si="7"/>
        <v>6.8681717352837905</v>
      </c>
      <c r="BV6" s="8">
        <f t="shared" si="8"/>
        <v>5274.8839712300296</v>
      </c>
      <c r="BX6" s="3"/>
    </row>
    <row r="7" spans="1:76">
      <c r="C7" s="11">
        <v>5</v>
      </c>
      <c r="D7" s="6">
        <v>13.321623688395277</v>
      </c>
      <c r="E7" s="6">
        <v>5.9409201323622431</v>
      </c>
      <c r="F7" s="6">
        <v>2.6385994448249939</v>
      </c>
      <c r="G7" s="6">
        <v>8.8245686990620005</v>
      </c>
      <c r="H7" s="6">
        <v>68.089707115344922</v>
      </c>
      <c r="I7" s="6">
        <v>14.654109061571445</v>
      </c>
      <c r="J7" s="6">
        <v>35.627749909884344</v>
      </c>
      <c r="K7" s="6">
        <v>5.6388586768568771</v>
      </c>
      <c r="L7" s="8">
        <f t="shared" si="0"/>
        <v>154.73613672830211</v>
      </c>
      <c r="M7" s="6">
        <v>23.528043673439036</v>
      </c>
      <c r="N7" s="6">
        <v>6.1871574554470685</v>
      </c>
      <c r="O7" s="6">
        <v>4.6067887068407405</v>
      </c>
      <c r="P7" s="6">
        <v>26.319905690116581</v>
      </c>
      <c r="Q7" s="6">
        <v>76.66344440111645</v>
      </c>
      <c r="R7" s="6">
        <v>109.79193418019209</v>
      </c>
      <c r="S7" s="6">
        <v>32.288105272955399</v>
      </c>
      <c r="T7" s="6">
        <v>98.401035299505068</v>
      </c>
      <c r="U7" s="6">
        <v>17.583494103500662</v>
      </c>
      <c r="V7" s="8">
        <f t="shared" si="1"/>
        <v>395.36990878311309</v>
      </c>
      <c r="W7" s="6">
        <v>2.4236389218426249</v>
      </c>
      <c r="X7" s="6">
        <v>3.6364069503871663</v>
      </c>
      <c r="Y7" s="6">
        <v>1.1433550387934668</v>
      </c>
      <c r="Z7" s="6">
        <v>19.013177819615102</v>
      </c>
      <c r="AA7" s="6">
        <v>394.98231861555729</v>
      </c>
      <c r="AB7" s="6">
        <v>107.74212569072796</v>
      </c>
      <c r="AC7" s="6">
        <v>222.45932158625848</v>
      </c>
      <c r="AD7" s="6">
        <v>44.014937349635801</v>
      </c>
      <c r="AE7" s="6">
        <v>1.9385030895873125</v>
      </c>
      <c r="AF7" s="8">
        <f t="shared" si="2"/>
        <v>797.35378506240522</v>
      </c>
      <c r="AG7" s="6">
        <v>5.2712934686816428</v>
      </c>
      <c r="AH7" s="6">
        <v>4.7510092919975282</v>
      </c>
      <c r="AI7" s="6">
        <v>3.4844492605712345</v>
      </c>
      <c r="AJ7" s="6">
        <v>9.1743186941817214</v>
      </c>
      <c r="AK7" s="6">
        <v>379.45256582230587</v>
      </c>
      <c r="AL7" s="6">
        <v>50.509381164223569</v>
      </c>
      <c r="AM7" s="6">
        <v>122.36973908704675</v>
      </c>
      <c r="AN7" s="6">
        <v>1.5478738937998651</v>
      </c>
      <c r="AO7" s="8">
        <f t="shared" si="3"/>
        <v>576.56063068280821</v>
      </c>
      <c r="AP7" s="3">
        <v>24.069097799848681</v>
      </c>
      <c r="AQ7" s="12">
        <v>15.178620541894865</v>
      </c>
      <c r="AR7" s="12">
        <v>3.8754929693505895</v>
      </c>
      <c r="AS7" s="12">
        <v>10.106162807299194</v>
      </c>
      <c r="AT7" s="12">
        <v>307.90745033918989</v>
      </c>
      <c r="AU7" s="12">
        <v>204.0896613111621</v>
      </c>
      <c r="AV7" s="12">
        <v>613.97626046317225</v>
      </c>
      <c r="AW7" s="12">
        <v>44.755311225436451</v>
      </c>
      <c r="AX7" s="6">
        <f t="shared" si="4"/>
        <v>1223.9580574573538</v>
      </c>
      <c r="AY7" s="12"/>
      <c r="AZ7" s="6">
        <v>14.182587730323947</v>
      </c>
      <c r="BA7" s="6">
        <v>9.6448572712324676</v>
      </c>
      <c r="BB7" s="6">
        <v>31.378546410113213</v>
      </c>
      <c r="BC7" s="6">
        <v>619.89727569403385</v>
      </c>
      <c r="BD7" s="6">
        <v>217.85420474359518</v>
      </c>
      <c r="BE7" s="6">
        <v>898.79231567454917</v>
      </c>
      <c r="BF7" s="6">
        <v>253.54007509235444</v>
      </c>
      <c r="BG7" s="6">
        <v>22.987007143923279</v>
      </c>
      <c r="BH7" s="6">
        <f t="shared" si="5"/>
        <v>2068.2768697601255</v>
      </c>
      <c r="BI7" s="3">
        <v>1.3399897952045203</v>
      </c>
      <c r="BJ7" s="3">
        <v>1.783773910733649</v>
      </c>
      <c r="BK7" s="3">
        <v>10.898538018370941</v>
      </c>
      <c r="BL7" s="3">
        <v>2.3794763227251918</v>
      </c>
      <c r="BM7" s="3">
        <v>4.0605219461834228</v>
      </c>
      <c r="BN7" s="6">
        <f t="shared" si="6"/>
        <v>20.462299993217727</v>
      </c>
      <c r="BO7" s="6">
        <v>3.4427979530477741</v>
      </c>
      <c r="BP7" s="6">
        <v>2.9596021703600579</v>
      </c>
      <c r="BQ7" s="6">
        <v>23.009405499802387</v>
      </c>
      <c r="BR7" s="6">
        <v>3.9713715887324432</v>
      </c>
      <c r="BS7" s="6">
        <v>9.066933787730056</v>
      </c>
      <c r="BT7" s="6">
        <v>0.43534223313213838</v>
      </c>
      <c r="BU7" s="6">
        <f t="shared" si="7"/>
        <v>42.885453232804863</v>
      </c>
      <c r="BV7" s="8">
        <f t="shared" si="8"/>
        <v>5279.6031417001313</v>
      </c>
      <c r="BX7" s="3"/>
    </row>
    <row r="8" spans="1:76">
      <c r="C8" s="11">
        <v>6</v>
      </c>
      <c r="D8" s="6">
        <v>4.914487701228782</v>
      </c>
      <c r="E8" s="6">
        <v>2.0774991608837063</v>
      </c>
      <c r="F8" s="6">
        <v>1.1661421134367114</v>
      </c>
      <c r="G8" s="6">
        <v>3.165844341247857</v>
      </c>
      <c r="H8" s="6">
        <v>17.413908513381642</v>
      </c>
      <c r="I8" s="6">
        <v>3.1279718850916503</v>
      </c>
      <c r="J8" s="6">
        <v>7.2165448533872318</v>
      </c>
      <c r="K8" s="6">
        <v>0.86175758920135515</v>
      </c>
      <c r="L8" s="8">
        <f t="shared" si="0"/>
        <v>39.944156157858934</v>
      </c>
      <c r="M8" s="6">
        <v>12.357060528309393</v>
      </c>
      <c r="N8" s="6">
        <v>2.6376786678698547</v>
      </c>
      <c r="O8" s="6">
        <v>3.6478544457919626</v>
      </c>
      <c r="P8" s="6">
        <v>10.763687339138686</v>
      </c>
      <c r="Q8" s="6">
        <v>37.034992155685458</v>
      </c>
      <c r="R8" s="6">
        <v>33.848985585380326</v>
      </c>
      <c r="S8" s="6">
        <v>9.1092141110470788</v>
      </c>
      <c r="T8" s="6">
        <v>27.439810009581006</v>
      </c>
      <c r="U8" s="6">
        <v>4.2517748390283359</v>
      </c>
      <c r="V8" s="8">
        <f t="shared" si="1"/>
        <v>141.0910576818321</v>
      </c>
      <c r="W8" s="6">
        <v>1.2335921884960848</v>
      </c>
      <c r="X8" s="6">
        <v>0.9040656420000599</v>
      </c>
      <c r="Y8" s="6">
        <v>0.90552779419022356</v>
      </c>
      <c r="Z8" s="6">
        <v>7.0381771574458298</v>
      </c>
      <c r="AA8" s="6">
        <v>139.11656627473957</v>
      </c>
      <c r="AB8" s="6">
        <v>36.493071307953088</v>
      </c>
      <c r="AC8" s="6">
        <v>74.186948215953336</v>
      </c>
      <c r="AD8" s="6">
        <v>13.304726395487959</v>
      </c>
      <c r="AE8" s="6">
        <v>0.76748984407266196</v>
      </c>
      <c r="AF8" s="8">
        <f t="shared" si="2"/>
        <v>273.95016482033878</v>
      </c>
      <c r="AG8" s="6">
        <v>1.3950702419061978</v>
      </c>
      <c r="AH8" s="6">
        <v>1.1550394828763917</v>
      </c>
      <c r="AI8" s="6">
        <v>1.2646194009468517</v>
      </c>
      <c r="AJ8" s="6">
        <v>4.9334156411762926</v>
      </c>
      <c r="AK8" s="6">
        <v>178.91136023669196</v>
      </c>
      <c r="AL8" s="6">
        <v>35.933252079952993</v>
      </c>
      <c r="AM8" s="6">
        <v>47.885673489464281</v>
      </c>
      <c r="AN8" s="6">
        <v>0.40829058439042748</v>
      </c>
      <c r="AO8" s="8">
        <f t="shared" si="3"/>
        <v>271.88672115740542</v>
      </c>
      <c r="AP8" s="3">
        <v>10.379352060282093</v>
      </c>
      <c r="AQ8" s="12">
        <v>6.0607763295611692</v>
      </c>
      <c r="AR8" s="12">
        <v>2.4134599483981742</v>
      </c>
      <c r="AS8" s="12">
        <v>5.8302542102482695</v>
      </c>
      <c r="AT8" s="12">
        <v>184.36639375706275</v>
      </c>
      <c r="AU8" s="12">
        <v>129.21161175054658</v>
      </c>
      <c r="AV8" s="12">
        <v>366.01227149167795</v>
      </c>
      <c r="AW8" s="12">
        <v>25.267980232794688</v>
      </c>
      <c r="AX8" s="6">
        <f t="shared" si="4"/>
        <v>729.54209978057168</v>
      </c>
      <c r="AY8" s="12"/>
      <c r="AZ8" s="6">
        <v>5.4544714285149301</v>
      </c>
      <c r="BA8" s="6">
        <v>4.1174431014907569</v>
      </c>
      <c r="BB8" s="6">
        <v>13.797562552622651</v>
      </c>
      <c r="BC8" s="6">
        <v>218.77148851910647</v>
      </c>
      <c r="BD8" s="6">
        <v>93.303278475162614</v>
      </c>
      <c r="BE8" s="6">
        <v>384.07735987453555</v>
      </c>
      <c r="BF8" s="6">
        <v>106.58387458094307</v>
      </c>
      <c r="BG8" s="6">
        <v>8.1600948286442296</v>
      </c>
      <c r="BH8" s="6">
        <f t="shared" si="5"/>
        <v>834.2655733610203</v>
      </c>
      <c r="BI8" s="3">
        <v>3.2735153936772787E-2</v>
      </c>
      <c r="BJ8" s="3">
        <v>0.22178982163375782</v>
      </c>
      <c r="BK8" s="3">
        <v>2.0391413206751601</v>
      </c>
      <c r="BL8" s="3">
        <v>0</v>
      </c>
      <c r="BM8" s="3">
        <v>0.64941550011026017</v>
      </c>
      <c r="BN8" s="6">
        <f t="shared" si="6"/>
        <v>2.9430817963559508</v>
      </c>
      <c r="BO8" s="6">
        <v>0.52968484110938208</v>
      </c>
      <c r="BP8" s="6">
        <v>0.6415311358513297</v>
      </c>
      <c r="BQ8" s="6">
        <v>4.0029228402875212</v>
      </c>
      <c r="BR8" s="6">
        <v>1.0163394756007325</v>
      </c>
      <c r="BS8" s="6">
        <v>1.6910440745974344</v>
      </c>
      <c r="BT8" s="6">
        <v>0.12638731325947802</v>
      </c>
      <c r="BU8" s="6">
        <f t="shared" si="7"/>
        <v>8.0079096807058772</v>
      </c>
      <c r="BV8" s="8">
        <f t="shared" si="8"/>
        <v>2301.6307644360886</v>
      </c>
      <c r="BX8" s="3"/>
    </row>
    <row r="9" spans="1:76">
      <c r="C9" s="11">
        <v>7</v>
      </c>
      <c r="D9" s="6">
        <v>5.2162871617407873</v>
      </c>
      <c r="E9" s="6">
        <v>3.3774661024152288</v>
      </c>
      <c r="F9" s="6">
        <v>0.93784735122477558</v>
      </c>
      <c r="G9" s="6">
        <v>2.0841711225877235</v>
      </c>
      <c r="H9" s="6">
        <v>16.815853002959653</v>
      </c>
      <c r="I9" s="6">
        <v>4.2609148822043377</v>
      </c>
      <c r="J9" s="6">
        <v>11.03400906952538</v>
      </c>
      <c r="K9" s="6">
        <v>1.8747710448217785</v>
      </c>
      <c r="L9" s="8">
        <f t="shared" si="0"/>
        <v>45.601319737479663</v>
      </c>
      <c r="M9" s="6">
        <v>5.7246928491641258</v>
      </c>
      <c r="N9" s="6">
        <v>1.592865863172181</v>
      </c>
      <c r="O9" s="6">
        <v>1.4068788210202434</v>
      </c>
      <c r="P9" s="6">
        <v>5.7171400258302629</v>
      </c>
      <c r="Q9" s="6">
        <v>21.035920443417719</v>
      </c>
      <c r="R9" s="6">
        <v>22.670511564475092</v>
      </c>
      <c r="S9" s="6">
        <v>6.6721116792229473</v>
      </c>
      <c r="T9" s="6">
        <v>25.081205220664319</v>
      </c>
      <c r="U9" s="6">
        <v>4.6706644758649016</v>
      </c>
      <c r="V9" s="8">
        <f t="shared" si="1"/>
        <v>94.571990942831789</v>
      </c>
      <c r="W9" s="6">
        <v>1.2261500847474365</v>
      </c>
      <c r="X9" s="6">
        <v>0.63023024241292813</v>
      </c>
      <c r="Y9" s="6">
        <v>1.351713636839931</v>
      </c>
      <c r="Z9" s="6">
        <v>9.722802056286989</v>
      </c>
      <c r="AA9" s="6">
        <v>246.51811945089025</v>
      </c>
      <c r="AB9" s="6">
        <v>101.67999443797503</v>
      </c>
      <c r="AC9" s="6">
        <v>224.92052309469071</v>
      </c>
      <c r="AD9" s="6">
        <v>41.83851295179889</v>
      </c>
      <c r="AE9" s="6">
        <v>2.5064669702731943</v>
      </c>
      <c r="AF9" s="8">
        <f t="shared" si="2"/>
        <v>630.39451292591536</v>
      </c>
      <c r="AG9" s="6">
        <v>1.5907628231176862</v>
      </c>
      <c r="AH9" s="6">
        <v>1.0206826154528255</v>
      </c>
      <c r="AI9" s="6">
        <v>0.49861566801974722</v>
      </c>
      <c r="AJ9" s="6">
        <v>1.5894611669440335</v>
      </c>
      <c r="AK9" s="6">
        <v>158.82632999158025</v>
      </c>
      <c r="AL9" s="6">
        <v>43.149762737690175</v>
      </c>
      <c r="AM9" s="6">
        <v>59.590820453699855</v>
      </c>
      <c r="AN9" s="6">
        <v>0.48722730641016126</v>
      </c>
      <c r="AO9" s="8">
        <f t="shared" si="3"/>
        <v>266.7536627629147</v>
      </c>
      <c r="AP9" s="3">
        <v>19.959790788500289</v>
      </c>
      <c r="AQ9" s="12">
        <v>10.891664883032666</v>
      </c>
      <c r="AR9" s="12">
        <v>2.2892654512200181</v>
      </c>
      <c r="AS9" s="12">
        <v>5.0176489774488049</v>
      </c>
      <c r="AT9" s="12">
        <v>244.67513208460261</v>
      </c>
      <c r="AU9" s="12">
        <v>193.71631131774595</v>
      </c>
      <c r="AV9" s="12">
        <v>618.00632139424249</v>
      </c>
      <c r="AW9" s="12">
        <v>35.853809909092334</v>
      </c>
      <c r="AX9" s="6">
        <f t="shared" si="4"/>
        <v>1130.4099448058853</v>
      </c>
      <c r="AY9" s="12"/>
      <c r="AZ9" s="6">
        <v>8.5438344366275327</v>
      </c>
      <c r="BA9" s="6">
        <v>5.6578766726108256</v>
      </c>
      <c r="BB9" s="6">
        <v>17.241782770492637</v>
      </c>
      <c r="BC9" s="6">
        <v>351.84793207138375</v>
      </c>
      <c r="BD9" s="6">
        <v>170.44378577721687</v>
      </c>
      <c r="BE9" s="6">
        <v>688.40841044935632</v>
      </c>
      <c r="BF9" s="6">
        <v>184.52582123174676</v>
      </c>
      <c r="BG9" s="6">
        <v>20.171320299732287</v>
      </c>
      <c r="BH9" s="6">
        <f t="shared" si="5"/>
        <v>1446.840763709167</v>
      </c>
      <c r="BI9" s="3">
        <v>0.16514820185893123</v>
      </c>
      <c r="BJ9" s="3">
        <v>0.56136317028503402</v>
      </c>
      <c r="BK9" s="3">
        <v>2.5583127125975778</v>
      </c>
      <c r="BL9" s="3">
        <v>5.1088198239411409E-2</v>
      </c>
      <c r="BM9" s="3">
        <v>0.34010375955292327</v>
      </c>
      <c r="BN9" s="6">
        <f t="shared" si="6"/>
        <v>3.6760160425338779</v>
      </c>
      <c r="BO9" s="6">
        <v>0.56044533168995536</v>
      </c>
      <c r="BP9" s="6">
        <v>0.60713677408142874</v>
      </c>
      <c r="BQ9" s="6">
        <v>4.7163644740491373</v>
      </c>
      <c r="BR9" s="6">
        <v>1.3509318315376648</v>
      </c>
      <c r="BS9" s="6">
        <v>2.4678708214650249</v>
      </c>
      <c r="BT9" s="6">
        <v>0.18234131145145624</v>
      </c>
      <c r="BU9" s="6">
        <f t="shared" si="7"/>
        <v>9.8850905442746662</v>
      </c>
      <c r="BV9" s="8">
        <f t="shared" si="8"/>
        <v>3628.1333014710021</v>
      </c>
      <c r="BX9" s="3"/>
    </row>
    <row r="10" spans="1:76">
      <c r="B10" s="14"/>
      <c r="C10" s="11">
        <v>8</v>
      </c>
      <c r="D10" s="6">
        <v>5.6486016753165256</v>
      </c>
      <c r="E10" s="6">
        <v>2.1538596185880166</v>
      </c>
      <c r="F10" s="6">
        <v>0.63050295122529743</v>
      </c>
      <c r="G10" s="6">
        <v>1.9640464439700289</v>
      </c>
      <c r="H10" s="6">
        <v>12.834097421979665</v>
      </c>
      <c r="I10" s="6">
        <v>2.7762338951993453</v>
      </c>
      <c r="J10" s="6">
        <v>6.8386443082087087</v>
      </c>
      <c r="K10" s="6">
        <v>0.88281224356346621</v>
      </c>
      <c r="L10" s="8">
        <f t="shared" si="0"/>
        <v>33.728798558051054</v>
      </c>
      <c r="M10" s="6">
        <v>3.8749946899407846</v>
      </c>
      <c r="N10" s="6">
        <v>1.4336172589166121</v>
      </c>
      <c r="O10" s="6">
        <v>1.8513614012983086</v>
      </c>
      <c r="P10" s="6">
        <v>6.2032543279220151</v>
      </c>
      <c r="Q10" s="6">
        <v>21.662926253366038</v>
      </c>
      <c r="R10" s="6">
        <v>20.538777368049676</v>
      </c>
      <c r="S10" s="6">
        <v>5.4578435014588491</v>
      </c>
      <c r="T10" s="6">
        <v>20.518851658767151</v>
      </c>
      <c r="U10" s="6">
        <v>1.6404871910622243</v>
      </c>
      <c r="V10" s="8">
        <f t="shared" si="1"/>
        <v>83.182113650781659</v>
      </c>
      <c r="W10" s="6">
        <v>0.44997655801133468</v>
      </c>
      <c r="X10" s="6">
        <v>0.70292140193448327</v>
      </c>
      <c r="Y10" s="6">
        <v>0.13756386231604831</v>
      </c>
      <c r="Z10" s="6">
        <v>4.6019420071128696</v>
      </c>
      <c r="AA10" s="6">
        <v>110.73839491729576</v>
      </c>
      <c r="AB10" s="6">
        <v>29.115772026156382</v>
      </c>
      <c r="AC10" s="6">
        <v>62.939721066350216</v>
      </c>
      <c r="AD10" s="6">
        <v>9.7746787148894256</v>
      </c>
      <c r="AE10" s="6">
        <v>0.37857607259326959</v>
      </c>
      <c r="AF10" s="8">
        <f t="shared" si="2"/>
        <v>218.8395466266598</v>
      </c>
      <c r="AG10" s="6">
        <v>0.59103830006155134</v>
      </c>
      <c r="AH10" s="6">
        <v>1.1863489121604476</v>
      </c>
      <c r="AI10" s="6">
        <v>0.97773661067658124</v>
      </c>
      <c r="AJ10" s="6">
        <v>2.8058645439137209</v>
      </c>
      <c r="AK10" s="6">
        <v>138.15696386650004</v>
      </c>
      <c r="AL10" s="6">
        <v>25.077757023955854</v>
      </c>
      <c r="AM10" s="6">
        <v>44.153201039666222</v>
      </c>
      <c r="AN10" s="6">
        <v>0.52234045334763135</v>
      </c>
      <c r="AO10" s="8">
        <f t="shared" si="3"/>
        <v>213.47125075028202</v>
      </c>
      <c r="AP10" s="3">
        <v>6.920624126776822</v>
      </c>
      <c r="AQ10" s="12">
        <v>4.081428172292271</v>
      </c>
      <c r="AR10" s="12">
        <v>1.9252313777841676</v>
      </c>
      <c r="AS10" s="12">
        <v>4.2864645388532194</v>
      </c>
      <c r="AT10" s="12">
        <v>154.34210479247983</v>
      </c>
      <c r="AU10" s="12">
        <v>110.33493278682111</v>
      </c>
      <c r="AV10" s="12">
        <v>356.45067403231184</v>
      </c>
      <c r="AW10" s="12">
        <v>21.172312754522356</v>
      </c>
      <c r="AX10" s="6">
        <f t="shared" si="4"/>
        <v>659.51377258184175</v>
      </c>
      <c r="AY10" s="12"/>
      <c r="AZ10" s="6">
        <v>3.7820807042211415</v>
      </c>
      <c r="BA10" s="6">
        <v>2.8773333334840698</v>
      </c>
      <c r="BB10" s="6">
        <v>8.9703052773805041</v>
      </c>
      <c r="BC10" s="6">
        <v>184.77783064785859</v>
      </c>
      <c r="BD10" s="6">
        <v>87.688019879608831</v>
      </c>
      <c r="BE10" s="6">
        <v>312.68825176793081</v>
      </c>
      <c r="BF10" s="6">
        <v>93.834368539029029</v>
      </c>
      <c r="BG10" s="6">
        <v>6.2073440829456175</v>
      </c>
      <c r="BH10" s="6">
        <f t="shared" si="5"/>
        <v>700.82553423245861</v>
      </c>
      <c r="BI10" s="3">
        <v>0.21095680841899811</v>
      </c>
      <c r="BJ10" s="3">
        <v>0.13906846954990593</v>
      </c>
      <c r="BK10" s="3">
        <v>2.6533786651017124</v>
      </c>
      <c r="BL10" s="3">
        <v>0.2054346501463421</v>
      </c>
      <c r="BM10" s="3">
        <v>0.2830925078886814</v>
      </c>
      <c r="BN10" s="6">
        <f t="shared" si="6"/>
        <v>3.4919311011056395</v>
      </c>
      <c r="BO10" s="6">
        <v>0.56287465514899426</v>
      </c>
      <c r="BP10" s="6">
        <v>0.43926739520124847</v>
      </c>
      <c r="BQ10" s="6">
        <v>3.3049864050597701</v>
      </c>
      <c r="BR10" s="6">
        <v>0.97489147766786344</v>
      </c>
      <c r="BS10" s="6">
        <v>1.3795168840013305</v>
      </c>
      <c r="BT10" s="6">
        <v>0.12756251381591396</v>
      </c>
      <c r="BU10" s="6">
        <f t="shared" si="7"/>
        <v>6.7890993308951204</v>
      </c>
      <c r="BV10" s="8">
        <f t="shared" si="8"/>
        <v>1919.8420468320758</v>
      </c>
      <c r="BX10" s="3"/>
    </row>
    <row r="11" spans="1:76">
      <c r="C11" s="11">
        <v>9</v>
      </c>
      <c r="D11" s="6">
        <v>2.6024479224614772</v>
      </c>
      <c r="E11" s="6">
        <v>1.5861877565796119</v>
      </c>
      <c r="F11" s="6">
        <v>0.71982248119808701</v>
      </c>
      <c r="G11" s="6">
        <v>2.9968182672419643</v>
      </c>
      <c r="H11" s="6">
        <v>19.208058186705777</v>
      </c>
      <c r="I11" s="6">
        <v>4.5038810168718273</v>
      </c>
      <c r="J11" s="6">
        <v>11.102473846205051</v>
      </c>
      <c r="K11" s="6">
        <v>1.5339183642819711</v>
      </c>
      <c r="L11" s="8">
        <f t="shared" si="0"/>
        <v>44.253607841545772</v>
      </c>
      <c r="M11" s="6">
        <v>7.897151584625286</v>
      </c>
      <c r="N11" s="6">
        <v>1.8247279514599746</v>
      </c>
      <c r="O11" s="6">
        <v>2.2553517371228318</v>
      </c>
      <c r="P11" s="6">
        <v>13.377546858881129</v>
      </c>
      <c r="Q11" s="6">
        <v>49.293893544750972</v>
      </c>
      <c r="R11" s="6">
        <v>46.121411949592186</v>
      </c>
      <c r="S11" s="6">
        <v>12.312724825293934</v>
      </c>
      <c r="T11" s="6">
        <v>45.027284604460249</v>
      </c>
      <c r="U11" s="6">
        <v>11.414040384555522</v>
      </c>
      <c r="V11" s="8">
        <f t="shared" si="1"/>
        <v>189.5241334407421</v>
      </c>
      <c r="W11" s="6">
        <v>0.90279388441247999</v>
      </c>
      <c r="X11" s="6">
        <v>1.0431092228044756</v>
      </c>
      <c r="Y11" s="6">
        <v>1.7657833708092856</v>
      </c>
      <c r="Z11" s="6">
        <v>13.461574365616059</v>
      </c>
      <c r="AA11" s="6">
        <v>275.48477054488046</v>
      </c>
      <c r="AB11" s="6">
        <v>72.089864485008349</v>
      </c>
      <c r="AC11" s="6">
        <v>155.46278411550969</v>
      </c>
      <c r="AD11" s="6">
        <v>34.389091250890239</v>
      </c>
      <c r="AE11" s="6">
        <v>1.7453991566048408</v>
      </c>
      <c r="AF11" s="8">
        <f t="shared" si="2"/>
        <v>556.34517039653588</v>
      </c>
      <c r="AG11" s="6">
        <v>2.2143952101185107</v>
      </c>
      <c r="AH11" s="6">
        <v>1.0726759287129537</v>
      </c>
      <c r="AI11" s="6">
        <v>1.608543838008665</v>
      </c>
      <c r="AJ11" s="6">
        <v>3.6176897242946833</v>
      </c>
      <c r="AK11" s="6">
        <v>141.94081450394086</v>
      </c>
      <c r="AL11" s="6">
        <v>26.405662619703886</v>
      </c>
      <c r="AM11" s="6">
        <v>44.438218241340493</v>
      </c>
      <c r="AN11" s="6">
        <v>0.71547109069308334</v>
      </c>
      <c r="AO11" s="8">
        <f t="shared" si="3"/>
        <v>222.01347115681313</v>
      </c>
      <c r="AP11" s="3">
        <v>27.800406217161818</v>
      </c>
      <c r="AQ11" s="12">
        <v>14.100145687611406</v>
      </c>
      <c r="AR11" s="12">
        <v>4.9485463794541893</v>
      </c>
      <c r="AS11" s="12">
        <v>13.232045451513676</v>
      </c>
      <c r="AT11" s="12">
        <v>359.55142969110648</v>
      </c>
      <c r="AU11" s="12">
        <v>244.78061769239818</v>
      </c>
      <c r="AV11" s="12">
        <v>763.63128741031574</v>
      </c>
      <c r="AW11" s="12">
        <v>50.959668745167065</v>
      </c>
      <c r="AX11" s="6">
        <f t="shared" si="4"/>
        <v>1479.0041472747287</v>
      </c>
      <c r="AY11" s="12"/>
      <c r="AZ11" s="6">
        <v>9.5734374097940425</v>
      </c>
      <c r="BA11" s="6">
        <v>9.10172082595607</v>
      </c>
      <c r="BB11" s="6">
        <v>40.068852194833703</v>
      </c>
      <c r="BC11" s="6">
        <v>556.55889785685235</v>
      </c>
      <c r="BD11" s="6">
        <v>176.76021134414771</v>
      </c>
      <c r="BE11" s="6">
        <v>728.00546834669535</v>
      </c>
      <c r="BF11" s="6">
        <v>257.8007850173056</v>
      </c>
      <c r="BG11" s="6">
        <v>29.005886367124187</v>
      </c>
      <c r="BH11" s="6">
        <f t="shared" si="5"/>
        <v>1806.8752593627089</v>
      </c>
      <c r="BI11" s="3">
        <v>0.32377147528048061</v>
      </c>
      <c r="BJ11" s="3">
        <v>0.11847772965008646</v>
      </c>
      <c r="BK11" s="3">
        <v>1.6375201589262753</v>
      </c>
      <c r="BL11" s="3">
        <v>0.41237231046510248</v>
      </c>
      <c r="BM11" s="3">
        <v>0.48874424726179727</v>
      </c>
      <c r="BN11" s="6">
        <f t="shared" si="6"/>
        <v>2.980885921583742</v>
      </c>
      <c r="BO11" s="6">
        <v>1.0040540068295651</v>
      </c>
      <c r="BP11" s="6">
        <v>1.012319311569474</v>
      </c>
      <c r="BQ11" s="6">
        <v>7.4287874012368684</v>
      </c>
      <c r="BR11" s="6">
        <v>1.5571571938214297</v>
      </c>
      <c r="BS11" s="6">
        <v>3.3086249173941531</v>
      </c>
      <c r="BT11" s="6">
        <v>0.24296290775923055</v>
      </c>
      <c r="BU11" s="6">
        <f t="shared" si="7"/>
        <v>14.553905738610721</v>
      </c>
      <c r="BV11" s="8">
        <f t="shared" si="8"/>
        <v>4315.5505811332687</v>
      </c>
      <c r="BX11" s="3"/>
    </row>
    <row r="12" spans="1:76">
      <c r="C12" s="11">
        <v>10</v>
      </c>
      <c r="D12" s="6">
        <v>8.9154198684503143</v>
      </c>
      <c r="E12" s="6">
        <v>4.6050257826240006</v>
      </c>
      <c r="F12" s="6">
        <v>2.5766449946868919</v>
      </c>
      <c r="G12" s="6">
        <v>7.066616821663855</v>
      </c>
      <c r="H12" s="6">
        <v>54.052998413174926</v>
      </c>
      <c r="I12" s="6">
        <v>13.496544087875426</v>
      </c>
      <c r="J12" s="6">
        <v>43.822553649118582</v>
      </c>
      <c r="K12" s="6">
        <v>7.964424889065616</v>
      </c>
      <c r="L12" s="8">
        <f t="shared" si="0"/>
        <v>142.5002285066596</v>
      </c>
      <c r="M12" s="6">
        <v>31.159539555583496</v>
      </c>
      <c r="N12" s="6">
        <v>4.0765122266840867</v>
      </c>
      <c r="O12" s="6">
        <v>4.5150923911938854</v>
      </c>
      <c r="P12" s="6">
        <v>26.494631021927084</v>
      </c>
      <c r="Q12" s="6">
        <v>98.814764002098897</v>
      </c>
      <c r="R12" s="6">
        <v>96.665550821401425</v>
      </c>
      <c r="S12" s="6">
        <v>31.769759582887076</v>
      </c>
      <c r="T12" s="6">
        <v>120.94221840098021</v>
      </c>
      <c r="U12" s="6">
        <v>35.138653042290279</v>
      </c>
      <c r="V12" s="8">
        <f t="shared" si="1"/>
        <v>449.57672104504644</v>
      </c>
      <c r="W12" s="6">
        <v>2.1098492793818107</v>
      </c>
      <c r="X12" s="6">
        <v>2.6059819974686889</v>
      </c>
      <c r="Y12" s="6">
        <v>1.6244840961332216</v>
      </c>
      <c r="Z12" s="6">
        <v>14.43877239541035</v>
      </c>
      <c r="AA12" s="6">
        <v>284.85912918410429</v>
      </c>
      <c r="AB12" s="6">
        <v>94.122407287823137</v>
      </c>
      <c r="AC12" s="6">
        <v>254.81019570297127</v>
      </c>
      <c r="AD12" s="6">
        <v>61.087328238773409</v>
      </c>
      <c r="AE12" s="6">
        <v>2.6555943631554149</v>
      </c>
      <c r="AF12" s="8">
        <f t="shared" si="2"/>
        <v>718.31374254522143</v>
      </c>
      <c r="AG12" s="6">
        <v>7.8299179762602042</v>
      </c>
      <c r="AH12" s="6">
        <v>3.4367908475843429</v>
      </c>
      <c r="AI12" s="6">
        <v>3.8657648794534416</v>
      </c>
      <c r="AJ12" s="6">
        <v>8.5160172337428683</v>
      </c>
      <c r="AK12" s="6">
        <v>377.72703676378291</v>
      </c>
      <c r="AL12" s="6">
        <v>86.342111512045804</v>
      </c>
      <c r="AM12" s="6">
        <v>149.76077363920226</v>
      </c>
      <c r="AN12" s="6">
        <v>2.1622521167503757</v>
      </c>
      <c r="AO12" s="8">
        <f t="shared" si="3"/>
        <v>639.64066496882208</v>
      </c>
      <c r="AP12" s="3">
        <v>31.164538957624455</v>
      </c>
      <c r="AQ12" s="12">
        <v>12.653039502252915</v>
      </c>
      <c r="AR12" s="12">
        <v>5.1411974512058176</v>
      </c>
      <c r="AS12" s="12">
        <v>11.164614230761181</v>
      </c>
      <c r="AT12" s="12">
        <v>314.92212224932399</v>
      </c>
      <c r="AU12" s="12">
        <v>273.28980888280097</v>
      </c>
      <c r="AV12" s="12">
        <v>896.12718131599661</v>
      </c>
      <c r="AW12" s="12">
        <v>70.039771514598002</v>
      </c>
      <c r="AX12" s="6">
        <f t="shared" si="4"/>
        <v>1614.5022741045639</v>
      </c>
      <c r="AY12" s="12"/>
      <c r="AZ12" s="6">
        <v>11.624409445655571</v>
      </c>
      <c r="BA12" s="6">
        <v>9.9826628186784738</v>
      </c>
      <c r="BB12" s="6">
        <v>37.146220248067003</v>
      </c>
      <c r="BC12" s="6">
        <v>572.12236617209021</v>
      </c>
      <c r="BD12" s="6">
        <v>218.0554060758997</v>
      </c>
      <c r="BE12" s="6">
        <v>1001.5081371227053</v>
      </c>
      <c r="BF12" s="6">
        <v>357.26818485160601</v>
      </c>
      <c r="BG12" s="6">
        <v>36.335721634135112</v>
      </c>
      <c r="BH12" s="6">
        <f t="shared" si="5"/>
        <v>2244.0431083688372</v>
      </c>
      <c r="BI12" s="3">
        <v>0.86760192598792785</v>
      </c>
      <c r="BJ12" s="3">
        <v>0.5563746410686583</v>
      </c>
      <c r="BK12" s="3">
        <v>9.137787007018396</v>
      </c>
      <c r="BL12" s="3">
        <v>1.53685691095568</v>
      </c>
      <c r="BM12" s="3">
        <v>2.0054849407846951</v>
      </c>
      <c r="BN12" s="6">
        <f t="shared" si="6"/>
        <v>14.104105425815357</v>
      </c>
      <c r="BO12" s="6">
        <v>3.5645727359077735</v>
      </c>
      <c r="BP12" s="6">
        <v>3.2395045763103916</v>
      </c>
      <c r="BQ12" s="6">
        <v>23.914287997266086</v>
      </c>
      <c r="BR12" s="6">
        <v>4.775839344424071</v>
      </c>
      <c r="BS12" s="6">
        <v>9.1280219826049507</v>
      </c>
      <c r="BT12" s="6">
        <v>0.77504784578726449</v>
      </c>
      <c r="BU12" s="6">
        <f t="shared" si="7"/>
        <v>45.397274482300539</v>
      </c>
      <c r="BV12" s="8">
        <f t="shared" si="8"/>
        <v>5868.0781194472665</v>
      </c>
      <c r="BX12" s="3"/>
    </row>
    <row r="13" spans="1:76">
      <c r="C13" s="11">
        <v>11</v>
      </c>
      <c r="D13" s="6">
        <v>7.5625300821726613</v>
      </c>
      <c r="E13" s="6">
        <v>3.3019177670868802</v>
      </c>
      <c r="F13" s="6">
        <v>2.1740692888302191</v>
      </c>
      <c r="G13" s="6">
        <v>5.1198154097720909</v>
      </c>
      <c r="H13" s="6">
        <v>45.999270390869427</v>
      </c>
      <c r="I13" s="6">
        <v>16.655193160171844</v>
      </c>
      <c r="J13" s="6">
        <v>37.240028233930467</v>
      </c>
      <c r="K13" s="6">
        <v>5.2829058956237303</v>
      </c>
      <c r="L13" s="8">
        <f t="shared" si="0"/>
        <v>123.33573022845734</v>
      </c>
      <c r="M13" s="6">
        <v>20.383685383123701</v>
      </c>
      <c r="N13" s="6">
        <v>2.9036181712958911</v>
      </c>
      <c r="O13" s="6">
        <v>2.7919048499629131</v>
      </c>
      <c r="P13" s="6">
        <v>12.176092486447912</v>
      </c>
      <c r="Q13" s="6">
        <v>46.516459990761007</v>
      </c>
      <c r="R13" s="6">
        <v>60.750588318839803</v>
      </c>
      <c r="S13" s="6">
        <v>21.996114412397873</v>
      </c>
      <c r="T13" s="6">
        <v>73.420082817896812</v>
      </c>
      <c r="U13" s="6">
        <v>17.513076837040188</v>
      </c>
      <c r="V13" s="8">
        <f t="shared" si="1"/>
        <v>258.45162326776608</v>
      </c>
      <c r="W13" s="6">
        <v>2.1406958776912153</v>
      </c>
      <c r="X13" s="6">
        <v>1.876725285235251</v>
      </c>
      <c r="Y13" s="6">
        <v>1.42123099544803</v>
      </c>
      <c r="Z13" s="6">
        <v>12.414881119616021</v>
      </c>
      <c r="AA13" s="6">
        <v>329.55486562502648</v>
      </c>
      <c r="AB13" s="6">
        <v>137.82937112276531</v>
      </c>
      <c r="AC13" s="6">
        <v>316.35991765902162</v>
      </c>
      <c r="AD13" s="6">
        <v>77.879555319146462</v>
      </c>
      <c r="AE13" s="6">
        <v>3.8923745696209111</v>
      </c>
      <c r="AF13" s="8">
        <f t="shared" si="2"/>
        <v>883.3696175735713</v>
      </c>
      <c r="AG13" s="6">
        <v>2.7714889265988729</v>
      </c>
      <c r="AH13" s="6">
        <v>1.9088554151939632</v>
      </c>
      <c r="AI13" s="6">
        <v>2.3363216017412767</v>
      </c>
      <c r="AJ13" s="6">
        <v>4.4018543383549602</v>
      </c>
      <c r="AK13" s="6">
        <v>176.8593863349268</v>
      </c>
      <c r="AL13" s="6">
        <v>43.216660844394362</v>
      </c>
      <c r="AM13" s="6">
        <v>69.454821196499637</v>
      </c>
      <c r="AN13" s="6">
        <v>1.2094401946560016</v>
      </c>
      <c r="AO13" s="8">
        <f t="shared" si="3"/>
        <v>302.15882885236584</v>
      </c>
      <c r="AP13" s="3">
        <v>36.659620964494252</v>
      </c>
      <c r="AQ13" s="12">
        <v>16.635158546584499</v>
      </c>
      <c r="AR13" s="12">
        <v>6.9258557018078957</v>
      </c>
      <c r="AS13" s="12">
        <v>12.485549007342509</v>
      </c>
      <c r="AT13" s="12">
        <v>282.93131709102198</v>
      </c>
      <c r="AU13" s="12">
        <v>249.46739789165341</v>
      </c>
      <c r="AV13" s="12">
        <v>793.61839782493746</v>
      </c>
      <c r="AW13" s="12">
        <v>50.880329762168955</v>
      </c>
      <c r="AX13" s="6">
        <f t="shared" si="4"/>
        <v>1449.6036267900108</v>
      </c>
      <c r="AY13" s="12"/>
      <c r="AZ13" s="6">
        <v>13.499816794693857</v>
      </c>
      <c r="BA13" s="6">
        <v>9.0603504895019586</v>
      </c>
      <c r="BB13" s="6">
        <v>31.025830870300368</v>
      </c>
      <c r="BC13" s="6">
        <v>709.10744637901394</v>
      </c>
      <c r="BD13" s="6">
        <v>329.81693317348049</v>
      </c>
      <c r="BE13" s="6">
        <v>1253.4530243171343</v>
      </c>
      <c r="BF13" s="6">
        <v>346.86974508996565</v>
      </c>
      <c r="BG13" s="6">
        <v>49.379654172045861</v>
      </c>
      <c r="BH13" s="6">
        <f t="shared" si="5"/>
        <v>2742.2128012861367</v>
      </c>
      <c r="BI13" s="3">
        <v>1.2261092263937454</v>
      </c>
      <c r="BJ13" s="3">
        <v>0.60407472914326465</v>
      </c>
      <c r="BK13" s="3">
        <v>4.7777445985111315</v>
      </c>
      <c r="BL13" s="3">
        <v>0.29537457168754067</v>
      </c>
      <c r="BM13" s="3">
        <v>1.3683659261232728</v>
      </c>
      <c r="BN13" s="6">
        <f t="shared" si="6"/>
        <v>8.2716690518589555</v>
      </c>
      <c r="BO13" s="6">
        <v>2.1247652511870281</v>
      </c>
      <c r="BP13" s="6">
        <v>2.045945942404098</v>
      </c>
      <c r="BQ13" s="6">
        <v>17.795738844140025</v>
      </c>
      <c r="BR13" s="6">
        <v>3.5207465942112983</v>
      </c>
      <c r="BS13" s="6">
        <v>7.5330180933001643</v>
      </c>
      <c r="BT13" s="6">
        <v>0.58124109325781614</v>
      </c>
      <c r="BU13" s="6">
        <f t="shared" si="7"/>
        <v>33.601455818500426</v>
      </c>
      <c r="BV13" s="8">
        <f t="shared" si="8"/>
        <v>5801.0053528686676</v>
      </c>
      <c r="BX13" s="3"/>
    </row>
    <row r="14" spans="1:76">
      <c r="C14" s="11">
        <v>12</v>
      </c>
      <c r="D14" s="6">
        <v>6.9648060880549458</v>
      </c>
      <c r="E14" s="6">
        <v>4.3098552619265575</v>
      </c>
      <c r="F14" s="6">
        <v>3.2331300817894091</v>
      </c>
      <c r="G14" s="6">
        <v>6.3828664797487207</v>
      </c>
      <c r="H14" s="6">
        <v>66.570686210895175</v>
      </c>
      <c r="I14" s="6">
        <v>16.044623973508941</v>
      </c>
      <c r="J14" s="6">
        <v>61.476986344720537</v>
      </c>
      <c r="K14" s="6">
        <v>9.4797297256507846</v>
      </c>
      <c r="L14" s="8">
        <f t="shared" si="0"/>
        <v>174.46268416629505</v>
      </c>
      <c r="M14" s="6">
        <v>33.542144459436805</v>
      </c>
      <c r="N14" s="6">
        <v>4.6900554486444204</v>
      </c>
      <c r="O14" s="6">
        <v>4.9710621622067315</v>
      </c>
      <c r="P14" s="6">
        <v>19.840270877815612</v>
      </c>
      <c r="Q14" s="6">
        <v>70.167140208328817</v>
      </c>
      <c r="R14" s="6">
        <v>78.095256316989691</v>
      </c>
      <c r="S14" s="6">
        <v>21.673556664182875</v>
      </c>
      <c r="T14" s="6">
        <v>90.872691362867599</v>
      </c>
      <c r="U14" s="6">
        <v>26.964177523387129</v>
      </c>
      <c r="V14" s="8">
        <f t="shared" si="1"/>
        <v>350.81635502385973</v>
      </c>
      <c r="W14" s="6">
        <v>1.0678292546463388</v>
      </c>
      <c r="X14" s="6">
        <v>1.7379158306387037</v>
      </c>
      <c r="Y14" s="6">
        <v>1.1430981322289751</v>
      </c>
      <c r="Z14" s="6">
        <v>9.426604120850044</v>
      </c>
      <c r="AA14" s="6">
        <v>211.27807989764094</v>
      </c>
      <c r="AB14" s="6">
        <v>74.85768361680293</v>
      </c>
      <c r="AC14" s="6">
        <v>226.71382890562305</v>
      </c>
      <c r="AD14" s="6">
        <v>56.263602897459243</v>
      </c>
      <c r="AE14" s="6">
        <v>2.156074815647341</v>
      </c>
      <c r="AF14" s="8">
        <f t="shared" si="2"/>
        <v>584.64471747153755</v>
      </c>
      <c r="AG14" s="6">
        <v>15.042453557508464</v>
      </c>
      <c r="AH14" s="6">
        <v>4.8980116407332881</v>
      </c>
      <c r="AI14" s="6">
        <v>4.0203559276206082</v>
      </c>
      <c r="AJ14" s="6">
        <v>5.4693277398617948</v>
      </c>
      <c r="AK14" s="6">
        <v>321.83198956691729</v>
      </c>
      <c r="AL14" s="6">
        <v>94.822231313403847</v>
      </c>
      <c r="AM14" s="6">
        <v>184.75832076200831</v>
      </c>
      <c r="AN14" s="6">
        <v>2.2226943086751443</v>
      </c>
      <c r="AO14" s="8">
        <f t="shared" si="3"/>
        <v>633.06538481672874</v>
      </c>
      <c r="AP14" s="3">
        <v>25.105175833372098</v>
      </c>
      <c r="AQ14" s="12">
        <v>9.1219335966591348</v>
      </c>
      <c r="AR14" s="12">
        <v>3.2746668163134576</v>
      </c>
      <c r="AS14" s="12">
        <v>6.6381498734451316</v>
      </c>
      <c r="AT14" s="12">
        <v>225.55850485670658</v>
      </c>
      <c r="AU14" s="12">
        <v>219.90927041768444</v>
      </c>
      <c r="AV14" s="12">
        <v>751.28445672387284</v>
      </c>
      <c r="AW14" s="12">
        <v>60.961747341656171</v>
      </c>
      <c r="AX14" s="6">
        <f t="shared" si="4"/>
        <v>1301.8539054597097</v>
      </c>
      <c r="AY14" s="12"/>
      <c r="AZ14" s="6">
        <v>8.7270270121398763</v>
      </c>
      <c r="BA14" s="6">
        <v>6.4309437398772547</v>
      </c>
      <c r="BB14" s="6">
        <v>15.946828223133576</v>
      </c>
      <c r="BC14" s="6">
        <v>357.61961117976989</v>
      </c>
      <c r="BD14" s="6">
        <v>162.77757816140229</v>
      </c>
      <c r="BE14" s="6">
        <v>782.82212483196724</v>
      </c>
      <c r="BF14" s="6">
        <v>290.72273036702398</v>
      </c>
      <c r="BG14" s="6">
        <v>33.519889227863857</v>
      </c>
      <c r="BH14" s="6">
        <f t="shared" si="5"/>
        <v>1658.5667327431779</v>
      </c>
      <c r="BI14" s="3">
        <v>1.7274965403056182</v>
      </c>
      <c r="BJ14" s="3">
        <v>1.1585647867496554</v>
      </c>
      <c r="BK14" s="3">
        <v>6.4900605796130968</v>
      </c>
      <c r="BL14" s="3">
        <v>0.53093277932129967</v>
      </c>
      <c r="BM14" s="3">
        <v>2.3506505820066592</v>
      </c>
      <c r="BN14" s="6">
        <f t="shared" si="6"/>
        <v>12.257705267996329</v>
      </c>
      <c r="BO14" s="6">
        <v>3.0345919557856593</v>
      </c>
      <c r="BP14" s="6">
        <v>3.3555375710692115</v>
      </c>
      <c r="BQ14" s="6">
        <v>24.208906498320964</v>
      </c>
      <c r="BR14" s="6">
        <v>4.2347288309816369</v>
      </c>
      <c r="BS14" s="6">
        <v>8.8236599998938363</v>
      </c>
      <c r="BT14" s="6">
        <v>0.57564162230507643</v>
      </c>
      <c r="BU14" s="6">
        <f t="shared" si="7"/>
        <v>44.233066478356385</v>
      </c>
      <c r="BV14" s="8">
        <f t="shared" si="8"/>
        <v>4759.9005514276623</v>
      </c>
      <c r="BX14" s="3"/>
    </row>
    <row r="15" spans="1:76">
      <c r="C15" s="11">
        <v>13</v>
      </c>
      <c r="D15" s="6">
        <v>5.657736975546289</v>
      </c>
      <c r="E15" s="6">
        <v>3.1914304174829726</v>
      </c>
      <c r="F15" s="6">
        <v>1.4689064899035558</v>
      </c>
      <c r="G15" s="6">
        <v>4.2813225438117195</v>
      </c>
      <c r="H15" s="6">
        <v>43.62678273422172</v>
      </c>
      <c r="I15" s="6">
        <v>13.133682097347945</v>
      </c>
      <c r="J15" s="6">
        <v>34.298684519761721</v>
      </c>
      <c r="K15" s="6">
        <v>5.5524767674611528</v>
      </c>
      <c r="L15" s="8">
        <f t="shared" si="0"/>
        <v>111.21102254553708</v>
      </c>
      <c r="M15" s="6">
        <v>20.311098331206249</v>
      </c>
      <c r="N15" s="6">
        <v>4.4081927021306635</v>
      </c>
      <c r="O15" s="6">
        <v>3.6030473879055407</v>
      </c>
      <c r="P15" s="6">
        <v>16.228849634708407</v>
      </c>
      <c r="Q15" s="6">
        <v>58.55471241124561</v>
      </c>
      <c r="R15" s="6">
        <v>90.53522372568483</v>
      </c>
      <c r="S15" s="6">
        <v>29.842163274347975</v>
      </c>
      <c r="T15" s="6">
        <v>109.41993711146074</v>
      </c>
      <c r="U15" s="6">
        <v>26.427608722834076</v>
      </c>
      <c r="V15" s="8">
        <f t="shared" si="1"/>
        <v>359.33083330152408</v>
      </c>
      <c r="W15" s="6">
        <v>2.3530960481372154</v>
      </c>
      <c r="X15" s="6">
        <v>2.5938762681666576</v>
      </c>
      <c r="Y15" s="6">
        <v>1.2358783352190419</v>
      </c>
      <c r="Z15" s="6">
        <v>13.071757517729328</v>
      </c>
      <c r="AA15" s="6">
        <v>471.06490187806395</v>
      </c>
      <c r="AB15" s="6">
        <v>147.27820269549107</v>
      </c>
      <c r="AC15" s="6">
        <v>353.04721709577626</v>
      </c>
      <c r="AD15" s="6">
        <v>73.03075496229738</v>
      </c>
      <c r="AE15" s="6">
        <v>4.481414991816103</v>
      </c>
      <c r="AF15" s="8">
        <f t="shared" si="2"/>
        <v>1068.157099792697</v>
      </c>
      <c r="AG15" s="6">
        <v>5.5479584682286553</v>
      </c>
      <c r="AH15" s="6">
        <v>2.1419930658262945</v>
      </c>
      <c r="AI15" s="6">
        <v>1.3721807738783853</v>
      </c>
      <c r="AJ15" s="6">
        <v>4.5643312679878649</v>
      </c>
      <c r="AK15" s="6">
        <v>204.19323294881664</v>
      </c>
      <c r="AL15" s="6">
        <v>43.40031048092311</v>
      </c>
      <c r="AM15" s="6">
        <v>96.281302718868545</v>
      </c>
      <c r="AN15" s="6">
        <v>1.3133597608454215</v>
      </c>
      <c r="AO15" s="8">
        <f t="shared" si="3"/>
        <v>358.81466948537491</v>
      </c>
      <c r="AP15" s="3">
        <v>36.837104859409685</v>
      </c>
      <c r="AQ15" s="12">
        <v>18.759448846864032</v>
      </c>
      <c r="AR15" s="12">
        <v>3.6731603800922015</v>
      </c>
      <c r="AS15" s="12">
        <v>9.8439584499498647</v>
      </c>
      <c r="AT15" s="12">
        <v>340.60452936040417</v>
      </c>
      <c r="AU15" s="12">
        <v>297.05602705859201</v>
      </c>
      <c r="AV15" s="12">
        <v>937.16411538284899</v>
      </c>
      <c r="AW15" s="12">
        <v>78.915681742679993</v>
      </c>
      <c r="AX15" s="6">
        <f t="shared" si="4"/>
        <v>1722.8540260808409</v>
      </c>
      <c r="AY15" s="12"/>
      <c r="AZ15" s="6">
        <v>18.841370732509404</v>
      </c>
      <c r="BA15" s="6">
        <v>9.4918787908544342</v>
      </c>
      <c r="BB15" s="6">
        <v>45.151251472298917</v>
      </c>
      <c r="BC15" s="6">
        <v>970.34900378481109</v>
      </c>
      <c r="BD15" s="6">
        <v>356.89077854104676</v>
      </c>
      <c r="BE15" s="6">
        <v>1657.6031881507922</v>
      </c>
      <c r="BF15" s="6">
        <v>445.52099955925985</v>
      </c>
      <c r="BG15" s="6">
        <v>46.037408714151681</v>
      </c>
      <c r="BH15" s="6">
        <f t="shared" si="5"/>
        <v>3549.8858797457247</v>
      </c>
      <c r="BI15" s="3">
        <v>0.66722595551313657</v>
      </c>
      <c r="BJ15" s="3">
        <v>0.43689087780979724</v>
      </c>
      <c r="BK15" s="3">
        <v>13.647251846723476</v>
      </c>
      <c r="BL15" s="3">
        <v>1.3701915257266</v>
      </c>
      <c r="BM15" s="3">
        <v>4.031711590860187</v>
      </c>
      <c r="BN15" s="6">
        <f t="shared" si="6"/>
        <v>20.153271796633195</v>
      </c>
      <c r="BO15" s="6">
        <v>2.7160045955076799</v>
      </c>
      <c r="BP15" s="6">
        <v>2.5683817740019537</v>
      </c>
      <c r="BQ15" s="6">
        <v>24.084048122908349</v>
      </c>
      <c r="BR15" s="6">
        <v>4.878921768756209</v>
      </c>
      <c r="BS15" s="6">
        <v>12.692962975959315</v>
      </c>
      <c r="BT15" s="6">
        <v>0.70082205038982692</v>
      </c>
      <c r="BU15" s="6">
        <f t="shared" si="7"/>
        <v>47.641141287523332</v>
      </c>
      <c r="BV15" s="8">
        <f t="shared" si="8"/>
        <v>7238.0479440358549</v>
      </c>
      <c r="BX15" s="3"/>
    </row>
    <row r="16" spans="1:76">
      <c r="C16" s="11">
        <v>14</v>
      </c>
      <c r="D16" s="6">
        <v>4.4848015725866901</v>
      </c>
      <c r="E16" s="6">
        <v>2.4325533944534987</v>
      </c>
      <c r="F16" s="6">
        <v>1.0145689820694979</v>
      </c>
      <c r="G16" s="6">
        <v>3.7910630483891148</v>
      </c>
      <c r="H16" s="6">
        <v>32.045546800174243</v>
      </c>
      <c r="I16" s="6">
        <v>8.2996917455134955</v>
      </c>
      <c r="J16" s="6">
        <v>14.783574543039437</v>
      </c>
      <c r="K16" s="6">
        <v>2.3951364249114935</v>
      </c>
      <c r="L16" s="8">
        <f t="shared" si="0"/>
        <v>69.246936511137477</v>
      </c>
      <c r="M16" s="6">
        <v>13.706703857133711</v>
      </c>
      <c r="N16" s="6">
        <v>1.8631509785326541</v>
      </c>
      <c r="O16" s="6">
        <v>2.3260438791668734</v>
      </c>
      <c r="P16" s="6">
        <v>13.722419091000477</v>
      </c>
      <c r="Q16" s="6">
        <v>64.519969579398634</v>
      </c>
      <c r="R16" s="6">
        <v>64.774642615061154</v>
      </c>
      <c r="S16" s="6">
        <v>17.740137191268243</v>
      </c>
      <c r="T16" s="6">
        <v>48.566999271098943</v>
      </c>
      <c r="U16" s="6">
        <v>9.4693695758701786</v>
      </c>
      <c r="V16" s="8">
        <f t="shared" si="1"/>
        <v>236.68943603853089</v>
      </c>
      <c r="W16" s="6">
        <v>0.99870151829640408</v>
      </c>
      <c r="X16" s="6">
        <v>0.66464529385303794</v>
      </c>
      <c r="Y16" s="6">
        <v>1.0169675559331484</v>
      </c>
      <c r="Z16" s="6">
        <v>13.37112044519192</v>
      </c>
      <c r="AA16" s="6">
        <v>323.91129460744901</v>
      </c>
      <c r="AB16" s="6">
        <v>104.42402354640622</v>
      </c>
      <c r="AC16" s="6">
        <v>170.91323178697772</v>
      </c>
      <c r="AD16" s="6">
        <v>36.182942207055262</v>
      </c>
      <c r="AE16" s="6">
        <v>1.5853496170249406</v>
      </c>
      <c r="AF16" s="8">
        <f t="shared" si="2"/>
        <v>653.06827657818758</v>
      </c>
      <c r="AG16" s="6">
        <v>5.0130023728402655</v>
      </c>
      <c r="AH16" s="6">
        <v>2.9742185490935218</v>
      </c>
      <c r="AI16" s="6">
        <v>1.8627440499855976</v>
      </c>
      <c r="AJ16" s="6">
        <v>5.6479512530173936</v>
      </c>
      <c r="AK16" s="6">
        <v>404.57416619852052</v>
      </c>
      <c r="AL16" s="6">
        <v>91.591130981169044</v>
      </c>
      <c r="AM16" s="6">
        <v>119.24681835692633</v>
      </c>
      <c r="AN16" s="6">
        <v>1.3366210656059303</v>
      </c>
      <c r="AO16" s="8">
        <f t="shared" si="3"/>
        <v>632.24665282715864</v>
      </c>
      <c r="AP16" s="3">
        <v>27.505974228246263</v>
      </c>
      <c r="AQ16" s="12">
        <v>11.308645685774458</v>
      </c>
      <c r="AR16" s="12">
        <v>3.3994201591548761</v>
      </c>
      <c r="AS16" s="12">
        <v>8.2609519599626768</v>
      </c>
      <c r="AT16" s="12">
        <v>378.23953280529656</v>
      </c>
      <c r="AU16" s="12">
        <v>307.43595194756085</v>
      </c>
      <c r="AV16" s="12">
        <v>812.48450407847054</v>
      </c>
      <c r="AW16" s="12">
        <v>52.104445997134299</v>
      </c>
      <c r="AX16" s="6">
        <f t="shared" si="4"/>
        <v>1600.7394268616006</v>
      </c>
      <c r="AY16" s="12"/>
      <c r="AZ16" s="6">
        <v>6.3615090861419015</v>
      </c>
      <c r="BA16" s="6">
        <v>6.6368344449502867</v>
      </c>
      <c r="BB16" s="6">
        <v>27.831712150663428</v>
      </c>
      <c r="BC16" s="6">
        <v>602.26165324565227</v>
      </c>
      <c r="BD16" s="6">
        <v>248.6072236980749</v>
      </c>
      <c r="BE16" s="6">
        <v>780.85271638062886</v>
      </c>
      <c r="BF16" s="6">
        <v>196.1014018583127</v>
      </c>
      <c r="BG16" s="6">
        <v>14.495609879062364</v>
      </c>
      <c r="BH16" s="6">
        <f t="shared" si="5"/>
        <v>1883.148660743487</v>
      </c>
      <c r="BI16" s="3">
        <v>1.6263809735960624</v>
      </c>
      <c r="BJ16" s="3">
        <v>0.83412977361944407</v>
      </c>
      <c r="BK16" s="3">
        <v>9.7280257189951698</v>
      </c>
      <c r="BL16" s="3">
        <v>0.7862473573602099</v>
      </c>
      <c r="BM16" s="3">
        <v>1.9798651198608617</v>
      </c>
      <c r="BN16" s="6">
        <f t="shared" si="6"/>
        <v>14.954648943431748</v>
      </c>
      <c r="BO16" s="6">
        <v>1.9397558226354989</v>
      </c>
      <c r="BP16" s="6">
        <v>2.2429989779301711</v>
      </c>
      <c r="BQ16" s="6">
        <v>18.351993237732781</v>
      </c>
      <c r="BR16" s="6">
        <v>3.5719849741383238</v>
      </c>
      <c r="BS16" s="6">
        <v>7.6604688544574699</v>
      </c>
      <c r="BT16" s="6">
        <v>0.5847825115663543</v>
      </c>
      <c r="BU16" s="6">
        <f t="shared" si="7"/>
        <v>34.3519843784606</v>
      </c>
      <c r="BV16" s="8">
        <f t="shared" si="8"/>
        <v>5124.4460228819944</v>
      </c>
      <c r="BX16" s="3"/>
    </row>
    <row r="17" spans="2:76">
      <c r="C17" s="11">
        <v>15</v>
      </c>
      <c r="D17" s="6">
        <v>12.980469608146185</v>
      </c>
      <c r="E17" s="6">
        <v>7.5667949974578947</v>
      </c>
      <c r="F17" s="6">
        <v>2.6444139182935249</v>
      </c>
      <c r="G17" s="6">
        <v>8.2803498477377211</v>
      </c>
      <c r="H17" s="6">
        <v>49.406933795582951</v>
      </c>
      <c r="I17" s="6">
        <v>15.439602616333898</v>
      </c>
      <c r="J17" s="6">
        <v>34.339163207093208</v>
      </c>
      <c r="K17" s="6">
        <v>5.0901691210560145</v>
      </c>
      <c r="L17" s="8">
        <f t="shared" si="0"/>
        <v>135.74789711170141</v>
      </c>
      <c r="M17" s="6">
        <v>23.2344982508152</v>
      </c>
      <c r="N17" s="6">
        <v>4.7483989525939414</v>
      </c>
      <c r="O17" s="6">
        <v>5.371862450123353</v>
      </c>
      <c r="P17" s="6">
        <v>24.497252323765636</v>
      </c>
      <c r="Q17" s="6">
        <v>101.7464317500841</v>
      </c>
      <c r="R17" s="6">
        <v>88.622540886443176</v>
      </c>
      <c r="S17" s="6">
        <v>29.902201091639927</v>
      </c>
      <c r="T17" s="6">
        <v>89.552299397776011</v>
      </c>
      <c r="U17" s="6">
        <v>24.716021784569971</v>
      </c>
      <c r="V17" s="8">
        <f t="shared" si="1"/>
        <v>392.39150688781137</v>
      </c>
      <c r="W17" s="6">
        <v>0.91619390333252959</v>
      </c>
      <c r="X17" s="6">
        <v>0.79170457675772121</v>
      </c>
      <c r="Y17" s="6">
        <v>0.76551456790107564</v>
      </c>
      <c r="Z17" s="6">
        <v>6.1203633390207646</v>
      </c>
      <c r="AA17" s="6">
        <v>111.83329021597426</v>
      </c>
      <c r="AB17" s="6">
        <v>43.364762579519343</v>
      </c>
      <c r="AC17" s="6">
        <v>103.69305230972709</v>
      </c>
      <c r="AD17" s="6">
        <v>26.757699115776646</v>
      </c>
      <c r="AE17" s="6">
        <v>1.2590250787407711</v>
      </c>
      <c r="AF17" s="8">
        <f t="shared" si="2"/>
        <v>295.50160568675017</v>
      </c>
      <c r="AG17" s="6">
        <v>5.9072331175674631</v>
      </c>
      <c r="AH17" s="6">
        <v>4.2026667825124742</v>
      </c>
      <c r="AI17" s="6">
        <v>4.0297858824414741</v>
      </c>
      <c r="AJ17" s="6">
        <v>7.6962876771116155</v>
      </c>
      <c r="AK17" s="6">
        <v>444.5344384318272</v>
      </c>
      <c r="AL17" s="6">
        <v>125.44386616096229</v>
      </c>
      <c r="AM17" s="6">
        <v>193.38237507351724</v>
      </c>
      <c r="AN17" s="6">
        <v>2.6387023527903302</v>
      </c>
      <c r="AO17" s="8">
        <f t="shared" si="3"/>
        <v>787.83535547873009</v>
      </c>
      <c r="AP17" s="3">
        <v>21.373704111432509</v>
      </c>
      <c r="AQ17" s="12">
        <v>7.8763471983461919</v>
      </c>
      <c r="AR17" s="12">
        <v>2.3682242657525028</v>
      </c>
      <c r="AS17" s="12">
        <v>6.1866770006190226</v>
      </c>
      <c r="AT17" s="12">
        <v>193.98122962119973</v>
      </c>
      <c r="AU17" s="12">
        <v>156.22552232320646</v>
      </c>
      <c r="AV17" s="12">
        <v>454.92188860049242</v>
      </c>
      <c r="AW17" s="12">
        <v>38.815890200747347</v>
      </c>
      <c r="AX17" s="6">
        <f t="shared" si="4"/>
        <v>881.74948332179622</v>
      </c>
      <c r="AY17" s="12"/>
      <c r="AZ17" s="6">
        <v>5.1829177079762525</v>
      </c>
      <c r="BA17" s="6">
        <v>4.4496425309962486</v>
      </c>
      <c r="BB17" s="6">
        <v>15.212924582742128</v>
      </c>
      <c r="BC17" s="6">
        <v>256.71467890079072</v>
      </c>
      <c r="BD17" s="6">
        <v>111.92595661244468</v>
      </c>
      <c r="BE17" s="6">
        <v>389.01678725685804</v>
      </c>
      <c r="BF17" s="6">
        <v>133.70875902810297</v>
      </c>
      <c r="BG17" s="6">
        <v>15.967355010984495</v>
      </c>
      <c r="BH17" s="6">
        <f t="shared" si="5"/>
        <v>932.17902163089559</v>
      </c>
      <c r="BI17" s="3">
        <v>1.8535535138520822</v>
      </c>
      <c r="BJ17" s="3">
        <v>1.8296965239745528</v>
      </c>
      <c r="BK17" s="3">
        <v>14.781129588193185</v>
      </c>
      <c r="BL17" s="3">
        <v>2.1829071549165482</v>
      </c>
      <c r="BM17" s="3">
        <v>2.8841797159198173</v>
      </c>
      <c r="BN17" s="6">
        <f t="shared" si="6"/>
        <v>23.531466496856186</v>
      </c>
      <c r="BO17" s="6">
        <v>2.7580183550282587</v>
      </c>
      <c r="BP17" s="6">
        <v>3.2125042421222787</v>
      </c>
      <c r="BQ17" s="6">
        <v>24.012847614903702</v>
      </c>
      <c r="BR17" s="6">
        <v>6.7104419666380579</v>
      </c>
      <c r="BS17" s="6">
        <v>15.773535632034122</v>
      </c>
      <c r="BT17" s="6">
        <v>1.0661318334720202</v>
      </c>
      <c r="BU17" s="6">
        <f t="shared" si="7"/>
        <v>53.533479644198444</v>
      </c>
      <c r="BV17" s="8">
        <f t="shared" si="8"/>
        <v>3502.4698162587397</v>
      </c>
      <c r="BX17" s="3"/>
    </row>
    <row r="18" spans="2:76">
      <c r="C18" s="11">
        <v>16</v>
      </c>
      <c r="D18" s="6">
        <v>2.3759876690390764</v>
      </c>
      <c r="E18" s="6">
        <v>1.2212997464382178</v>
      </c>
      <c r="F18" s="6">
        <v>0.66874939358210528</v>
      </c>
      <c r="G18" s="6">
        <v>1.4371010189193065</v>
      </c>
      <c r="H18" s="6">
        <v>16.822295762013717</v>
      </c>
      <c r="I18" s="6">
        <v>5.7521496253601221</v>
      </c>
      <c r="J18" s="6">
        <v>14.735085736609349</v>
      </c>
      <c r="K18" s="6">
        <v>2.4049161791739047</v>
      </c>
      <c r="L18" s="8">
        <f t="shared" si="0"/>
        <v>45.417585131135802</v>
      </c>
      <c r="M18" s="6">
        <v>7.1434840889579743</v>
      </c>
      <c r="N18" s="6">
        <v>1.657360237448203</v>
      </c>
      <c r="O18" s="6">
        <v>1.0197084734400128</v>
      </c>
      <c r="P18" s="6">
        <v>3.9536712032195602</v>
      </c>
      <c r="Q18" s="6">
        <v>15.646499162853369</v>
      </c>
      <c r="R18" s="6">
        <v>17.556858035013853</v>
      </c>
      <c r="S18" s="6">
        <v>6.1061235083683565</v>
      </c>
      <c r="T18" s="6">
        <v>21.777853659085476</v>
      </c>
      <c r="U18" s="6">
        <v>5.2744421998083082</v>
      </c>
      <c r="V18" s="8">
        <f t="shared" si="1"/>
        <v>80.136000568195115</v>
      </c>
      <c r="W18" s="6">
        <v>0.68567589863397349</v>
      </c>
      <c r="X18" s="6">
        <v>0.88901588762226902</v>
      </c>
      <c r="Y18" s="6">
        <v>0.38252892489852486</v>
      </c>
      <c r="Z18" s="6">
        <v>3.6787354486819885</v>
      </c>
      <c r="AA18" s="6">
        <v>166.70380492425738</v>
      </c>
      <c r="AB18" s="6">
        <v>86.083572232420806</v>
      </c>
      <c r="AC18" s="6">
        <v>207.95911156850991</v>
      </c>
      <c r="AD18" s="6">
        <v>57.158399105412641</v>
      </c>
      <c r="AE18" s="6">
        <v>2.5261947465126391</v>
      </c>
      <c r="AF18" s="8">
        <f t="shared" si="2"/>
        <v>526.06703873695005</v>
      </c>
      <c r="AG18" s="6">
        <v>0.57510168994706967</v>
      </c>
      <c r="AH18" s="6">
        <v>0.32182308041837909</v>
      </c>
      <c r="AI18" s="6">
        <v>0.40356215927996575</v>
      </c>
      <c r="AJ18" s="6">
        <v>1.667868674316058</v>
      </c>
      <c r="AK18" s="6">
        <v>93.802266060072668</v>
      </c>
      <c r="AL18" s="6">
        <v>34.66994183151597</v>
      </c>
      <c r="AM18" s="6">
        <v>56.705412722296614</v>
      </c>
      <c r="AN18" s="6">
        <v>0.69568077779778303</v>
      </c>
      <c r="AO18" s="8">
        <f t="shared" si="3"/>
        <v>188.84165699564451</v>
      </c>
      <c r="AP18" s="3">
        <v>11.70103266647493</v>
      </c>
      <c r="AQ18" s="12">
        <v>5.3092098807168631</v>
      </c>
      <c r="AR18" s="12">
        <v>2.5039080990858271</v>
      </c>
      <c r="AS18" s="12">
        <v>6.0053637858931079</v>
      </c>
      <c r="AT18" s="12">
        <v>221.06730425512509</v>
      </c>
      <c r="AU18" s="12">
        <v>175.17007164576222</v>
      </c>
      <c r="AV18" s="12">
        <v>606.82303789246771</v>
      </c>
      <c r="AW18" s="12">
        <v>42.909247400376927</v>
      </c>
      <c r="AX18" s="6">
        <f t="shared" si="4"/>
        <v>1071.4891756259026</v>
      </c>
      <c r="AY18" s="12"/>
      <c r="AZ18" s="6">
        <v>4.8571440629969294</v>
      </c>
      <c r="BA18" s="6">
        <v>3.8837223263442056</v>
      </c>
      <c r="BB18" s="6">
        <v>12.632992967909919</v>
      </c>
      <c r="BC18" s="6">
        <v>266.24010791686277</v>
      </c>
      <c r="BD18" s="6">
        <v>154.05150968465981</v>
      </c>
      <c r="BE18" s="6">
        <v>612.26756731943783</v>
      </c>
      <c r="BF18" s="6">
        <v>192.23816076255841</v>
      </c>
      <c r="BG18" s="6">
        <v>16.562809152919773</v>
      </c>
      <c r="BH18" s="6">
        <f t="shared" si="5"/>
        <v>1262.7340141936897</v>
      </c>
      <c r="BI18" s="3">
        <v>0.76423400716686218</v>
      </c>
      <c r="BJ18" s="3">
        <v>0.78161100420356611</v>
      </c>
      <c r="BK18" s="3">
        <v>5.7956587763083531</v>
      </c>
      <c r="BL18" s="3">
        <v>1.1000426653772835</v>
      </c>
      <c r="BM18" s="3">
        <v>1.1334826667237889</v>
      </c>
      <c r="BN18" s="6">
        <f t="shared" si="6"/>
        <v>9.5750291197798525</v>
      </c>
      <c r="BO18" s="6">
        <v>1.5433061568650039</v>
      </c>
      <c r="BP18" s="6">
        <v>2.1484290371831256</v>
      </c>
      <c r="BQ18" s="6">
        <v>12.479191218721203</v>
      </c>
      <c r="BR18" s="6">
        <v>2.3471717730378598</v>
      </c>
      <c r="BS18" s="6">
        <v>4.6875287143272555</v>
      </c>
      <c r="BT18" s="6">
        <v>0.217750825350428</v>
      </c>
      <c r="BU18" s="6">
        <f t="shared" si="7"/>
        <v>23.423377725484876</v>
      </c>
      <c r="BV18" s="8">
        <f t="shared" si="8"/>
        <v>3207.6838780967823</v>
      </c>
      <c r="BX18" s="3"/>
    </row>
    <row r="19" spans="2:76">
      <c r="C19" s="11">
        <v>17</v>
      </c>
      <c r="D19" s="6">
        <v>2.4740306024929146</v>
      </c>
      <c r="E19" s="6">
        <v>1.4862471608414762</v>
      </c>
      <c r="F19" s="6">
        <v>0.57058408043912723</v>
      </c>
      <c r="G19" s="6">
        <v>1.9118774822473312</v>
      </c>
      <c r="H19" s="6">
        <v>17.117101967492179</v>
      </c>
      <c r="I19" s="6">
        <v>4.686771749707801</v>
      </c>
      <c r="J19" s="6">
        <v>13.317920654525068</v>
      </c>
      <c r="K19" s="6">
        <v>2.2642106305456902</v>
      </c>
      <c r="L19" s="8">
        <f t="shared" si="0"/>
        <v>43.828744328291592</v>
      </c>
      <c r="M19" s="6">
        <v>8.1820566998397197</v>
      </c>
      <c r="N19" s="6">
        <v>2.515341373584417</v>
      </c>
      <c r="O19" s="6">
        <v>2.0256557607114081</v>
      </c>
      <c r="P19" s="6">
        <v>6.2086601870013585</v>
      </c>
      <c r="Q19" s="6">
        <v>20.64218677537475</v>
      </c>
      <c r="R19" s="6">
        <v>25.980434555627234</v>
      </c>
      <c r="S19" s="6">
        <v>7.5943876995932067</v>
      </c>
      <c r="T19" s="6">
        <v>25.482627257683305</v>
      </c>
      <c r="U19" s="6">
        <v>6.8006965578208165</v>
      </c>
      <c r="V19" s="8">
        <f t="shared" si="1"/>
        <v>105.43204686723621</v>
      </c>
      <c r="W19" s="6">
        <v>1.3441047184175872</v>
      </c>
      <c r="X19" s="6">
        <v>0.98150978518927667</v>
      </c>
      <c r="Y19" s="6">
        <v>1.2259909470955437</v>
      </c>
      <c r="Z19" s="6">
        <v>7.7425153590263651</v>
      </c>
      <c r="AA19" s="6">
        <v>214.77472567465341</v>
      </c>
      <c r="AB19" s="6">
        <v>65.261817197692395</v>
      </c>
      <c r="AC19" s="6">
        <v>183.92745281027001</v>
      </c>
      <c r="AD19" s="6">
        <v>52.089247175561049</v>
      </c>
      <c r="AE19" s="6">
        <v>2.33749323830197</v>
      </c>
      <c r="AF19" s="8">
        <f t="shared" si="2"/>
        <v>529.68485690620753</v>
      </c>
      <c r="AG19" s="6">
        <v>1.0595381824939734</v>
      </c>
      <c r="AH19" s="6">
        <v>0.93899072799136774</v>
      </c>
      <c r="AI19" s="6">
        <v>0.42252905101523719</v>
      </c>
      <c r="AJ19" s="6">
        <v>1.3644699446799473</v>
      </c>
      <c r="AK19" s="6">
        <v>97.687484307760556</v>
      </c>
      <c r="AL19" s="6">
        <v>20.474603383278705</v>
      </c>
      <c r="AM19" s="6">
        <v>39.9115752387358</v>
      </c>
      <c r="AN19" s="6">
        <v>0.70381813524382142</v>
      </c>
      <c r="AO19" s="8">
        <f t="shared" si="3"/>
        <v>162.56300897119939</v>
      </c>
      <c r="AP19" s="3">
        <v>9.0807185191057105</v>
      </c>
      <c r="AQ19" s="12">
        <v>5.0607676688002501</v>
      </c>
      <c r="AR19" s="12">
        <v>1.8020611563919722</v>
      </c>
      <c r="AS19" s="12">
        <v>4.1327243028801011</v>
      </c>
      <c r="AT19" s="12">
        <v>230.53910482324412</v>
      </c>
      <c r="AU19" s="12">
        <v>143.32983368226633</v>
      </c>
      <c r="AV19" s="12">
        <v>390.49143664190774</v>
      </c>
      <c r="AW19" s="12">
        <v>23.914931531514263</v>
      </c>
      <c r="AX19" s="6">
        <f t="shared" si="4"/>
        <v>808.35157832611048</v>
      </c>
      <c r="AY19" s="12"/>
      <c r="AZ19" s="6">
        <v>7.7546659279931811</v>
      </c>
      <c r="BA19" s="6">
        <v>4.7407662661911427</v>
      </c>
      <c r="BB19" s="6">
        <v>21.443473633462354</v>
      </c>
      <c r="BC19" s="6">
        <v>348.7343596345379</v>
      </c>
      <c r="BD19" s="6">
        <v>130.91009898975628</v>
      </c>
      <c r="BE19" s="6">
        <v>497.90680320598699</v>
      </c>
      <c r="BF19" s="6">
        <v>163.6561172847239</v>
      </c>
      <c r="BG19" s="6">
        <v>19.875715672182711</v>
      </c>
      <c r="BH19" s="6">
        <f t="shared" si="5"/>
        <v>1195.0220006148343</v>
      </c>
      <c r="BI19" s="3">
        <v>0.69141576161425145</v>
      </c>
      <c r="BJ19" s="3">
        <v>0.72735223008500716</v>
      </c>
      <c r="BK19" s="3">
        <v>7.6333273317629029</v>
      </c>
      <c r="BL19" s="3">
        <v>1.0209078454789766</v>
      </c>
      <c r="BM19" s="3">
        <v>1.7411691595298551</v>
      </c>
      <c r="BN19" s="6">
        <f t="shared" si="6"/>
        <v>11.814172328470994</v>
      </c>
      <c r="BO19" s="6">
        <v>0.77622613378178995</v>
      </c>
      <c r="BP19" s="6">
        <v>1.2689951134114363</v>
      </c>
      <c r="BQ19" s="6">
        <v>9.4869700870986584</v>
      </c>
      <c r="BR19" s="6">
        <v>1.9668341342656557</v>
      </c>
      <c r="BS19" s="6">
        <v>4.2799891233079501</v>
      </c>
      <c r="BT19" s="6">
        <v>0.34988064547919751</v>
      </c>
      <c r="BU19" s="6">
        <f t="shared" si="7"/>
        <v>18.128895237344686</v>
      </c>
      <c r="BV19" s="8">
        <f t="shared" si="8"/>
        <v>2874.8253035796952</v>
      </c>
      <c r="BX19" s="3"/>
    </row>
    <row r="20" spans="2:76">
      <c r="C20" s="11">
        <v>18</v>
      </c>
      <c r="D20" s="6">
        <v>4.589701330166057</v>
      </c>
      <c r="E20" s="6">
        <v>2.9055840742871273</v>
      </c>
      <c r="F20" s="6">
        <v>0.93091370586722155</v>
      </c>
      <c r="G20" s="6">
        <v>3.8719340818691257</v>
      </c>
      <c r="H20" s="6">
        <v>36.801546617552368</v>
      </c>
      <c r="I20" s="6">
        <v>11.475984165300792</v>
      </c>
      <c r="J20" s="6">
        <v>26.548097040116112</v>
      </c>
      <c r="K20" s="6">
        <v>4.9492774199906391</v>
      </c>
      <c r="L20" s="8">
        <f t="shared" si="0"/>
        <v>92.073038435149442</v>
      </c>
      <c r="M20" s="6">
        <v>30.189501063666405</v>
      </c>
      <c r="N20" s="6">
        <v>3.8851480474927826</v>
      </c>
      <c r="O20" s="6">
        <v>3.9419956252833264</v>
      </c>
      <c r="P20" s="6">
        <v>11.179452407507874</v>
      </c>
      <c r="Q20" s="6">
        <v>39.711808122353837</v>
      </c>
      <c r="R20" s="6">
        <v>43.950096804019232</v>
      </c>
      <c r="S20" s="6">
        <v>13.778108959435771</v>
      </c>
      <c r="T20" s="6">
        <v>47.669139212780919</v>
      </c>
      <c r="U20" s="6">
        <v>13.143113219392898</v>
      </c>
      <c r="V20" s="8">
        <f t="shared" si="1"/>
        <v>207.44836346193304</v>
      </c>
      <c r="W20" s="6">
        <v>8.0771431540566994</v>
      </c>
      <c r="X20" s="6">
        <v>3.1330620808125174</v>
      </c>
      <c r="Y20" s="6">
        <v>0.99735416452891779</v>
      </c>
      <c r="Z20" s="6">
        <v>18.099253372901739</v>
      </c>
      <c r="AA20" s="6">
        <v>436.8877094807055</v>
      </c>
      <c r="AB20" s="6">
        <v>177.513732812299</v>
      </c>
      <c r="AC20" s="6">
        <v>392.33365900033277</v>
      </c>
      <c r="AD20" s="6">
        <v>121.45772507531206</v>
      </c>
      <c r="AE20" s="6">
        <v>7.5721849094181755</v>
      </c>
      <c r="AF20" s="8">
        <f t="shared" si="2"/>
        <v>1166.0718240503675</v>
      </c>
      <c r="AG20" s="6">
        <v>3.2328460292422818</v>
      </c>
      <c r="AH20" s="6">
        <v>1.7614054790606517</v>
      </c>
      <c r="AI20" s="6">
        <v>1.8174353793768061</v>
      </c>
      <c r="AJ20" s="6">
        <v>3.7803449097968018</v>
      </c>
      <c r="AK20" s="6">
        <v>191.65480439069279</v>
      </c>
      <c r="AL20" s="6">
        <v>35.058254775163554</v>
      </c>
      <c r="AM20" s="6">
        <v>74.185604922490342</v>
      </c>
      <c r="AN20" s="6">
        <v>1.8257925262413937</v>
      </c>
      <c r="AO20" s="8">
        <f t="shared" si="3"/>
        <v>313.31648841206464</v>
      </c>
      <c r="AP20" s="3">
        <v>50.673162415709328</v>
      </c>
      <c r="AQ20" s="12">
        <v>19.53208532711437</v>
      </c>
      <c r="AR20" s="12">
        <v>5.7119957898064273</v>
      </c>
      <c r="AS20" s="12">
        <v>13.310168266112264</v>
      </c>
      <c r="AT20" s="12">
        <v>489.47553378372663</v>
      </c>
      <c r="AU20" s="12">
        <v>292.70897280209533</v>
      </c>
      <c r="AV20" s="12">
        <v>999.07287473933036</v>
      </c>
      <c r="AW20" s="12">
        <v>85.803353915301201</v>
      </c>
      <c r="AX20" s="6">
        <f t="shared" si="4"/>
        <v>1956.2881470391958</v>
      </c>
      <c r="AY20" s="12"/>
      <c r="AZ20" s="6">
        <v>18.281996506887285</v>
      </c>
      <c r="BA20" s="6">
        <v>11.974551368210715</v>
      </c>
      <c r="BB20" s="6">
        <v>46.487569958400464</v>
      </c>
      <c r="BC20" s="6">
        <v>722.42241561184164</v>
      </c>
      <c r="BD20" s="6">
        <v>306.61132361148594</v>
      </c>
      <c r="BE20" s="6">
        <v>1200.758688095545</v>
      </c>
      <c r="BF20" s="6">
        <v>347.49444179442759</v>
      </c>
      <c r="BG20" s="6">
        <v>53.167822086321948</v>
      </c>
      <c r="BH20" s="6">
        <f t="shared" si="5"/>
        <v>2707.1988090331206</v>
      </c>
      <c r="BI20" s="3">
        <v>1.0334504765073322</v>
      </c>
      <c r="BJ20" s="3">
        <v>1.3716389145024717</v>
      </c>
      <c r="BK20" s="3">
        <v>11.972759710706161</v>
      </c>
      <c r="BL20" s="3">
        <v>2.7669618839099726</v>
      </c>
      <c r="BM20" s="3">
        <v>3.5124390853329963</v>
      </c>
      <c r="BN20" s="6">
        <f t="shared" si="6"/>
        <v>20.657250070958934</v>
      </c>
      <c r="BO20" s="6">
        <v>1.3321261612330815</v>
      </c>
      <c r="BP20" s="6">
        <v>1.7463564855196214</v>
      </c>
      <c r="BQ20" s="6">
        <v>19.173845907151104</v>
      </c>
      <c r="BR20" s="6">
        <v>4.4528144801458787</v>
      </c>
      <c r="BS20" s="6">
        <v>11.05823135105965</v>
      </c>
      <c r="BT20" s="6">
        <v>0.99064093972488176</v>
      </c>
      <c r="BU20" s="6">
        <f t="shared" si="7"/>
        <v>38.754015324834221</v>
      </c>
      <c r="BV20" s="8">
        <f t="shared" si="8"/>
        <v>6501.8079358276245</v>
      </c>
      <c r="BX20" s="3"/>
    </row>
    <row r="21" spans="2:76">
      <c r="C21" s="11">
        <v>19</v>
      </c>
      <c r="D21" s="6">
        <v>6.44512602699161</v>
      </c>
      <c r="E21" s="6">
        <v>3.2184057166533173</v>
      </c>
      <c r="F21" s="6">
        <v>1.9443808112223164</v>
      </c>
      <c r="G21" s="6">
        <v>7.0555391508137024</v>
      </c>
      <c r="H21" s="6">
        <v>58.150752006912114</v>
      </c>
      <c r="I21" s="6">
        <v>15.21892455281133</v>
      </c>
      <c r="J21" s="6">
        <v>30.88302247291136</v>
      </c>
      <c r="K21" s="6">
        <v>4.4205018135128746</v>
      </c>
      <c r="L21" s="8">
        <f t="shared" si="0"/>
        <v>127.33665255182864</v>
      </c>
      <c r="M21" s="6">
        <v>21.869354092400592</v>
      </c>
      <c r="N21" s="6">
        <v>6.6366411912867687</v>
      </c>
      <c r="O21" s="6">
        <v>6.2142795432504716</v>
      </c>
      <c r="P21" s="6">
        <v>22.67446394650803</v>
      </c>
      <c r="Q21" s="6">
        <v>95.565299337639289</v>
      </c>
      <c r="R21" s="6">
        <v>88.305817016739795</v>
      </c>
      <c r="S21" s="6">
        <v>26.517922624564235</v>
      </c>
      <c r="T21" s="6">
        <v>73.219069111759651</v>
      </c>
      <c r="U21" s="6">
        <v>16.261338084641711</v>
      </c>
      <c r="V21" s="8">
        <f t="shared" si="1"/>
        <v>357.26418494879056</v>
      </c>
      <c r="W21" s="6">
        <v>1.593727122309478</v>
      </c>
      <c r="X21" s="6">
        <v>2.0796632645004176</v>
      </c>
      <c r="Y21" s="6">
        <v>2.5710224391036434</v>
      </c>
      <c r="Z21" s="6">
        <v>24.929941056808872</v>
      </c>
      <c r="AA21" s="6">
        <v>518.16264550912115</v>
      </c>
      <c r="AB21" s="6">
        <v>172.62292658108242</v>
      </c>
      <c r="AC21" s="6">
        <v>330.03431612927949</v>
      </c>
      <c r="AD21" s="6">
        <v>82.029650156810945</v>
      </c>
      <c r="AE21" s="6">
        <v>3.6254577724895642</v>
      </c>
      <c r="AF21" s="8">
        <f t="shared" si="2"/>
        <v>1137.6493500315059</v>
      </c>
      <c r="AG21" s="6">
        <v>6.0323437998282747</v>
      </c>
      <c r="AH21" s="6">
        <v>6.2902223751925046</v>
      </c>
      <c r="AI21" s="6">
        <v>5.4028905907824187</v>
      </c>
      <c r="AJ21" s="6">
        <v>12.48627166475797</v>
      </c>
      <c r="AK21" s="6">
        <v>611.32100986491935</v>
      </c>
      <c r="AL21" s="6">
        <v>157.13479211007996</v>
      </c>
      <c r="AM21" s="6">
        <v>200.88566840279537</v>
      </c>
      <c r="AN21" s="6">
        <v>2.7532574141441097</v>
      </c>
      <c r="AO21" s="8">
        <f t="shared" si="3"/>
        <v>1002.3064562224998</v>
      </c>
      <c r="AP21" s="3">
        <v>72.45297177040824</v>
      </c>
      <c r="AQ21" s="12">
        <v>40.492043317523425</v>
      </c>
      <c r="AR21" s="12">
        <v>9.4125233683110583</v>
      </c>
      <c r="AS21" s="12">
        <v>29.213668609856299</v>
      </c>
      <c r="AT21" s="12">
        <v>1068.7858839657511</v>
      </c>
      <c r="AU21" s="12">
        <v>708.93140402625863</v>
      </c>
      <c r="AV21" s="12">
        <v>1814.2633248727266</v>
      </c>
      <c r="AW21" s="12">
        <v>136.00221194451078</v>
      </c>
      <c r="AX21" s="6">
        <f t="shared" si="4"/>
        <v>3879.554031875346</v>
      </c>
      <c r="AY21" s="12"/>
      <c r="AZ21" s="6">
        <v>21.673199243149423</v>
      </c>
      <c r="BA21" s="6">
        <v>16.971380196474978</v>
      </c>
      <c r="BB21" s="6">
        <v>76.385392936223397</v>
      </c>
      <c r="BC21" s="6">
        <v>1064.4854990265421</v>
      </c>
      <c r="BD21" s="6">
        <v>444.94716446121487</v>
      </c>
      <c r="BE21" s="6">
        <v>1324.774324239921</v>
      </c>
      <c r="BF21" s="6">
        <v>376.03006872256839</v>
      </c>
      <c r="BG21" s="6">
        <v>33.360827580354716</v>
      </c>
      <c r="BH21" s="6">
        <f t="shared" si="5"/>
        <v>3358.6278564064496</v>
      </c>
      <c r="BI21" s="3">
        <v>2.0864472680390884</v>
      </c>
      <c r="BJ21" s="3">
        <v>3.1551817640475956</v>
      </c>
      <c r="BK21" s="3">
        <v>18.523336103145734</v>
      </c>
      <c r="BL21" s="3">
        <v>2.9226839009826775</v>
      </c>
      <c r="BM21" s="3">
        <v>5.039634115294505</v>
      </c>
      <c r="BN21" s="6">
        <f t="shared" si="6"/>
        <v>31.727283151509599</v>
      </c>
      <c r="BO21" s="6">
        <v>3.8333147439976498</v>
      </c>
      <c r="BP21" s="6">
        <v>4.770603484525088</v>
      </c>
      <c r="BQ21" s="6">
        <v>33.625708734409429</v>
      </c>
      <c r="BR21" s="6">
        <v>6.3959001116224892</v>
      </c>
      <c r="BS21" s="6">
        <v>12.735697373596576</v>
      </c>
      <c r="BT21" s="6">
        <v>0.7973663321253005</v>
      </c>
      <c r="BU21" s="6">
        <f t="shared" si="7"/>
        <v>62.158590780276533</v>
      </c>
      <c r="BV21" s="8">
        <f t="shared" si="8"/>
        <v>9956.6244059682049</v>
      </c>
      <c r="BX21" s="3"/>
    </row>
    <row r="22" spans="2:76">
      <c r="C22" s="11">
        <v>20</v>
      </c>
      <c r="D22" s="6">
        <v>4.3706760945817118</v>
      </c>
      <c r="E22" s="6">
        <v>2.5642278877426934</v>
      </c>
      <c r="F22" s="6">
        <v>1.2888360638411367</v>
      </c>
      <c r="G22" s="6">
        <v>3.247733171404295</v>
      </c>
      <c r="H22" s="6">
        <v>31.117767500847751</v>
      </c>
      <c r="I22" s="6">
        <v>9.2726265379973043</v>
      </c>
      <c r="J22" s="6">
        <v>18.768411954723614</v>
      </c>
      <c r="K22" s="6">
        <v>2.3672026407954072</v>
      </c>
      <c r="L22" s="8">
        <f t="shared" si="0"/>
        <v>72.997481851933912</v>
      </c>
      <c r="M22" s="6">
        <v>17.434874192974316</v>
      </c>
      <c r="N22" s="6">
        <v>3.2758371617362108</v>
      </c>
      <c r="O22" s="6">
        <v>2.6608088269762713</v>
      </c>
      <c r="P22" s="6">
        <v>8.0274751017822012</v>
      </c>
      <c r="Q22" s="6">
        <v>43.330049834068078</v>
      </c>
      <c r="R22" s="6">
        <v>40.613099129653932</v>
      </c>
      <c r="S22" s="6">
        <v>14.400941458549175</v>
      </c>
      <c r="T22" s="6">
        <v>35.270486899884254</v>
      </c>
      <c r="U22" s="6">
        <v>7.2541971566423156</v>
      </c>
      <c r="V22" s="8">
        <f t="shared" si="1"/>
        <v>172.26776976226674</v>
      </c>
      <c r="W22" s="6">
        <v>3.0018826495641249</v>
      </c>
      <c r="X22" s="6">
        <v>1.243427012822224</v>
      </c>
      <c r="Y22" s="6">
        <v>2.075150557031415</v>
      </c>
      <c r="Z22" s="6">
        <v>10.750729608044125</v>
      </c>
      <c r="AA22" s="6">
        <v>362.70878249033302</v>
      </c>
      <c r="AB22" s="6">
        <v>148.61925139400162</v>
      </c>
      <c r="AC22" s="6">
        <v>285.85414185029549</v>
      </c>
      <c r="AD22" s="6">
        <v>67.881740448906086</v>
      </c>
      <c r="AE22" s="6">
        <v>2.5849512052234878</v>
      </c>
      <c r="AF22" s="8">
        <f t="shared" si="2"/>
        <v>884.72005721622145</v>
      </c>
      <c r="AG22" s="6">
        <v>4.3168356191159898</v>
      </c>
      <c r="AH22" s="6">
        <v>3.0504585808186886</v>
      </c>
      <c r="AI22" s="6">
        <v>1.9068446906439438</v>
      </c>
      <c r="AJ22" s="6">
        <v>5.387938090807328</v>
      </c>
      <c r="AK22" s="6">
        <v>427.16704616070518</v>
      </c>
      <c r="AL22" s="6">
        <v>135.58663405094634</v>
      </c>
      <c r="AM22" s="6">
        <v>171.19972381136677</v>
      </c>
      <c r="AN22" s="6">
        <v>2.5924710292822253</v>
      </c>
      <c r="AO22" s="8">
        <f t="shared" si="3"/>
        <v>751.20795203368652</v>
      </c>
      <c r="AP22" s="3">
        <v>48.374454754296984</v>
      </c>
      <c r="AQ22" s="12">
        <v>19.540633301068436</v>
      </c>
      <c r="AR22" s="12">
        <v>4.1209076787712622</v>
      </c>
      <c r="AS22" s="12">
        <v>10.609956857421011</v>
      </c>
      <c r="AT22" s="12">
        <v>615.37627334290164</v>
      </c>
      <c r="AU22" s="12">
        <v>507.33548735955281</v>
      </c>
      <c r="AV22" s="12">
        <v>1160.6542720998655</v>
      </c>
      <c r="AW22" s="12">
        <v>73.05526428698019</v>
      </c>
      <c r="AX22" s="6">
        <f t="shared" si="4"/>
        <v>2439.0672496808579</v>
      </c>
      <c r="AY22" s="12"/>
      <c r="AZ22" s="6">
        <v>11.512902655846407</v>
      </c>
      <c r="BA22" s="6">
        <v>6.4659635408846121</v>
      </c>
      <c r="BB22" s="6">
        <v>28.493335420220586</v>
      </c>
      <c r="BC22" s="6">
        <v>623.11921304103157</v>
      </c>
      <c r="BD22" s="6">
        <v>301.09960800819584</v>
      </c>
      <c r="BE22" s="6">
        <v>896.14619785146022</v>
      </c>
      <c r="BF22" s="6">
        <v>260.40991200048148</v>
      </c>
      <c r="BG22" s="6">
        <v>21.096236224867617</v>
      </c>
      <c r="BH22" s="6">
        <f t="shared" si="5"/>
        <v>2148.3433687429883</v>
      </c>
      <c r="BI22" s="3">
        <v>1.5654789336150901</v>
      </c>
      <c r="BJ22" s="3">
        <v>1.3547579211945826</v>
      </c>
      <c r="BK22" s="3">
        <v>13.072089887001061</v>
      </c>
      <c r="BL22" s="3">
        <v>1.8417135638043807</v>
      </c>
      <c r="BM22" s="3">
        <v>2.9199609138414311</v>
      </c>
      <c r="BN22" s="6">
        <f t="shared" si="6"/>
        <v>20.754001219456548</v>
      </c>
      <c r="BO22" s="6">
        <v>1.4887864089926668</v>
      </c>
      <c r="BP22" s="6">
        <v>2.0968974251911821</v>
      </c>
      <c r="BQ22" s="6">
        <v>16.16445325354756</v>
      </c>
      <c r="BR22" s="6">
        <v>3.2309035332559692</v>
      </c>
      <c r="BS22" s="6">
        <v>6.4639469947046742</v>
      </c>
      <c r="BT22" s="6">
        <v>0.45945490919058019</v>
      </c>
      <c r="BU22" s="6">
        <f t="shared" si="7"/>
        <v>29.904442524882633</v>
      </c>
      <c r="BV22" s="8">
        <f t="shared" si="8"/>
        <v>6519.2623230322952</v>
      </c>
      <c r="BX22" s="3"/>
    </row>
    <row r="23" spans="2:76">
      <c r="C23" s="11">
        <v>21</v>
      </c>
      <c r="D23" s="6">
        <v>2.6916903844746702</v>
      </c>
      <c r="E23" s="6">
        <v>1.29246966767925</v>
      </c>
      <c r="F23" s="6">
        <v>0.79617163142253022</v>
      </c>
      <c r="G23" s="6">
        <v>1.9968881691126665</v>
      </c>
      <c r="H23" s="6">
        <v>19.951831302728799</v>
      </c>
      <c r="I23" s="6">
        <v>6.3206880065268711</v>
      </c>
      <c r="J23" s="6">
        <v>14.748705900347563</v>
      </c>
      <c r="K23" s="6">
        <v>2.5159338768094828</v>
      </c>
      <c r="L23" s="8">
        <f t="shared" si="0"/>
        <v>50.314378939101829</v>
      </c>
      <c r="M23" s="6">
        <v>10.792681248653714</v>
      </c>
      <c r="N23" s="6">
        <v>2.7569034209125918</v>
      </c>
      <c r="O23" s="6">
        <v>2.3991780269649072</v>
      </c>
      <c r="P23" s="6">
        <v>7.3397291775149318</v>
      </c>
      <c r="Q23" s="6">
        <v>29.561951599409916</v>
      </c>
      <c r="R23" s="6">
        <v>30.399555546894156</v>
      </c>
      <c r="S23" s="6">
        <v>10.166198629799064</v>
      </c>
      <c r="T23" s="6">
        <v>33.841373656647072</v>
      </c>
      <c r="U23" s="6">
        <v>8.2901384886451783</v>
      </c>
      <c r="V23" s="8">
        <f t="shared" si="1"/>
        <v>135.54770979544153</v>
      </c>
      <c r="W23" s="6">
        <v>0.974563431678245</v>
      </c>
      <c r="X23" s="6">
        <v>0.8009251279439239</v>
      </c>
      <c r="Y23" s="6">
        <v>0.54087045247376631</v>
      </c>
      <c r="Z23" s="6">
        <v>8.2760892112412652</v>
      </c>
      <c r="AA23" s="6">
        <v>188.68004672497048</v>
      </c>
      <c r="AB23" s="6">
        <v>67.830696164380299</v>
      </c>
      <c r="AC23" s="6">
        <v>174.96746877789442</v>
      </c>
      <c r="AD23" s="6">
        <v>45.010065558420791</v>
      </c>
      <c r="AE23" s="6">
        <v>2.1705433312754137</v>
      </c>
      <c r="AF23" s="8">
        <f t="shared" si="2"/>
        <v>489.25126878027868</v>
      </c>
      <c r="AG23" s="6">
        <v>2.3399128115988743</v>
      </c>
      <c r="AH23" s="6">
        <v>0.85742477713428789</v>
      </c>
      <c r="AI23" s="6">
        <v>0.9038119841011597</v>
      </c>
      <c r="AJ23" s="6">
        <v>2.7014485996829976</v>
      </c>
      <c r="AK23" s="6">
        <v>117.53178387762087</v>
      </c>
      <c r="AL23" s="6">
        <v>33.697085745514286</v>
      </c>
      <c r="AM23" s="6">
        <v>52.849460254948063</v>
      </c>
      <c r="AN23" s="6">
        <v>0.49286331815501166</v>
      </c>
      <c r="AO23" s="8">
        <f t="shared" si="3"/>
        <v>211.37379136875555</v>
      </c>
      <c r="AP23" s="3">
        <v>41.177554973795537</v>
      </c>
      <c r="AQ23" s="12">
        <v>14.105523886106763</v>
      </c>
      <c r="AR23" s="12">
        <v>4.3723252520413212</v>
      </c>
      <c r="AS23" s="12">
        <v>10.908371354548356</v>
      </c>
      <c r="AT23" s="12">
        <v>399.37718275974021</v>
      </c>
      <c r="AU23" s="12">
        <v>249.85633287389533</v>
      </c>
      <c r="AV23" s="12">
        <v>667.52679931044054</v>
      </c>
      <c r="AW23" s="12">
        <v>47.435954145857707</v>
      </c>
      <c r="AX23" s="6">
        <f t="shared" si="4"/>
        <v>1434.7600445564258</v>
      </c>
      <c r="AY23" s="12"/>
      <c r="AZ23" s="6">
        <v>8.1566836921633357</v>
      </c>
      <c r="BA23" s="6">
        <v>7.5682302270427888</v>
      </c>
      <c r="BB23" s="6">
        <v>30.030145702185482</v>
      </c>
      <c r="BC23" s="6">
        <v>467.72625130963019</v>
      </c>
      <c r="BD23" s="6">
        <v>198.05141683950279</v>
      </c>
      <c r="BE23" s="6">
        <v>775.40162668125993</v>
      </c>
      <c r="BF23" s="6">
        <v>249.59511537398782</v>
      </c>
      <c r="BG23" s="6">
        <v>25.800704479021292</v>
      </c>
      <c r="BH23" s="6">
        <f t="shared" si="5"/>
        <v>1762.3301743047939</v>
      </c>
      <c r="BI23" s="3">
        <v>0.55414524180949298</v>
      </c>
      <c r="BJ23" s="3">
        <v>0.67705885954369649</v>
      </c>
      <c r="BK23" s="3">
        <v>5.001117499055173</v>
      </c>
      <c r="BL23" s="3">
        <v>0.85721256021183345</v>
      </c>
      <c r="BM23" s="3">
        <v>1.6926887623901377</v>
      </c>
      <c r="BN23" s="6">
        <f t="shared" si="6"/>
        <v>8.7822229230103321</v>
      </c>
      <c r="BO23" s="6">
        <v>1.4238429582473418</v>
      </c>
      <c r="BP23" s="6">
        <v>1.7738179178645446</v>
      </c>
      <c r="BQ23" s="6">
        <v>14.834401400936668</v>
      </c>
      <c r="BR23" s="6">
        <v>3.2229711988158405</v>
      </c>
      <c r="BS23" s="6">
        <v>7.6508415339570908</v>
      </c>
      <c r="BT23" s="6">
        <v>0.49150078063942754</v>
      </c>
      <c r="BU23" s="6">
        <f t="shared" si="7"/>
        <v>29.397375790460913</v>
      </c>
      <c r="BV23" s="8">
        <f t="shared" si="8"/>
        <v>4121.7569664582679</v>
      </c>
      <c r="BX23" s="3"/>
    </row>
    <row r="24" spans="2:76">
      <c r="C24" s="11">
        <v>22</v>
      </c>
      <c r="D24" s="6">
        <v>5.5858781350563156</v>
      </c>
      <c r="E24" s="6">
        <v>3.1610644111373634</v>
      </c>
      <c r="F24" s="6">
        <v>1.9519613156695712</v>
      </c>
      <c r="G24" s="6">
        <v>4.7929988520992772</v>
      </c>
      <c r="H24" s="6">
        <v>32.169601102305329</v>
      </c>
      <c r="I24" s="6">
        <v>8.586601864587875</v>
      </c>
      <c r="J24" s="6">
        <v>18.445272977988978</v>
      </c>
      <c r="K24" s="6">
        <v>3.0373901889818611</v>
      </c>
      <c r="L24" s="8">
        <f t="shared" si="0"/>
        <v>77.730768847826567</v>
      </c>
      <c r="M24" s="6">
        <v>20.386773452522128</v>
      </c>
      <c r="N24" s="6">
        <v>3.9581121299681357</v>
      </c>
      <c r="O24" s="6">
        <v>4.763544052219399</v>
      </c>
      <c r="P24" s="6">
        <v>15.565549358770649</v>
      </c>
      <c r="Q24" s="6">
        <v>60.287715089140058</v>
      </c>
      <c r="R24" s="6">
        <v>52.032975714153523</v>
      </c>
      <c r="S24" s="6">
        <v>16.781330594674085</v>
      </c>
      <c r="T24" s="6">
        <v>44.427261884411102</v>
      </c>
      <c r="U24" s="6">
        <v>10.396046294624135</v>
      </c>
      <c r="V24" s="8">
        <f t="shared" si="1"/>
        <v>228.59930857048323</v>
      </c>
      <c r="W24" s="6">
        <v>1.6087626996726443</v>
      </c>
      <c r="X24" s="6">
        <v>1.5811316101555748</v>
      </c>
      <c r="Y24" s="6">
        <v>1.7766024060025962</v>
      </c>
      <c r="Z24" s="6">
        <v>15.217734528778259</v>
      </c>
      <c r="AA24" s="6">
        <v>264.53135214627792</v>
      </c>
      <c r="AB24" s="6">
        <v>89.164266326577689</v>
      </c>
      <c r="AC24" s="6">
        <v>202.4754049074667</v>
      </c>
      <c r="AD24" s="6">
        <v>49.67430724603495</v>
      </c>
      <c r="AE24" s="6">
        <v>3.3848749540686929</v>
      </c>
      <c r="AF24" s="8">
        <f t="shared" si="2"/>
        <v>629.41443682503495</v>
      </c>
      <c r="AG24" s="6">
        <v>3.3290122653198346</v>
      </c>
      <c r="AH24" s="6">
        <v>2.7641389603345869</v>
      </c>
      <c r="AI24" s="6">
        <v>3.968142998502671</v>
      </c>
      <c r="AJ24" s="6">
        <v>10.064904022044708</v>
      </c>
      <c r="AK24" s="6">
        <v>361.5055914580376</v>
      </c>
      <c r="AL24" s="6">
        <v>110.10149493279027</v>
      </c>
      <c r="AM24" s="6">
        <v>135.60573277071282</v>
      </c>
      <c r="AN24" s="6">
        <v>2.7475938061709702</v>
      </c>
      <c r="AO24" s="8">
        <f t="shared" si="3"/>
        <v>630.08661121391344</v>
      </c>
      <c r="AP24" s="3">
        <v>45.355774530151372</v>
      </c>
      <c r="AQ24" s="12">
        <v>21.651321653967173</v>
      </c>
      <c r="AR24" s="12">
        <v>7.2120009587683214</v>
      </c>
      <c r="AS24" s="12">
        <v>17.383762473200257</v>
      </c>
      <c r="AT24" s="12">
        <v>528.96665019610793</v>
      </c>
      <c r="AU24" s="12">
        <v>393.10975754070074</v>
      </c>
      <c r="AV24" s="12">
        <v>1028.1583183215898</v>
      </c>
      <c r="AW24" s="12">
        <v>79.006584214770044</v>
      </c>
      <c r="AX24" s="6">
        <f t="shared" si="4"/>
        <v>2120.8441698892557</v>
      </c>
      <c r="AY24" s="12"/>
      <c r="AZ24" s="6">
        <v>11.506369869961187</v>
      </c>
      <c r="BA24" s="6">
        <v>10.117659077190488</v>
      </c>
      <c r="BB24" s="6">
        <v>38.494545842768503</v>
      </c>
      <c r="BC24" s="6">
        <v>579.06188275604757</v>
      </c>
      <c r="BD24" s="6">
        <v>232.65163810011666</v>
      </c>
      <c r="BE24" s="6">
        <v>811.6826426011022</v>
      </c>
      <c r="BF24" s="6">
        <v>256.58191002847002</v>
      </c>
      <c r="BG24" s="6">
        <v>24.619807195526882</v>
      </c>
      <c r="BH24" s="6">
        <f t="shared" si="5"/>
        <v>1964.7164554711835</v>
      </c>
      <c r="BI24" s="3">
        <v>0.74435179328779433</v>
      </c>
      <c r="BJ24" s="3">
        <v>1.5916319572807636</v>
      </c>
      <c r="BK24" s="3">
        <v>10.09189564884637</v>
      </c>
      <c r="BL24" s="3">
        <v>2.4344558302888988</v>
      </c>
      <c r="BM24" s="3">
        <v>2.7813557205189174</v>
      </c>
      <c r="BN24" s="6">
        <f t="shared" si="6"/>
        <v>17.643690950222744</v>
      </c>
      <c r="BO24" s="6">
        <v>2.033598565247527</v>
      </c>
      <c r="BP24" s="6">
        <v>2.8866081259427694</v>
      </c>
      <c r="BQ24" s="6">
        <v>18.768707427526557</v>
      </c>
      <c r="BR24" s="6">
        <v>5.6925362875904542</v>
      </c>
      <c r="BS24" s="6">
        <v>12.038997292727604</v>
      </c>
      <c r="BT24" s="6">
        <v>0.91785113071762181</v>
      </c>
      <c r="BU24" s="6">
        <f t="shared" si="7"/>
        <v>42.338298829752532</v>
      </c>
      <c r="BV24" s="8">
        <f t="shared" si="8"/>
        <v>5711.3737405976726</v>
      </c>
      <c r="BX24" s="3"/>
    </row>
    <row r="25" spans="2:76">
      <c r="C25" s="11">
        <v>23</v>
      </c>
      <c r="D25" s="6">
        <v>2.6122930375472735</v>
      </c>
      <c r="E25" s="6">
        <v>1.343976653005885</v>
      </c>
      <c r="F25" s="6">
        <v>0.95999623250454513</v>
      </c>
      <c r="G25" s="6">
        <v>2.895645236952312</v>
      </c>
      <c r="H25" s="6">
        <v>24.45990325624161</v>
      </c>
      <c r="I25" s="6">
        <v>5.7485090759236845</v>
      </c>
      <c r="J25" s="6">
        <v>15.152058057676284</v>
      </c>
      <c r="K25" s="6">
        <v>1.832400061298634</v>
      </c>
      <c r="L25" s="8">
        <f t="shared" si="0"/>
        <v>55.004781611150229</v>
      </c>
      <c r="M25" s="6">
        <v>19.139295840458779</v>
      </c>
      <c r="N25" s="6">
        <v>5.782176747840607</v>
      </c>
      <c r="O25" s="6">
        <v>3.7747052310103153</v>
      </c>
      <c r="P25" s="6">
        <v>11.036309440232891</v>
      </c>
      <c r="Q25" s="6">
        <v>37.295729997573034</v>
      </c>
      <c r="R25" s="6">
        <v>45.849356852232958</v>
      </c>
      <c r="S25" s="6">
        <v>11.846969049631765</v>
      </c>
      <c r="T25" s="6">
        <v>43.342856924412871</v>
      </c>
      <c r="U25" s="6">
        <v>8.2958416204614416</v>
      </c>
      <c r="V25" s="8">
        <f t="shared" si="1"/>
        <v>186.36324170385464</v>
      </c>
      <c r="W25" s="6">
        <v>1.2135361416868751</v>
      </c>
      <c r="X25" s="6">
        <v>2.0507445669813107</v>
      </c>
      <c r="Y25" s="6">
        <v>1.1214427752713791</v>
      </c>
      <c r="Z25" s="6">
        <v>8.2120732050911975</v>
      </c>
      <c r="AA25" s="6">
        <v>209.74833367114326</v>
      </c>
      <c r="AB25" s="6">
        <v>53.721137385262232</v>
      </c>
      <c r="AC25" s="6">
        <v>129.52855668996582</v>
      </c>
      <c r="AD25" s="6">
        <v>24.731649433556864</v>
      </c>
      <c r="AE25" s="6">
        <v>1.161484518473483</v>
      </c>
      <c r="AF25" s="8">
        <f t="shared" si="2"/>
        <v>431.48895838743238</v>
      </c>
      <c r="AG25" s="6">
        <v>2.7945184169291988</v>
      </c>
      <c r="AH25" s="6">
        <v>1.4449796790340512</v>
      </c>
      <c r="AI25" s="6">
        <v>0.84291475589234444</v>
      </c>
      <c r="AJ25" s="6">
        <v>3.082692165129151</v>
      </c>
      <c r="AK25" s="6">
        <v>122.55709484605299</v>
      </c>
      <c r="AL25" s="6">
        <v>21.092712900827067</v>
      </c>
      <c r="AM25" s="6">
        <v>40.840051920455544</v>
      </c>
      <c r="AN25" s="6">
        <v>0.55764322967781532</v>
      </c>
      <c r="AO25" s="8">
        <f t="shared" si="3"/>
        <v>193.21260791399817</v>
      </c>
      <c r="AP25" s="3">
        <v>30.207026806026605</v>
      </c>
      <c r="AQ25" s="12">
        <v>13.210437250177614</v>
      </c>
      <c r="AR25" s="12">
        <v>3.1484688699956429</v>
      </c>
      <c r="AS25" s="12">
        <v>8.4133965901884018</v>
      </c>
      <c r="AT25" s="12">
        <v>328.81319029953551</v>
      </c>
      <c r="AU25" s="12">
        <v>163.65874863294638</v>
      </c>
      <c r="AV25" s="12">
        <v>488.30503579649223</v>
      </c>
      <c r="AW25" s="12">
        <v>26.937632212854595</v>
      </c>
      <c r="AX25" s="6">
        <f t="shared" si="4"/>
        <v>1062.693936458217</v>
      </c>
      <c r="AY25" s="12"/>
      <c r="AZ25" s="6">
        <v>15.30459865806248</v>
      </c>
      <c r="BA25" s="6">
        <v>6.6316975854601763</v>
      </c>
      <c r="BB25" s="6">
        <v>29.127002188519366</v>
      </c>
      <c r="BC25" s="6">
        <v>557.75469028915586</v>
      </c>
      <c r="BD25" s="6">
        <v>178.26599531951499</v>
      </c>
      <c r="BE25" s="6">
        <v>735.47336292699072</v>
      </c>
      <c r="BF25" s="6">
        <v>155.66628292866895</v>
      </c>
      <c r="BG25" s="6">
        <v>14.512523810923176</v>
      </c>
      <c r="BH25" s="6">
        <f t="shared" si="5"/>
        <v>1692.7361537072959</v>
      </c>
      <c r="BI25" s="3">
        <v>0.56536627185137323</v>
      </c>
      <c r="BJ25" s="3">
        <v>0.20412391135132837</v>
      </c>
      <c r="BK25" s="3">
        <v>4.8923661872981157</v>
      </c>
      <c r="BL25" s="3">
        <v>0.5117182344684359</v>
      </c>
      <c r="BM25" s="3">
        <v>1.0791766849013014</v>
      </c>
      <c r="BN25" s="6">
        <f t="shared" si="6"/>
        <v>7.2527512898705542</v>
      </c>
      <c r="BO25" s="6">
        <v>1.0567499913737886</v>
      </c>
      <c r="BP25" s="6">
        <v>0.9999019836596873</v>
      </c>
      <c r="BQ25" s="6">
        <v>10.663809444691358</v>
      </c>
      <c r="BR25" s="6">
        <v>1.7279055033700659</v>
      </c>
      <c r="BS25" s="6">
        <v>5.2305067601964312</v>
      </c>
      <c r="BT25" s="6">
        <v>0.35208575120166102</v>
      </c>
      <c r="BU25" s="6">
        <f t="shared" si="7"/>
        <v>20.030959434492992</v>
      </c>
      <c r="BV25" s="8">
        <f t="shared" si="8"/>
        <v>3648.7833905063121</v>
      </c>
      <c r="BX25" s="3"/>
    </row>
    <row r="26" spans="2:76">
      <c r="C26" s="11">
        <v>24</v>
      </c>
      <c r="D26" s="6">
        <v>2.6840755879324845</v>
      </c>
      <c r="E26" s="6">
        <v>1.6240636265157418</v>
      </c>
      <c r="F26" s="6">
        <v>0.49607154283463162</v>
      </c>
      <c r="G26" s="6">
        <v>2.1197176795139527</v>
      </c>
      <c r="H26" s="6">
        <v>18.533437217749398</v>
      </c>
      <c r="I26" s="6">
        <v>5.0194060090934887</v>
      </c>
      <c r="J26" s="6">
        <v>15.085215583965784</v>
      </c>
      <c r="K26" s="6">
        <v>2.5734879610792443</v>
      </c>
      <c r="L26" s="8">
        <f t="shared" si="0"/>
        <v>48.135475208684724</v>
      </c>
      <c r="M26" s="6">
        <v>9.0851909738263785</v>
      </c>
      <c r="N26" s="6">
        <v>2.6670737413447623</v>
      </c>
      <c r="O26" s="6">
        <v>2.5681943417779149</v>
      </c>
      <c r="P26" s="6">
        <v>7.7271282971295872</v>
      </c>
      <c r="Q26" s="6">
        <v>30.065036714091431</v>
      </c>
      <c r="R26" s="6">
        <v>29.885869807006202</v>
      </c>
      <c r="S26" s="6">
        <v>9.9445432801622502</v>
      </c>
      <c r="T26" s="6">
        <v>27.385229875561599</v>
      </c>
      <c r="U26" s="6">
        <v>7.8729339399506522</v>
      </c>
      <c r="V26" s="8">
        <f t="shared" si="1"/>
        <v>127.20120097085078</v>
      </c>
      <c r="W26" s="6">
        <v>1.1740020995410279</v>
      </c>
      <c r="X26" s="6">
        <v>1.7619404947999728</v>
      </c>
      <c r="Y26" s="6">
        <v>0.88757332561849167</v>
      </c>
      <c r="Z26" s="6">
        <v>6.5772095413919729</v>
      </c>
      <c r="AA26" s="6">
        <v>246.59077071306419</v>
      </c>
      <c r="AB26" s="6">
        <v>93.332018428238669</v>
      </c>
      <c r="AC26" s="6">
        <v>207.10061678071094</v>
      </c>
      <c r="AD26" s="6">
        <v>59.520233963099109</v>
      </c>
      <c r="AE26" s="6">
        <v>3.9993122670398926</v>
      </c>
      <c r="AF26" s="8">
        <f t="shared" si="2"/>
        <v>620.94367761350418</v>
      </c>
      <c r="AG26" s="6">
        <v>2.6329332424734235</v>
      </c>
      <c r="AH26" s="6">
        <v>1.1121673275418369</v>
      </c>
      <c r="AI26" s="6">
        <v>1.5715008653113944</v>
      </c>
      <c r="AJ26" s="6">
        <v>2.7845878086668079</v>
      </c>
      <c r="AK26" s="6">
        <v>198.69908669458962</v>
      </c>
      <c r="AL26" s="6">
        <v>52.509830951398655</v>
      </c>
      <c r="AM26" s="6">
        <v>90.114198399423003</v>
      </c>
      <c r="AN26" s="6">
        <v>1.3630582143317636</v>
      </c>
      <c r="AO26" s="8">
        <f t="shared" si="3"/>
        <v>350.78736350373651</v>
      </c>
      <c r="AP26" s="3">
        <v>33.020163322971385</v>
      </c>
      <c r="AQ26" s="12">
        <v>17.638331272908228</v>
      </c>
      <c r="AR26" s="12">
        <v>4.5388922790563839</v>
      </c>
      <c r="AS26" s="12">
        <v>10.500891759818465</v>
      </c>
      <c r="AT26" s="12">
        <v>442.59061157686489</v>
      </c>
      <c r="AU26" s="12">
        <v>344.512644576806</v>
      </c>
      <c r="AV26" s="12">
        <v>915.75230370093925</v>
      </c>
      <c r="AW26" s="12">
        <v>73.824618424954721</v>
      </c>
      <c r="AX26" s="6">
        <f t="shared" si="4"/>
        <v>1842.3784569143193</v>
      </c>
      <c r="AY26" s="12"/>
      <c r="AZ26" s="6">
        <v>11.505613528590283</v>
      </c>
      <c r="BA26" s="6">
        <v>8.475982455299901</v>
      </c>
      <c r="BB26" s="6">
        <v>37.092617794410053</v>
      </c>
      <c r="BC26" s="6">
        <v>547.93003380124026</v>
      </c>
      <c r="BD26" s="6">
        <v>221.56465478082526</v>
      </c>
      <c r="BE26" s="6">
        <v>743.83937357354625</v>
      </c>
      <c r="BF26" s="6">
        <v>233.27165086923483</v>
      </c>
      <c r="BG26" s="6">
        <v>31.691055566055375</v>
      </c>
      <c r="BH26" s="6">
        <f t="shared" si="5"/>
        <v>1835.3709823692022</v>
      </c>
      <c r="BI26" s="3">
        <v>0.90694578826364314</v>
      </c>
      <c r="BJ26" s="3">
        <v>0.64185738022492111</v>
      </c>
      <c r="BK26" s="3">
        <v>8.9241433222392299</v>
      </c>
      <c r="BL26" s="3">
        <v>1.7188024635883721</v>
      </c>
      <c r="BM26" s="3">
        <v>2.1282020233039876</v>
      </c>
      <c r="BN26" s="6">
        <f t="shared" si="6"/>
        <v>14.319950977620154</v>
      </c>
      <c r="BO26" s="6">
        <v>1.0123891628158486</v>
      </c>
      <c r="BP26" s="6">
        <v>1.1706232959325764</v>
      </c>
      <c r="BQ26" s="6">
        <v>11.475454262380474</v>
      </c>
      <c r="BR26" s="6">
        <v>2.8302912050782441</v>
      </c>
      <c r="BS26" s="6">
        <v>7.0971897615666721</v>
      </c>
      <c r="BT26" s="6">
        <v>0.50162930792904159</v>
      </c>
      <c r="BU26" s="6">
        <f t="shared" si="7"/>
        <v>24.087576995702854</v>
      </c>
      <c r="BV26" s="8">
        <f t="shared" si="8"/>
        <v>4863.224684553621</v>
      </c>
      <c r="BX26" s="3"/>
    </row>
    <row r="27" spans="2:76">
      <c r="B27" s="15"/>
      <c r="C27" s="11">
        <v>26</v>
      </c>
      <c r="D27" s="6">
        <v>3.5666228070117394</v>
      </c>
      <c r="E27" s="6">
        <v>2.0185383267854657</v>
      </c>
      <c r="F27" s="6">
        <v>0.92459576771444973</v>
      </c>
      <c r="G27" s="6">
        <v>3.9656800012091353</v>
      </c>
      <c r="H27" s="6">
        <v>36.741624863818231</v>
      </c>
      <c r="I27" s="6">
        <v>9.9863881354282622</v>
      </c>
      <c r="J27" s="6">
        <v>21.678233453305094</v>
      </c>
      <c r="K27" s="6">
        <v>2.3349622609459257</v>
      </c>
      <c r="L27" s="8">
        <f t="shared" si="0"/>
        <v>81.216645616218301</v>
      </c>
      <c r="M27" s="6">
        <v>12.711614275485038</v>
      </c>
      <c r="N27" s="6">
        <v>4.6869748492823113</v>
      </c>
      <c r="O27" s="6">
        <v>2.8538730835383967</v>
      </c>
      <c r="P27" s="6">
        <v>9.758967496352998</v>
      </c>
      <c r="Q27" s="6">
        <v>44.402138941815892</v>
      </c>
      <c r="R27" s="6">
        <v>45.870390465218861</v>
      </c>
      <c r="S27" s="6">
        <v>13.055403279988846</v>
      </c>
      <c r="T27" s="6">
        <v>38.681241565723148</v>
      </c>
      <c r="U27" s="6">
        <v>9.1239875276154141</v>
      </c>
      <c r="V27" s="8">
        <f t="shared" si="1"/>
        <v>181.1445914850209</v>
      </c>
      <c r="W27" s="6">
        <v>1.7756111217798793</v>
      </c>
      <c r="X27" s="6">
        <v>1.7002632259587283</v>
      </c>
      <c r="Y27" s="6">
        <v>1.3082182427481788</v>
      </c>
      <c r="Z27" s="6">
        <v>13.764471598317181</v>
      </c>
      <c r="AA27" s="6">
        <v>321.17158501243068</v>
      </c>
      <c r="AB27" s="6">
        <v>120.62635138281817</v>
      </c>
      <c r="AC27" s="6">
        <v>236.5921294191389</v>
      </c>
      <c r="AD27" s="6">
        <v>59.027758793256574</v>
      </c>
      <c r="AE27" s="6">
        <v>2.7472917403297079</v>
      </c>
      <c r="AF27" s="8">
        <f t="shared" si="2"/>
        <v>758.71368053677804</v>
      </c>
      <c r="AG27" s="6">
        <v>4.9394247032137573</v>
      </c>
      <c r="AH27" s="6">
        <v>2.7438630395712686</v>
      </c>
      <c r="AI27" s="6">
        <v>2.7520705082948345</v>
      </c>
      <c r="AJ27" s="6">
        <v>5.2694714380752226</v>
      </c>
      <c r="AK27" s="6">
        <v>292.12484071139011</v>
      </c>
      <c r="AL27" s="6">
        <v>73.255840958711701</v>
      </c>
      <c r="AM27" s="6">
        <v>116.4809154018439</v>
      </c>
      <c r="AN27" s="6">
        <v>0.98028926699078922</v>
      </c>
      <c r="AO27" s="8">
        <f t="shared" si="3"/>
        <v>498.54671602809157</v>
      </c>
      <c r="AP27" s="3">
        <v>34.070878192218359</v>
      </c>
      <c r="AQ27" s="12">
        <v>16.852887781677868</v>
      </c>
      <c r="AR27" s="12">
        <v>3.7629629207903585</v>
      </c>
      <c r="AS27" s="12">
        <v>12.006063426156004</v>
      </c>
      <c r="AT27" s="12">
        <v>495.07998055656748</v>
      </c>
      <c r="AU27" s="12">
        <v>303.56752149949079</v>
      </c>
      <c r="AV27" s="12">
        <v>779.59976300748099</v>
      </c>
      <c r="AW27" s="12">
        <v>69.628717649151483</v>
      </c>
      <c r="AX27" s="6">
        <f t="shared" si="4"/>
        <v>1714.5687750335333</v>
      </c>
      <c r="AY27" s="12"/>
      <c r="AZ27" s="6">
        <v>9.4000454704372007</v>
      </c>
      <c r="BA27" s="6">
        <v>6.147706022063729</v>
      </c>
      <c r="BB27" s="6">
        <v>30.46141653504726</v>
      </c>
      <c r="BC27" s="6">
        <v>511.10433124670885</v>
      </c>
      <c r="BD27" s="6">
        <v>200.97395253004984</v>
      </c>
      <c r="BE27" s="6">
        <v>685.08073171560522</v>
      </c>
      <c r="BF27" s="6">
        <v>192.82541745741474</v>
      </c>
      <c r="BG27" s="6">
        <v>23.212097478506365</v>
      </c>
      <c r="BH27" s="6">
        <f t="shared" si="5"/>
        <v>1659.205698455833</v>
      </c>
      <c r="BI27" s="3">
        <v>1.4733236704406181</v>
      </c>
      <c r="BJ27" s="3">
        <v>1.1389537519857287</v>
      </c>
      <c r="BK27" s="3">
        <v>12.262574895067539</v>
      </c>
      <c r="BL27" s="3">
        <v>1.5119947065365851</v>
      </c>
      <c r="BM27" s="3">
        <v>3.4420196356737285</v>
      </c>
      <c r="BN27" s="6">
        <f t="shared" si="6"/>
        <v>19.828866659704197</v>
      </c>
      <c r="BO27" s="6">
        <v>1.8817544437267779</v>
      </c>
      <c r="BP27" s="6">
        <v>2.3064864998775003</v>
      </c>
      <c r="BQ27" s="6">
        <v>17.569952543706311</v>
      </c>
      <c r="BR27" s="6">
        <v>3.9436188107372656</v>
      </c>
      <c r="BS27" s="6">
        <v>8.0644903899481992</v>
      </c>
      <c r="BT27" s="6">
        <v>0.6190133889767635</v>
      </c>
      <c r="BU27" s="6">
        <f t="shared" si="7"/>
        <v>34.385316076972813</v>
      </c>
      <c r="BV27" s="8">
        <f t="shared" si="8"/>
        <v>4947.6102898921527</v>
      </c>
      <c r="BX27" s="3"/>
    </row>
    <row r="28" spans="2:76">
      <c r="B28" s="15"/>
      <c r="C28" s="11">
        <v>27</v>
      </c>
      <c r="D28" s="6">
        <v>4.6360015730667481</v>
      </c>
      <c r="E28" s="6">
        <v>2.4956125592802194</v>
      </c>
      <c r="F28" s="6">
        <v>0.66748595751053252</v>
      </c>
      <c r="G28" s="6">
        <v>4.3987227026791018</v>
      </c>
      <c r="H28" s="6">
        <v>26.742615430947218</v>
      </c>
      <c r="I28" s="6">
        <v>6.9673781605492762</v>
      </c>
      <c r="J28" s="6">
        <v>18.975618884400486</v>
      </c>
      <c r="K28" s="6">
        <v>3.493444306553203</v>
      </c>
      <c r="L28" s="8">
        <f t="shared" si="0"/>
        <v>68.376879574986788</v>
      </c>
      <c r="M28" s="6">
        <v>29.537542699837477</v>
      </c>
      <c r="N28" s="6">
        <v>6.7057928570049894</v>
      </c>
      <c r="O28" s="6">
        <v>7.2956677403875876</v>
      </c>
      <c r="P28" s="6">
        <v>26.062024526453975</v>
      </c>
      <c r="Q28" s="6">
        <v>94.515538964345382</v>
      </c>
      <c r="R28" s="6">
        <v>96.822803274400272</v>
      </c>
      <c r="S28" s="6">
        <v>33.980283457734124</v>
      </c>
      <c r="T28" s="6">
        <v>90.226327714343697</v>
      </c>
      <c r="U28" s="6">
        <v>28.023395258144745</v>
      </c>
      <c r="V28" s="8">
        <f t="shared" si="1"/>
        <v>413.1693764926523</v>
      </c>
      <c r="W28" s="6">
        <v>1.5784297874867885</v>
      </c>
      <c r="X28" s="6">
        <v>0.77891965933578022</v>
      </c>
      <c r="Y28" s="6">
        <v>0.67603935247684055</v>
      </c>
      <c r="Z28" s="6">
        <v>5.8211792470484696</v>
      </c>
      <c r="AA28" s="6">
        <v>133.98552875732938</v>
      </c>
      <c r="AB28" s="6">
        <v>47.689532507286053</v>
      </c>
      <c r="AC28" s="6">
        <v>103.10536526221779</v>
      </c>
      <c r="AD28" s="6">
        <v>28.141653328096357</v>
      </c>
      <c r="AE28" s="6">
        <v>1.7796043306004081</v>
      </c>
      <c r="AF28" s="8">
        <f t="shared" si="2"/>
        <v>323.55625223187786</v>
      </c>
      <c r="AG28" s="6">
        <v>4.3419228910106842</v>
      </c>
      <c r="AH28" s="6">
        <v>2.0765674180010398</v>
      </c>
      <c r="AI28" s="6">
        <v>3.2027291763151293</v>
      </c>
      <c r="AJ28" s="6">
        <v>5.2773069736732419</v>
      </c>
      <c r="AK28" s="6">
        <v>280.05332922654037</v>
      </c>
      <c r="AL28" s="6">
        <v>76.397049138290782</v>
      </c>
      <c r="AM28" s="6">
        <v>89.910397183122939</v>
      </c>
      <c r="AN28" s="6">
        <v>2.2686134621050109</v>
      </c>
      <c r="AO28" s="8">
        <f t="shared" si="3"/>
        <v>463.52791546905922</v>
      </c>
      <c r="AP28" s="3">
        <v>36.359677490115473</v>
      </c>
      <c r="AQ28" s="12">
        <v>15.773491826314251</v>
      </c>
      <c r="AR28" s="12">
        <v>3.4741193482069712</v>
      </c>
      <c r="AS28" s="12">
        <v>9.584502026260374</v>
      </c>
      <c r="AT28" s="12">
        <v>455.08684620479625</v>
      </c>
      <c r="AU28" s="12">
        <v>323.46589083255736</v>
      </c>
      <c r="AV28" s="12">
        <v>838.19604559887159</v>
      </c>
      <c r="AW28" s="12">
        <v>61.445056441507361</v>
      </c>
      <c r="AX28" s="6">
        <f t="shared" si="4"/>
        <v>1743.3856297686298</v>
      </c>
      <c r="AY28" s="12"/>
      <c r="AZ28" s="6">
        <v>10.658229983847752</v>
      </c>
      <c r="BA28" s="6">
        <v>8.9280636426983087</v>
      </c>
      <c r="BB28" s="6">
        <v>38.960541867812012</v>
      </c>
      <c r="BC28" s="6">
        <v>528.0087622932042</v>
      </c>
      <c r="BD28" s="6">
        <v>222.20694121105677</v>
      </c>
      <c r="BE28" s="6">
        <v>765.05133847343677</v>
      </c>
      <c r="BF28" s="6">
        <v>225.88560170082246</v>
      </c>
      <c r="BG28" s="6">
        <v>24.061362723961654</v>
      </c>
      <c r="BH28" s="6">
        <f t="shared" si="5"/>
        <v>1823.76084189684</v>
      </c>
      <c r="BI28" s="3">
        <v>1.6289578625226098</v>
      </c>
      <c r="BJ28" s="3">
        <v>2.2229099088041457</v>
      </c>
      <c r="BK28" s="3">
        <v>13.322297910743918</v>
      </c>
      <c r="BL28" s="3">
        <v>2.2411629459162001</v>
      </c>
      <c r="BM28" s="3">
        <v>3.8351489891836659</v>
      </c>
      <c r="BN28" s="6">
        <f t="shared" si="6"/>
        <v>23.250477617170539</v>
      </c>
      <c r="BO28" s="6">
        <v>4.0995758595946432</v>
      </c>
      <c r="BP28" s="6">
        <v>6.3352356621812005</v>
      </c>
      <c r="BQ28" s="6">
        <v>48.655026660633851</v>
      </c>
      <c r="BR28" s="6">
        <v>11.440448497428028</v>
      </c>
      <c r="BS28" s="6">
        <v>29.951932211941863</v>
      </c>
      <c r="BT28" s="6">
        <v>2.6312082842436459</v>
      </c>
      <c r="BU28" s="6">
        <f t="shared" si="7"/>
        <v>103.11342717602322</v>
      </c>
      <c r="BV28" s="8">
        <f t="shared" si="8"/>
        <v>4962.1408002272401</v>
      </c>
      <c r="BX28" s="3"/>
    </row>
    <row r="29" spans="2:76">
      <c r="B29" s="15"/>
      <c r="C29" s="11">
        <v>28</v>
      </c>
      <c r="D29" s="6">
        <v>5.4260284736541031</v>
      </c>
      <c r="E29" s="6">
        <v>2.9512449474253786</v>
      </c>
      <c r="F29" s="6">
        <v>1.562523185647446</v>
      </c>
      <c r="G29" s="6">
        <v>6.9639326129366683</v>
      </c>
      <c r="H29" s="6">
        <v>41.891162998637945</v>
      </c>
      <c r="I29" s="6">
        <v>12.121970151434171</v>
      </c>
      <c r="J29" s="6">
        <v>21.528065234155672</v>
      </c>
      <c r="K29" s="6">
        <v>3.1430590535742566</v>
      </c>
      <c r="L29" s="8">
        <f t="shared" si="0"/>
        <v>95.587986657465649</v>
      </c>
      <c r="M29" s="6">
        <v>29.454440556377083</v>
      </c>
      <c r="N29" s="6">
        <v>7.0305504116131701</v>
      </c>
      <c r="O29" s="6">
        <v>6.1809517339353999</v>
      </c>
      <c r="P29" s="6">
        <v>17.775806317672583</v>
      </c>
      <c r="Q29" s="6">
        <v>72.427861936027256</v>
      </c>
      <c r="R29" s="6">
        <v>60.688647947635275</v>
      </c>
      <c r="S29" s="6">
        <v>19.307447322847054</v>
      </c>
      <c r="T29" s="6">
        <v>57.133970306938849</v>
      </c>
      <c r="U29" s="6">
        <v>13.273292853019576</v>
      </c>
      <c r="V29" s="8">
        <f t="shared" si="1"/>
        <v>283.27296938606628</v>
      </c>
      <c r="W29" s="6">
        <v>1.5004658769390529</v>
      </c>
      <c r="X29" s="6">
        <v>0.64236162129481433</v>
      </c>
      <c r="Y29" s="6">
        <v>1.2056784471485904</v>
      </c>
      <c r="Z29" s="6">
        <v>11.059212033961654</v>
      </c>
      <c r="AA29" s="6">
        <v>199.16837807648176</v>
      </c>
      <c r="AB29" s="6">
        <v>77.326004092806969</v>
      </c>
      <c r="AC29" s="6">
        <v>137.19753463603141</v>
      </c>
      <c r="AD29" s="6">
        <v>36.182108581486986</v>
      </c>
      <c r="AE29" s="6">
        <v>2.0945482310424226</v>
      </c>
      <c r="AF29" s="8">
        <f t="shared" si="2"/>
        <v>466.37629159719364</v>
      </c>
      <c r="AG29" s="6">
        <v>10.028879109465002</v>
      </c>
      <c r="AH29" s="6">
        <v>3.3759453701052848</v>
      </c>
      <c r="AI29" s="6">
        <v>4.7316233700825174</v>
      </c>
      <c r="AJ29" s="6">
        <v>9.9538909959112711</v>
      </c>
      <c r="AK29" s="6">
        <v>411.34707499525359</v>
      </c>
      <c r="AL29" s="6">
        <v>120.12593148645834</v>
      </c>
      <c r="AM29" s="6">
        <v>133.89952757807376</v>
      </c>
      <c r="AN29" s="6">
        <v>1.6618744886336432</v>
      </c>
      <c r="AO29" s="8">
        <f t="shared" si="3"/>
        <v>695.1247473939834</v>
      </c>
      <c r="AP29" s="3">
        <v>62.77924990402137</v>
      </c>
      <c r="AQ29" s="12">
        <v>20.483835487727934</v>
      </c>
      <c r="AR29" s="12">
        <v>4.841862308304103</v>
      </c>
      <c r="AS29" s="12">
        <v>13.95685198949173</v>
      </c>
      <c r="AT29" s="12">
        <v>515.89220294897086</v>
      </c>
      <c r="AU29" s="12">
        <v>338.34878803155465</v>
      </c>
      <c r="AV29" s="12">
        <v>760.944813099415</v>
      </c>
      <c r="AW29" s="12">
        <v>49.502207362625292</v>
      </c>
      <c r="AX29" s="6">
        <f t="shared" si="4"/>
        <v>1766.7498111321108</v>
      </c>
      <c r="AY29" s="12"/>
      <c r="AZ29" s="6">
        <v>10.070987478710592</v>
      </c>
      <c r="BA29" s="6">
        <v>7.5383133125081816</v>
      </c>
      <c r="BB29" s="6">
        <v>31.807512952630461</v>
      </c>
      <c r="BC29" s="6">
        <v>540.10803580961965</v>
      </c>
      <c r="BD29" s="6">
        <v>216.92222851227129</v>
      </c>
      <c r="BE29" s="6">
        <v>646.13416665286456</v>
      </c>
      <c r="BF29" s="6">
        <v>195.65958934321606</v>
      </c>
      <c r="BG29" s="6">
        <v>21.496206416990329</v>
      </c>
      <c r="BH29" s="6">
        <f t="shared" si="5"/>
        <v>1669.7370404788114</v>
      </c>
      <c r="BI29" s="3">
        <v>1.4475300065001655</v>
      </c>
      <c r="BJ29" s="3">
        <v>0.80506031711135995</v>
      </c>
      <c r="BK29" s="3">
        <v>12.140826624459425</v>
      </c>
      <c r="BL29" s="3">
        <v>3.1104482525138843</v>
      </c>
      <c r="BM29" s="3">
        <v>2.5296352736413206</v>
      </c>
      <c r="BN29" s="6">
        <f t="shared" si="6"/>
        <v>20.033500474226155</v>
      </c>
      <c r="BO29" s="6">
        <v>2.1843036488434051</v>
      </c>
      <c r="BP29" s="6">
        <v>3.338887653684353</v>
      </c>
      <c r="BQ29" s="6">
        <v>24.235711752428667</v>
      </c>
      <c r="BR29" s="6">
        <v>6.3582831271565707</v>
      </c>
      <c r="BS29" s="6">
        <v>15.027895187882105</v>
      </c>
      <c r="BT29" s="6">
        <v>0.96166008796318347</v>
      </c>
      <c r="BU29" s="6">
        <f t="shared" si="7"/>
        <v>52.106741457958279</v>
      </c>
      <c r="BV29" s="8">
        <f t="shared" si="8"/>
        <v>5048.9890885778159</v>
      </c>
      <c r="BX29" s="3"/>
    </row>
    <row r="30" spans="2:76">
      <c r="B30" s="15"/>
      <c r="C30" s="11">
        <v>29</v>
      </c>
      <c r="D30" s="6">
        <v>5.123276654572833</v>
      </c>
      <c r="E30" s="6">
        <v>2.7456522629171172</v>
      </c>
      <c r="F30" s="6">
        <v>2.8459881516383136</v>
      </c>
      <c r="G30" s="6">
        <v>7.3633751417966549</v>
      </c>
      <c r="H30" s="6">
        <v>40.501035913478091</v>
      </c>
      <c r="I30" s="6">
        <v>10.079347061092694</v>
      </c>
      <c r="J30" s="6">
        <v>22.736560930442682</v>
      </c>
      <c r="K30" s="6">
        <v>2.8974366997075256</v>
      </c>
      <c r="L30" s="8">
        <f t="shared" si="0"/>
        <v>94.292672815645901</v>
      </c>
      <c r="M30" s="6">
        <v>51.378764950031957</v>
      </c>
      <c r="N30" s="6">
        <v>9.1763600275440176</v>
      </c>
      <c r="O30" s="6">
        <v>5.2369911822095485</v>
      </c>
      <c r="P30" s="6">
        <v>17.569349996859991</v>
      </c>
      <c r="Q30" s="6">
        <v>91.562609515524088</v>
      </c>
      <c r="R30" s="6">
        <v>66.60112695879657</v>
      </c>
      <c r="S30" s="6">
        <v>20.083734920914718</v>
      </c>
      <c r="T30" s="6">
        <v>56.916556400631393</v>
      </c>
      <c r="U30" s="6">
        <v>11.844499623780049</v>
      </c>
      <c r="V30" s="8">
        <f t="shared" si="1"/>
        <v>330.36999357629236</v>
      </c>
      <c r="W30" s="6">
        <v>6.5666796681972954</v>
      </c>
      <c r="X30" s="6">
        <v>2.9777786152358936</v>
      </c>
      <c r="Y30" s="6">
        <v>2.7487095040866074</v>
      </c>
      <c r="Z30" s="6">
        <v>18.301646790520106</v>
      </c>
      <c r="AA30" s="6">
        <v>476.72157781302525</v>
      </c>
      <c r="AB30" s="6">
        <v>162.42900838388618</v>
      </c>
      <c r="AC30" s="6">
        <v>303.70631200674018</v>
      </c>
      <c r="AD30" s="6">
        <v>84.495896126495893</v>
      </c>
      <c r="AE30" s="6">
        <v>5.0795957049091971</v>
      </c>
      <c r="AF30" s="8">
        <f t="shared" si="2"/>
        <v>1063.0272046130967</v>
      </c>
      <c r="AG30" s="6">
        <v>6.7592049992537371</v>
      </c>
      <c r="AH30" s="6">
        <v>5.6566422869333151</v>
      </c>
      <c r="AI30" s="6">
        <v>6.6211527090167275</v>
      </c>
      <c r="AJ30" s="6">
        <v>12.470793420198916</v>
      </c>
      <c r="AK30" s="6">
        <v>635.12944981336409</v>
      </c>
      <c r="AL30" s="6">
        <v>155.5382064503502</v>
      </c>
      <c r="AM30" s="6">
        <v>218.1774993014771</v>
      </c>
      <c r="AN30" s="6">
        <v>2.3444155788957111</v>
      </c>
      <c r="AO30" s="8">
        <f t="shared" si="3"/>
        <v>1042.6973645594899</v>
      </c>
      <c r="AP30" s="3">
        <v>69.780113588531776</v>
      </c>
      <c r="AQ30" s="12">
        <v>38.020904611085513</v>
      </c>
      <c r="AR30" s="12">
        <v>10.487570204947428</v>
      </c>
      <c r="AS30" s="12">
        <v>22.834920182752533</v>
      </c>
      <c r="AT30" s="12">
        <v>1059.141909016414</v>
      </c>
      <c r="AU30" s="12">
        <v>624.44555488216895</v>
      </c>
      <c r="AV30" s="12">
        <v>1707.3214764926149</v>
      </c>
      <c r="AW30" s="12">
        <v>99.072787172778305</v>
      </c>
      <c r="AX30" s="6">
        <f t="shared" si="4"/>
        <v>3631.1052361512934</v>
      </c>
      <c r="AY30" s="12"/>
      <c r="AZ30" s="6">
        <v>22.658026266704493</v>
      </c>
      <c r="BA30" s="6">
        <v>12.094327420446811</v>
      </c>
      <c r="BB30" s="6">
        <v>53.397441439762112</v>
      </c>
      <c r="BC30" s="6">
        <v>996.31280792062807</v>
      </c>
      <c r="BD30" s="6">
        <v>374.71385245709001</v>
      </c>
      <c r="BE30" s="6">
        <v>1185.9184185225774</v>
      </c>
      <c r="BF30" s="6">
        <v>326.73646945858746</v>
      </c>
      <c r="BG30" s="6">
        <v>41.420715007637725</v>
      </c>
      <c r="BH30" s="6">
        <f t="shared" si="5"/>
        <v>3013.2520584934341</v>
      </c>
      <c r="BI30" s="3">
        <v>1.6458200208343063</v>
      </c>
      <c r="BJ30" s="3">
        <v>1.4658339575095531</v>
      </c>
      <c r="BK30" s="3">
        <v>14.814061533077023</v>
      </c>
      <c r="BL30" s="3">
        <v>2.0690883859876177</v>
      </c>
      <c r="BM30" s="3">
        <v>5.3079094539830347</v>
      </c>
      <c r="BN30" s="6">
        <f t="shared" si="6"/>
        <v>25.302713351391539</v>
      </c>
      <c r="BO30" s="6">
        <v>1.4063654656959215</v>
      </c>
      <c r="BP30" s="6">
        <v>2.1264562501609596</v>
      </c>
      <c r="BQ30" s="6">
        <v>17.031679055472743</v>
      </c>
      <c r="BR30" s="6">
        <v>3.5448664128168224</v>
      </c>
      <c r="BS30" s="6">
        <v>8.7633406014623194</v>
      </c>
      <c r="BT30" s="6">
        <v>0.76791120247048672</v>
      </c>
      <c r="BU30" s="6">
        <f t="shared" si="7"/>
        <v>33.640618988079254</v>
      </c>
      <c r="BV30" s="8">
        <f t="shared" si="8"/>
        <v>9233.6878625487243</v>
      </c>
      <c r="BX30" s="3"/>
    </row>
    <row r="31" spans="2:76">
      <c r="C31" s="11">
        <v>30</v>
      </c>
      <c r="D31" s="6">
        <v>4.5735049858238694</v>
      </c>
      <c r="E31" s="6">
        <v>2.492584368460089</v>
      </c>
      <c r="F31" s="6">
        <v>1.3942096264752786</v>
      </c>
      <c r="G31" s="6">
        <v>4.4898121126592763</v>
      </c>
      <c r="H31" s="6">
        <v>39.653332315331518</v>
      </c>
      <c r="I31" s="6">
        <v>11.36528253059161</v>
      </c>
      <c r="J31" s="6">
        <v>27.831992381257521</v>
      </c>
      <c r="K31" s="6">
        <v>4.2783574422781783</v>
      </c>
      <c r="L31" s="8">
        <f t="shared" si="0"/>
        <v>96.079075762877338</v>
      </c>
      <c r="M31" s="6">
        <v>21.118239185431339</v>
      </c>
      <c r="N31" s="6">
        <v>5.1799861717771361</v>
      </c>
      <c r="O31" s="6">
        <v>4.9948092121218695</v>
      </c>
      <c r="P31" s="6">
        <v>14.929802219666895</v>
      </c>
      <c r="Q31" s="6">
        <v>62.995823092136192</v>
      </c>
      <c r="R31" s="6">
        <v>59.315954745660008</v>
      </c>
      <c r="S31" s="6">
        <v>18.012214157448067</v>
      </c>
      <c r="T31" s="6">
        <v>61.598250817890225</v>
      </c>
      <c r="U31" s="6">
        <v>14.871670623163364</v>
      </c>
      <c r="V31" s="8">
        <f t="shared" si="1"/>
        <v>263.01675022529508</v>
      </c>
      <c r="W31" s="6">
        <v>2.6616902847026429</v>
      </c>
      <c r="X31" s="6">
        <v>1.987414540732283</v>
      </c>
      <c r="Y31" s="6">
        <v>1.6505309956902587</v>
      </c>
      <c r="Z31" s="6">
        <v>17.337361689813399</v>
      </c>
      <c r="AA31" s="6">
        <v>411.26616754160722</v>
      </c>
      <c r="AB31" s="6">
        <v>130.50383254243894</v>
      </c>
      <c r="AC31" s="6">
        <v>326.76399363168798</v>
      </c>
      <c r="AD31" s="6">
        <v>69.267204116908758</v>
      </c>
      <c r="AE31" s="6">
        <v>4.2621483358181012</v>
      </c>
      <c r="AF31" s="8">
        <f t="shared" si="2"/>
        <v>965.70034367939945</v>
      </c>
      <c r="AG31" s="6">
        <v>4.6375692048213333</v>
      </c>
      <c r="AH31" s="6">
        <v>2.2407072952055107</v>
      </c>
      <c r="AI31" s="6">
        <v>2.4082903894730028</v>
      </c>
      <c r="AJ31" s="6">
        <v>5.0591109143582473</v>
      </c>
      <c r="AK31" s="6">
        <v>213.9278000872888</v>
      </c>
      <c r="AL31" s="6">
        <v>50.030295075076303</v>
      </c>
      <c r="AM31" s="6">
        <v>92.251001613764572</v>
      </c>
      <c r="AN31" s="6">
        <v>1.2827097992967078</v>
      </c>
      <c r="AO31" s="8">
        <f t="shared" si="3"/>
        <v>371.83748437928449</v>
      </c>
      <c r="AP31" s="3">
        <v>83.086849046089185</v>
      </c>
      <c r="AQ31" s="12">
        <v>29.759626828799544</v>
      </c>
      <c r="AR31" s="12">
        <v>9.5336186933911264</v>
      </c>
      <c r="AS31" s="12">
        <v>25.277789450713026</v>
      </c>
      <c r="AT31" s="12">
        <v>842.58049923523845</v>
      </c>
      <c r="AU31" s="12">
        <v>543.79768096535281</v>
      </c>
      <c r="AV31" s="12">
        <v>1496.0445195963923</v>
      </c>
      <c r="AW31" s="12">
        <v>125.98335054913832</v>
      </c>
      <c r="AX31" s="6">
        <f t="shared" si="4"/>
        <v>3156.0639343651151</v>
      </c>
      <c r="AY31" s="12"/>
      <c r="AZ31" s="6">
        <v>18.312443862707187</v>
      </c>
      <c r="BA31" s="6">
        <v>15.045070990373702</v>
      </c>
      <c r="BB31" s="6">
        <v>54.046002638410656</v>
      </c>
      <c r="BC31" s="6">
        <v>1073.7793010116459</v>
      </c>
      <c r="BD31" s="6">
        <v>393.62939828672796</v>
      </c>
      <c r="BE31" s="6">
        <v>1432.0206346242039</v>
      </c>
      <c r="BF31" s="6">
        <v>466.92399378130995</v>
      </c>
      <c r="BG31" s="6">
        <v>48.645395635972875</v>
      </c>
      <c r="BH31" s="6">
        <f t="shared" si="5"/>
        <v>3502.4022408313522</v>
      </c>
      <c r="BI31" s="3">
        <v>1.1346996957882061</v>
      </c>
      <c r="BJ31" s="3">
        <v>0.4631271901673622</v>
      </c>
      <c r="BK31" s="3">
        <v>9.1914866546444411</v>
      </c>
      <c r="BL31" s="3">
        <v>1.4527622383422867</v>
      </c>
      <c r="BM31" s="3">
        <v>2.5567684958860317</v>
      </c>
      <c r="BN31" s="6">
        <f t="shared" si="6"/>
        <v>14.798844274828326</v>
      </c>
      <c r="BO31" s="6">
        <v>2.9254885600119138</v>
      </c>
      <c r="BP31" s="6">
        <v>3.138048384564831</v>
      </c>
      <c r="BQ31" s="6">
        <v>25.060512085973098</v>
      </c>
      <c r="BR31" s="6">
        <v>4.8849762392705793</v>
      </c>
      <c r="BS31" s="6">
        <v>10.44894904473629</v>
      </c>
      <c r="BT31" s="6">
        <v>0.83846201360497519</v>
      </c>
      <c r="BU31" s="6">
        <f t="shared" si="7"/>
        <v>47.296436328161683</v>
      </c>
      <c r="BV31" s="8">
        <f t="shared" si="8"/>
        <v>8417.1951098463123</v>
      </c>
      <c r="BX31" s="3"/>
    </row>
    <row r="32" spans="2:76">
      <c r="B32" s="16"/>
      <c r="C32" s="11">
        <v>31</v>
      </c>
      <c r="D32" s="6">
        <v>2.0279404812914503</v>
      </c>
      <c r="E32" s="6">
        <v>1.1071437565421713</v>
      </c>
      <c r="F32" s="6">
        <v>0.80889289508881856</v>
      </c>
      <c r="G32" s="6">
        <v>2.4878661903776087</v>
      </c>
      <c r="H32" s="6">
        <v>23.672733984057579</v>
      </c>
      <c r="I32" s="6">
        <v>6.5607276769303287</v>
      </c>
      <c r="J32" s="6">
        <v>13.199001208179565</v>
      </c>
      <c r="K32" s="6">
        <v>2.1161004595536075</v>
      </c>
      <c r="L32" s="8">
        <f t="shared" si="0"/>
        <v>51.980406652021131</v>
      </c>
      <c r="M32" s="6">
        <v>16.557177065681962</v>
      </c>
      <c r="N32" s="6">
        <v>4.5066119074369277</v>
      </c>
      <c r="O32" s="6">
        <v>3.6773924248969574</v>
      </c>
      <c r="P32" s="6">
        <v>12.009206408198525</v>
      </c>
      <c r="Q32" s="6">
        <v>49.648927456008217</v>
      </c>
      <c r="R32" s="6">
        <v>42.373583141567622</v>
      </c>
      <c r="S32" s="6">
        <v>14.703684639974401</v>
      </c>
      <c r="T32" s="6">
        <v>43.22448008481863</v>
      </c>
      <c r="U32" s="6">
        <v>11.63422575048037</v>
      </c>
      <c r="V32" s="8">
        <f t="shared" si="1"/>
        <v>198.3352888790636</v>
      </c>
      <c r="W32" s="6">
        <v>6.1247488894366171</v>
      </c>
      <c r="X32" s="6">
        <v>5.1939226658713222</v>
      </c>
      <c r="Y32" s="6">
        <v>3.1898728036867068</v>
      </c>
      <c r="Z32" s="6">
        <v>27.875037747061569</v>
      </c>
      <c r="AA32" s="6">
        <v>639.21349414756958</v>
      </c>
      <c r="AB32" s="6">
        <v>199.7699326693203</v>
      </c>
      <c r="AC32" s="6">
        <v>441.97073560371314</v>
      </c>
      <c r="AD32" s="6">
        <v>114.87948598302397</v>
      </c>
      <c r="AE32" s="6">
        <v>6.7066803140527416</v>
      </c>
      <c r="AF32" s="8">
        <f t="shared" si="2"/>
        <v>1444.9239108237359</v>
      </c>
      <c r="AG32" s="6">
        <v>3.0668513048390293</v>
      </c>
      <c r="AH32" s="6">
        <v>2.2045025814496007</v>
      </c>
      <c r="AI32" s="6">
        <v>2.1240110459177646</v>
      </c>
      <c r="AJ32" s="6">
        <v>4.4176109003925612</v>
      </c>
      <c r="AK32" s="6">
        <v>163.08774700569265</v>
      </c>
      <c r="AL32" s="6">
        <v>39.577122363249181</v>
      </c>
      <c r="AM32" s="6">
        <v>54.114591792877796</v>
      </c>
      <c r="AN32" s="6">
        <v>0.76368030756518679</v>
      </c>
      <c r="AO32" s="8">
        <f t="shared" si="3"/>
        <v>269.35611730198377</v>
      </c>
      <c r="AP32" s="3">
        <v>155.54926338569067</v>
      </c>
      <c r="AQ32" s="12">
        <v>59.662385615954129</v>
      </c>
      <c r="AR32" s="12">
        <v>17.164909275257028</v>
      </c>
      <c r="AS32" s="12">
        <v>38.614460921265803</v>
      </c>
      <c r="AT32" s="12">
        <v>1345.9670171771295</v>
      </c>
      <c r="AU32" s="12">
        <v>861.21621705393545</v>
      </c>
      <c r="AV32" s="12">
        <v>2053.8447539217541</v>
      </c>
      <c r="AW32" s="12">
        <v>165.38996885414591</v>
      </c>
      <c r="AX32" s="6">
        <f t="shared" si="4"/>
        <v>4697.4089762051326</v>
      </c>
      <c r="AY32" s="12"/>
      <c r="AZ32" s="6">
        <v>37.852351755405003</v>
      </c>
      <c r="BA32" s="6">
        <v>27.424257113261884</v>
      </c>
      <c r="BB32" s="6">
        <v>102.33656589352915</v>
      </c>
      <c r="BC32" s="6">
        <v>1362.3361599237596</v>
      </c>
      <c r="BD32" s="6">
        <v>544.5335146161658</v>
      </c>
      <c r="BE32" s="6">
        <v>1731.2205451023772</v>
      </c>
      <c r="BF32" s="6">
        <v>559.70632216443801</v>
      </c>
      <c r="BG32" s="6">
        <v>68.27800348686938</v>
      </c>
      <c r="BH32" s="6">
        <f t="shared" si="5"/>
        <v>4433.6877200558056</v>
      </c>
      <c r="BI32" s="3">
        <v>0.86636497486133979</v>
      </c>
      <c r="BJ32" s="3">
        <v>0.78095945153161128</v>
      </c>
      <c r="BK32" s="3">
        <v>6.9405816687224879</v>
      </c>
      <c r="BL32" s="3">
        <v>1.2879500385038145</v>
      </c>
      <c r="BM32" s="3">
        <v>1.2257748726395998</v>
      </c>
      <c r="BN32" s="6">
        <f t="shared" si="6"/>
        <v>11.101631006258852</v>
      </c>
      <c r="BO32" s="6">
        <v>2.2584089235924809</v>
      </c>
      <c r="BP32" s="6">
        <v>3.0370142186947842</v>
      </c>
      <c r="BQ32" s="6">
        <v>18.983591445761995</v>
      </c>
      <c r="BR32" s="6">
        <v>3.9211313648752237</v>
      </c>
      <c r="BS32" s="6">
        <v>8.4500247166449629</v>
      </c>
      <c r="BT32" s="6">
        <v>0.48387204021832725</v>
      </c>
      <c r="BU32" s="6">
        <f t="shared" si="7"/>
        <v>37.134042709787778</v>
      </c>
      <c r="BV32" s="8">
        <f t="shared" si="8"/>
        <v>11143.928093633787</v>
      </c>
      <c r="BX32" s="3"/>
    </row>
    <row r="33" spans="2:76">
      <c r="B33" s="15"/>
      <c r="C33" s="11">
        <v>32</v>
      </c>
      <c r="D33" s="6">
        <v>2.9958222480125358</v>
      </c>
      <c r="E33" s="6">
        <v>1.5727023451569841</v>
      </c>
      <c r="F33" s="6">
        <v>1.597722949864121</v>
      </c>
      <c r="G33" s="6">
        <v>3.6697415451608717</v>
      </c>
      <c r="H33" s="6">
        <v>37.170585057697018</v>
      </c>
      <c r="I33" s="6">
        <v>10.37219396100407</v>
      </c>
      <c r="J33" s="6">
        <v>19.761324469484823</v>
      </c>
      <c r="K33" s="6">
        <v>3.068958892417962</v>
      </c>
      <c r="L33" s="8">
        <f t="shared" si="0"/>
        <v>80.209051468798393</v>
      </c>
      <c r="M33" s="6">
        <v>32.67594925252093</v>
      </c>
      <c r="N33" s="6">
        <v>6.6261195878049772</v>
      </c>
      <c r="O33" s="6">
        <v>4.4425434262366297</v>
      </c>
      <c r="P33" s="6">
        <v>14.009019278390456</v>
      </c>
      <c r="Q33" s="6">
        <v>68.497857587483125</v>
      </c>
      <c r="R33" s="6">
        <v>55.222414689979715</v>
      </c>
      <c r="S33" s="6">
        <v>18.049661751572671</v>
      </c>
      <c r="T33" s="6">
        <v>49.868594475489289</v>
      </c>
      <c r="U33" s="6">
        <v>11.9304267925317</v>
      </c>
      <c r="V33" s="8">
        <f t="shared" si="1"/>
        <v>261.32258684200946</v>
      </c>
      <c r="W33" s="6">
        <v>4.7335103717610441</v>
      </c>
      <c r="X33" s="6">
        <v>3.0202595605818883</v>
      </c>
      <c r="Y33" s="6">
        <v>2.3263557469570104</v>
      </c>
      <c r="Z33" s="6">
        <v>26.009590368084215</v>
      </c>
      <c r="AA33" s="6">
        <v>528.1819965846247</v>
      </c>
      <c r="AB33" s="6">
        <v>205.07739528406273</v>
      </c>
      <c r="AC33" s="6">
        <v>406.42755150140425</v>
      </c>
      <c r="AD33" s="6">
        <v>96.428592926893174</v>
      </c>
      <c r="AE33" s="6">
        <v>4.3138336787541398</v>
      </c>
      <c r="AF33" s="8">
        <f t="shared" si="2"/>
        <v>1276.5190860231232</v>
      </c>
      <c r="AG33" s="6">
        <v>3.6250815747932359</v>
      </c>
      <c r="AH33" s="6">
        <v>3.4356613610730409</v>
      </c>
      <c r="AI33" s="6">
        <v>4.4507408900988921</v>
      </c>
      <c r="AJ33" s="6">
        <v>9.2511704917944435</v>
      </c>
      <c r="AK33" s="6">
        <v>348.96986263257179</v>
      </c>
      <c r="AL33" s="6">
        <v>90.356134956532486</v>
      </c>
      <c r="AM33" s="6">
        <v>126.71251211948641</v>
      </c>
      <c r="AN33" s="6">
        <v>1.193654866169308</v>
      </c>
      <c r="AO33" s="8">
        <f t="shared" si="3"/>
        <v>587.99481889251956</v>
      </c>
      <c r="AP33" s="3">
        <v>71.622707536575902</v>
      </c>
      <c r="AQ33" s="12">
        <v>33.718983904200357</v>
      </c>
      <c r="AR33" s="12">
        <v>9.2503297470278589</v>
      </c>
      <c r="AS33" s="12">
        <v>27.587869563743375</v>
      </c>
      <c r="AT33" s="12">
        <v>840.87210755602575</v>
      </c>
      <c r="AU33" s="12">
        <v>575.86372886939489</v>
      </c>
      <c r="AV33" s="12">
        <v>1492.3192779377555</v>
      </c>
      <c r="AW33" s="12">
        <v>96.260447821399111</v>
      </c>
      <c r="AX33" s="6">
        <f t="shared" si="4"/>
        <v>3147.495452936123</v>
      </c>
      <c r="AY33" s="12"/>
      <c r="AZ33" s="6">
        <v>20.161052192702332</v>
      </c>
      <c r="BA33" s="6">
        <v>12.529860593954766</v>
      </c>
      <c r="BB33" s="6">
        <v>57.697948012954427</v>
      </c>
      <c r="BC33" s="6">
        <v>927.65115944731508</v>
      </c>
      <c r="BD33" s="6">
        <v>424.21338826760746</v>
      </c>
      <c r="BE33" s="6">
        <v>1341.736142717207</v>
      </c>
      <c r="BF33" s="6">
        <v>382.79926014934665</v>
      </c>
      <c r="BG33" s="6">
        <v>34.446058440244961</v>
      </c>
      <c r="BH33" s="6">
        <f t="shared" si="5"/>
        <v>3201.2348698213323</v>
      </c>
      <c r="BI33" s="3">
        <v>1.6163937317853363</v>
      </c>
      <c r="BJ33" s="3">
        <v>1.624458236829486</v>
      </c>
      <c r="BK33" s="3">
        <v>13.406743364827145</v>
      </c>
      <c r="BL33" s="3">
        <v>1.5484602703018795</v>
      </c>
      <c r="BM33" s="3">
        <v>2.1418450614355566</v>
      </c>
      <c r="BN33" s="6">
        <f t="shared" si="6"/>
        <v>20.337900665179404</v>
      </c>
      <c r="BO33" s="6">
        <v>2.4938411523124411</v>
      </c>
      <c r="BP33" s="6">
        <v>3.1783325182801718</v>
      </c>
      <c r="BQ33" s="6">
        <v>22.198756948797648</v>
      </c>
      <c r="BR33" s="6">
        <v>3.6281194827777457</v>
      </c>
      <c r="BS33" s="6">
        <v>8.4381605281129879</v>
      </c>
      <c r="BT33" s="6">
        <v>0.60371226752603346</v>
      </c>
      <c r="BU33" s="6">
        <f t="shared" si="7"/>
        <v>40.540922897807029</v>
      </c>
      <c r="BV33" s="8">
        <f t="shared" si="8"/>
        <v>8615.6546895468928</v>
      </c>
      <c r="BX33" s="3"/>
    </row>
    <row r="34" spans="2:76">
      <c r="B34" s="17" t="s">
        <v>95</v>
      </c>
      <c r="C34" s="11">
        <v>1</v>
      </c>
      <c r="D34" s="6">
        <v>5.3346456603692873</v>
      </c>
      <c r="E34" s="6">
        <v>2.5230493903760829</v>
      </c>
      <c r="F34" s="6">
        <v>1.1181654855872134</v>
      </c>
      <c r="G34" s="6">
        <v>2.5993001134361862</v>
      </c>
      <c r="H34" s="6">
        <v>19.476569368295127</v>
      </c>
      <c r="I34" s="6">
        <v>5.4601507227955377</v>
      </c>
      <c r="J34" s="6">
        <v>10.69796420931022</v>
      </c>
      <c r="K34" s="6">
        <v>1.7393408337789205</v>
      </c>
      <c r="L34" s="8">
        <f>SUM(D34:K34)</f>
        <v>48.949185783948572</v>
      </c>
      <c r="M34" s="6">
        <v>10.592997227566491</v>
      </c>
      <c r="N34" s="6">
        <v>2.1692355282076807</v>
      </c>
      <c r="O34" s="6">
        <v>3.1977513962393713</v>
      </c>
      <c r="P34" s="6">
        <v>9.3398211512142488</v>
      </c>
      <c r="Q34" s="6">
        <v>33.354844492398541</v>
      </c>
      <c r="R34" s="6">
        <v>34.543828540902048</v>
      </c>
      <c r="S34" s="6">
        <v>11.411361831465605</v>
      </c>
      <c r="T34" s="6">
        <v>31.675266728357489</v>
      </c>
      <c r="U34" s="6">
        <v>6.464957249174657</v>
      </c>
      <c r="V34" s="8">
        <f t="shared" ref="V34:V62" si="9">SUM(M34:U34)</f>
        <v>142.75006414552612</v>
      </c>
      <c r="W34" s="6">
        <v>1.9846912558021685</v>
      </c>
      <c r="X34" s="6">
        <v>1.6778790631050025</v>
      </c>
      <c r="Y34" s="6">
        <v>1.5177248980020823</v>
      </c>
      <c r="Z34" s="6">
        <v>15.4919399549332</v>
      </c>
      <c r="AA34" s="6">
        <v>367.76496981904228</v>
      </c>
      <c r="AB34" s="6">
        <v>112.92215576236168</v>
      </c>
      <c r="AC34" s="6">
        <v>210.24193527270768</v>
      </c>
      <c r="AD34" s="6">
        <v>40.462706293068486</v>
      </c>
      <c r="AE34" s="6">
        <v>1.573140589540706</v>
      </c>
      <c r="AF34" s="8">
        <f>SUM(W34:AE34)</f>
        <v>753.63714290856319</v>
      </c>
      <c r="AG34" s="6">
        <v>2.3441831337764554</v>
      </c>
      <c r="AH34" s="6">
        <v>1.4290785463404352</v>
      </c>
      <c r="AI34" s="6">
        <v>1.0000456275956189</v>
      </c>
      <c r="AJ34" s="6">
        <v>3.5719071163775022</v>
      </c>
      <c r="AK34" s="6">
        <v>142.88415985590402</v>
      </c>
      <c r="AL34" s="6">
        <v>33.252576027952934</v>
      </c>
      <c r="AM34" s="6">
        <v>46.788118001895086</v>
      </c>
      <c r="AN34" s="6">
        <v>0.56661070860058238</v>
      </c>
      <c r="AO34" s="8">
        <f>SUM(AG34:AN34)</f>
        <v>231.83667901844262</v>
      </c>
      <c r="AP34" s="3">
        <v>57.301316922295122</v>
      </c>
      <c r="AQ34" s="12">
        <v>20.666691737157581</v>
      </c>
      <c r="AR34" s="12">
        <v>4.1945874269639303</v>
      </c>
      <c r="AS34" s="12">
        <v>14.123917939309216</v>
      </c>
      <c r="AT34" s="12">
        <v>531.54984773602337</v>
      </c>
      <c r="AU34" s="12">
        <v>362.21212973956915</v>
      </c>
      <c r="AV34" s="12">
        <v>1049.5861253457717</v>
      </c>
      <c r="AW34" s="12">
        <v>93.729282371490882</v>
      </c>
      <c r="AX34" s="6">
        <f>SUM(AP34:AW34)</f>
        <v>2133.3638992185811</v>
      </c>
      <c r="AY34" s="12"/>
      <c r="AZ34" s="6">
        <v>14.687514771066811</v>
      </c>
      <c r="BA34" s="6">
        <v>9.8356522286418429</v>
      </c>
      <c r="BB34" s="6">
        <v>40.242450986562893</v>
      </c>
      <c r="BC34" s="6">
        <v>792.77570370718468</v>
      </c>
      <c r="BD34" s="6">
        <v>356.73783999541035</v>
      </c>
      <c r="BE34" s="6">
        <v>1163.2902927927273</v>
      </c>
      <c r="BF34" s="6">
        <v>302.86830088721388</v>
      </c>
      <c r="BG34" s="6">
        <v>24.464133725309217</v>
      </c>
      <c r="BH34" s="6">
        <f>SUM(AY34:BG34)</f>
        <v>2704.9018890941175</v>
      </c>
      <c r="BI34" s="3">
        <v>0.12950255457583501</v>
      </c>
      <c r="BJ34" s="3">
        <v>0.4329890047044308</v>
      </c>
      <c r="BK34" s="3">
        <v>3.6083131914340605</v>
      </c>
      <c r="BL34" s="3">
        <v>0.64332850553880172</v>
      </c>
      <c r="BM34" s="3">
        <v>1.1970301747005676</v>
      </c>
      <c r="BN34" s="6">
        <f>SUM(BI34:BM34)</f>
        <v>6.0111634309536957</v>
      </c>
      <c r="BO34" s="6">
        <v>1.0139390903350649</v>
      </c>
      <c r="BP34" s="6">
        <v>1.4757232872603123</v>
      </c>
      <c r="BQ34" s="6">
        <v>10.195752481253098</v>
      </c>
      <c r="BR34" s="6">
        <v>2.2051100957256922</v>
      </c>
      <c r="BS34" s="6">
        <v>4.8325992696453506</v>
      </c>
      <c r="BT34" s="6">
        <v>0.43294500914831308</v>
      </c>
      <c r="BU34" s="6">
        <f>SUM(BO34:BT34)</f>
        <v>20.15606923336783</v>
      </c>
      <c r="BV34" s="8">
        <f>SUM(L34,V34,AF34,AO34,AX34,BH34,BN34,BU34)</f>
        <v>6041.6060928335</v>
      </c>
      <c r="BX34" s="3"/>
    </row>
    <row r="35" spans="2:76">
      <c r="C35" s="11">
        <v>2</v>
      </c>
      <c r="D35" s="6">
        <v>8.1559449821910341</v>
      </c>
      <c r="E35" s="6">
        <v>3.6684371726491647</v>
      </c>
      <c r="F35" s="6">
        <v>2.3811461929222753</v>
      </c>
      <c r="G35" s="6">
        <v>6.0940035950138842</v>
      </c>
      <c r="H35" s="6">
        <v>50.45616839597627</v>
      </c>
      <c r="I35" s="6">
        <v>16.277207391567327</v>
      </c>
      <c r="J35" s="6">
        <v>38.120278855615609</v>
      </c>
      <c r="K35" s="6">
        <v>7.2958813349220373</v>
      </c>
      <c r="L35" s="8">
        <f>SUM(D35:K35)</f>
        <v>132.4490679208576</v>
      </c>
      <c r="M35" s="6">
        <v>39.609889206172141</v>
      </c>
      <c r="N35" s="6">
        <v>4.6416704484998155</v>
      </c>
      <c r="O35" s="6">
        <v>3.7970443492561627</v>
      </c>
      <c r="P35" s="6">
        <v>20.495485694408515</v>
      </c>
      <c r="Q35" s="6">
        <v>93.355883018460474</v>
      </c>
      <c r="R35" s="6">
        <v>79.528440659239422</v>
      </c>
      <c r="S35" s="6">
        <v>28.770016024606473</v>
      </c>
      <c r="T35" s="6">
        <v>89.060941212845933</v>
      </c>
      <c r="U35" s="6">
        <v>23.842376635476004</v>
      </c>
      <c r="V35" s="8">
        <f t="shared" si="9"/>
        <v>383.10174724896495</v>
      </c>
      <c r="W35" s="6">
        <v>5.5919058062499118</v>
      </c>
      <c r="X35" s="6">
        <v>4.5190321991851521</v>
      </c>
      <c r="Y35" s="6">
        <v>3.0794336238690603</v>
      </c>
      <c r="Z35" s="6">
        <v>26.041812240353583</v>
      </c>
      <c r="AA35" s="6">
        <v>520.99502366213369</v>
      </c>
      <c r="AB35" s="6">
        <v>195.0838405143339</v>
      </c>
      <c r="AC35" s="6">
        <v>412.4879117640283</v>
      </c>
      <c r="AD35" s="6">
        <v>102.51007602836989</v>
      </c>
      <c r="AE35" s="6">
        <v>5.5976062696822924</v>
      </c>
      <c r="AF35" s="8">
        <f>SUM(W35:AE35)</f>
        <v>1275.9066421082057</v>
      </c>
      <c r="AG35" s="6">
        <v>7.4382752845294187</v>
      </c>
      <c r="AH35" s="6">
        <v>3.5825277173007701</v>
      </c>
      <c r="AI35" s="6">
        <v>4.5339845598652735</v>
      </c>
      <c r="AJ35" s="6">
        <v>8.7877131946779397</v>
      </c>
      <c r="AK35" s="6">
        <v>410.84314205542256</v>
      </c>
      <c r="AL35" s="6">
        <v>115.88803857873769</v>
      </c>
      <c r="AM35" s="6">
        <v>163.91541118044441</v>
      </c>
      <c r="AN35" s="6">
        <v>3.2343686597612802</v>
      </c>
      <c r="AO35" s="8">
        <f>SUM(AG35:AN35)</f>
        <v>718.2234612307393</v>
      </c>
      <c r="AP35" s="3">
        <v>81.57785679351656</v>
      </c>
      <c r="AQ35" s="12">
        <v>35.717230195578999</v>
      </c>
      <c r="AR35" s="12">
        <v>9.8406580313150389</v>
      </c>
      <c r="AS35" s="12">
        <v>21.336993343101852</v>
      </c>
      <c r="AT35" s="12">
        <v>751.87547245779558</v>
      </c>
      <c r="AU35" s="12">
        <v>682.62605540803077</v>
      </c>
      <c r="AV35" s="12">
        <v>1982.3685227715987</v>
      </c>
      <c r="AW35" s="12">
        <v>143.63316193141719</v>
      </c>
      <c r="AX35" s="6">
        <f>SUM(AP35:AW35)</f>
        <v>3708.9759509323549</v>
      </c>
      <c r="AY35" s="12"/>
      <c r="AZ35" s="6">
        <v>27.285886446196983</v>
      </c>
      <c r="BA35" s="6">
        <v>18.672157178782658</v>
      </c>
      <c r="BB35" s="6">
        <v>71.010956159941216</v>
      </c>
      <c r="BC35" s="6">
        <v>1175.6424234655319</v>
      </c>
      <c r="BD35" s="6">
        <v>508.29746598142873</v>
      </c>
      <c r="BE35" s="6">
        <v>1543.0544921063915</v>
      </c>
      <c r="BF35" s="6">
        <v>569.76761962535295</v>
      </c>
      <c r="BG35" s="6">
        <v>56.344938441168523</v>
      </c>
      <c r="BH35" s="6">
        <f>SUM(AY35:BG35)</f>
        <v>3970.0759394047946</v>
      </c>
      <c r="BI35" s="3">
        <v>2.1585150857077577</v>
      </c>
      <c r="BJ35" s="3">
        <v>1.6633732539007582</v>
      </c>
      <c r="BK35" s="3">
        <v>11.823338382977298</v>
      </c>
      <c r="BL35" s="3">
        <v>3.2008670143925699</v>
      </c>
      <c r="BM35" s="3">
        <v>3.0863103576192183</v>
      </c>
      <c r="BN35" s="6">
        <f>SUM(BI35:BM35)</f>
        <v>21.932404094597604</v>
      </c>
      <c r="BO35" s="6">
        <v>3.820553319361041</v>
      </c>
      <c r="BP35" s="6">
        <v>5.7437987760272229</v>
      </c>
      <c r="BQ35" s="6">
        <v>38.783718007155294</v>
      </c>
      <c r="BR35" s="6">
        <v>8.1224459887824985</v>
      </c>
      <c r="BS35" s="6">
        <v>13.723953257623487</v>
      </c>
      <c r="BT35" s="6">
        <v>0.9898221724547912</v>
      </c>
      <c r="BU35" s="6">
        <f>SUM(BO35:BT35)</f>
        <v>71.184291521404347</v>
      </c>
      <c r="BV35" s="8">
        <f>SUM(L35,V35,AF35,AO35,AX35,BH35,BN35,BU35)</f>
        <v>10281.849504461919</v>
      </c>
      <c r="BX35" s="3"/>
    </row>
    <row r="36" spans="2:76">
      <c r="B36" s="15"/>
      <c r="C36" s="11">
        <v>3</v>
      </c>
      <c r="D36" s="6">
        <v>7.896054590186373</v>
      </c>
      <c r="E36" s="6">
        <v>4.1346324866835111</v>
      </c>
      <c r="F36" s="6">
        <v>2.5509557528525448</v>
      </c>
      <c r="G36" s="6">
        <v>5.0400001698825205</v>
      </c>
      <c r="H36" s="6">
        <v>37.637895489316925</v>
      </c>
      <c r="I36" s="6">
        <v>10.630971785634395</v>
      </c>
      <c r="J36" s="6">
        <v>23.8731011252992</v>
      </c>
      <c r="K36" s="6">
        <v>4.4990262761178306</v>
      </c>
      <c r="L36" s="8">
        <f>SUM(D36:K36)</f>
        <v>96.262637675973309</v>
      </c>
      <c r="M36" s="6">
        <v>22.397233647035115</v>
      </c>
      <c r="N36" s="6">
        <v>3.032759257383721</v>
      </c>
      <c r="O36" s="6">
        <v>2.7730274659546752</v>
      </c>
      <c r="P36" s="6">
        <v>13.356409485339102</v>
      </c>
      <c r="Q36" s="6">
        <v>50.939981192343048</v>
      </c>
      <c r="R36" s="6">
        <v>49.383566196480601</v>
      </c>
      <c r="S36" s="6">
        <v>17.957828653847457</v>
      </c>
      <c r="T36" s="6">
        <v>54.256754010751123</v>
      </c>
      <c r="U36" s="6">
        <v>13.573730232606739</v>
      </c>
      <c r="V36" s="8">
        <f t="shared" si="9"/>
        <v>227.67129014174162</v>
      </c>
      <c r="W36" s="6">
        <v>1.7492917536776331</v>
      </c>
      <c r="X36" s="6">
        <v>0.88616083852286032</v>
      </c>
      <c r="Y36" s="6">
        <v>0.67847072958116261</v>
      </c>
      <c r="Z36" s="6">
        <v>6.8252350933142925</v>
      </c>
      <c r="AA36" s="6">
        <v>219.2912648434677</v>
      </c>
      <c r="AB36" s="6">
        <v>89.68623152217117</v>
      </c>
      <c r="AC36" s="6">
        <v>213.06195489561583</v>
      </c>
      <c r="AD36" s="6">
        <v>58.504177044854366</v>
      </c>
      <c r="AE36" s="6">
        <v>2.9614704094745408</v>
      </c>
      <c r="AF36" s="8">
        <f>SUM(W36:AE36)</f>
        <v>593.64425713067953</v>
      </c>
      <c r="AG36" s="6">
        <v>1.9230943519121089</v>
      </c>
      <c r="AH36" s="6">
        <v>1.3024105083794741</v>
      </c>
      <c r="AI36" s="6">
        <v>2.7497529787226997</v>
      </c>
      <c r="AJ36" s="6">
        <v>4.4797665943359917</v>
      </c>
      <c r="AK36" s="6">
        <v>255.43015044082756</v>
      </c>
      <c r="AL36" s="6">
        <v>82.17007873815075</v>
      </c>
      <c r="AM36" s="6">
        <v>139.76767417416227</v>
      </c>
      <c r="AN36" s="6">
        <v>2.4369110142080794</v>
      </c>
      <c r="AO36" s="8">
        <f>SUM(AG36:AN36)</f>
        <v>490.2598388006989</v>
      </c>
      <c r="AP36" s="3">
        <v>17.007369440396715</v>
      </c>
      <c r="AQ36" s="12">
        <v>7.2867265982271201</v>
      </c>
      <c r="AR36" s="12">
        <v>3.3312250088401343</v>
      </c>
      <c r="AS36" s="12">
        <v>7.6481687678242283</v>
      </c>
      <c r="AT36" s="12">
        <v>204.59462442227073</v>
      </c>
      <c r="AU36" s="12">
        <v>212.41093660337759</v>
      </c>
      <c r="AV36" s="12">
        <v>629.20552084566305</v>
      </c>
      <c r="AW36" s="12">
        <v>57.296931287518305</v>
      </c>
      <c r="AX36" s="6">
        <f>SUM(AP36:AW36)</f>
        <v>1138.7815029741178</v>
      </c>
      <c r="AY36" s="12"/>
      <c r="AZ36" s="6">
        <v>7.9761193991772972</v>
      </c>
      <c r="BA36" s="6">
        <v>5.4215423846029926</v>
      </c>
      <c r="BB36" s="6">
        <v>14.771722957971521</v>
      </c>
      <c r="BC36" s="6">
        <v>310.84718145987858</v>
      </c>
      <c r="BD36" s="6">
        <v>174.01072804288384</v>
      </c>
      <c r="BE36" s="6">
        <v>532.04843542014328</v>
      </c>
      <c r="BF36" s="6">
        <v>218.64811097536793</v>
      </c>
      <c r="BG36" s="6">
        <v>23.330362015017389</v>
      </c>
      <c r="BH36" s="6">
        <f>SUM(AY36:BG36)</f>
        <v>1287.0542026550429</v>
      </c>
      <c r="BI36" s="3">
        <v>1.7787599161528729</v>
      </c>
      <c r="BJ36" s="3">
        <v>1.3566899101021705</v>
      </c>
      <c r="BK36" s="3">
        <v>12.414599168216</v>
      </c>
      <c r="BL36" s="3">
        <v>1.4130974955768294</v>
      </c>
      <c r="BM36" s="3">
        <v>2.0004849550684405</v>
      </c>
      <c r="BN36" s="6">
        <f>SUM(BI36:BM36)</f>
        <v>18.963631445116313</v>
      </c>
      <c r="BO36" s="6">
        <v>3.0673642040257403</v>
      </c>
      <c r="BP36" s="6">
        <v>3.9335682882946341</v>
      </c>
      <c r="BQ36" s="6">
        <v>21.019893342366647</v>
      </c>
      <c r="BR36" s="6">
        <v>4.3726552970913595</v>
      </c>
      <c r="BS36" s="6">
        <v>7.0998866541477224</v>
      </c>
      <c r="BT36" s="6">
        <v>0.71146539521337027</v>
      </c>
      <c r="BU36" s="6">
        <f t="shared" ref="BU36:BU63" si="10">SUM(BO36:BT36)</f>
        <v>40.204833181139477</v>
      </c>
      <c r="BV36" s="8">
        <f t="shared" ref="BV36:BV63" si="11">SUM(L36,V36,AF36,AO36,AX36,BH36,BN36,BU36)</f>
        <v>3892.8421940045096</v>
      </c>
      <c r="BX36" s="3"/>
    </row>
    <row r="37" spans="2:76">
      <c r="B37" s="15"/>
      <c r="C37" s="11">
        <v>5</v>
      </c>
      <c r="D37" s="6">
        <v>7.0895926727406593</v>
      </c>
      <c r="E37" s="6">
        <v>3.2301795313973143</v>
      </c>
      <c r="F37" s="6">
        <v>1.4914779310800506</v>
      </c>
      <c r="G37" s="6">
        <v>5.8517515825880793</v>
      </c>
      <c r="H37" s="6">
        <v>49.30439637471752</v>
      </c>
      <c r="I37" s="6">
        <v>14.775488676168647</v>
      </c>
      <c r="J37" s="6">
        <v>34.333163876424202</v>
      </c>
      <c r="K37" s="6">
        <v>5.9826489812384462</v>
      </c>
      <c r="L37" s="8">
        <f>SUM(D37:K37)</f>
        <v>122.05869962635492</v>
      </c>
      <c r="M37" s="6">
        <v>14.42515847987109</v>
      </c>
      <c r="N37" s="6">
        <v>2.9020751028745098</v>
      </c>
      <c r="O37" s="6">
        <v>2.0360507609561838</v>
      </c>
      <c r="P37" s="6">
        <v>16.180124247370884</v>
      </c>
      <c r="Q37" s="6">
        <v>66.170438971715626</v>
      </c>
      <c r="R37" s="6">
        <v>71.660303433920745</v>
      </c>
      <c r="S37" s="6">
        <v>22.237578559815169</v>
      </c>
      <c r="T37" s="6">
        <v>74.394166965246768</v>
      </c>
      <c r="U37" s="6">
        <v>23.758946478518865</v>
      </c>
      <c r="V37" s="8">
        <f t="shared" si="9"/>
        <v>293.76484300028983</v>
      </c>
      <c r="W37" s="6">
        <v>11.088003593925713</v>
      </c>
      <c r="X37" s="6">
        <v>12.767061287189897</v>
      </c>
      <c r="Y37" s="6">
        <v>4.1320341509640652</v>
      </c>
      <c r="Z37" s="6">
        <v>54.601248754377586</v>
      </c>
      <c r="AA37" s="6">
        <v>1324.8567843936232</v>
      </c>
      <c r="AB37" s="6">
        <v>462.16011443691241</v>
      </c>
      <c r="AC37" s="6">
        <v>1111.4789116011209</v>
      </c>
      <c r="AD37" s="6">
        <v>272.42335932854002</v>
      </c>
      <c r="AE37" s="6">
        <v>13.332381779924454</v>
      </c>
      <c r="AF37" s="8">
        <f>SUM(W37:AE37)</f>
        <v>3266.8398993265782</v>
      </c>
      <c r="AG37" s="6">
        <v>3.1045458307740934</v>
      </c>
      <c r="AH37" s="6">
        <v>2.70785104753159</v>
      </c>
      <c r="AI37" s="6">
        <v>2.8919967106841571</v>
      </c>
      <c r="AJ37" s="6">
        <v>6.0908484495543256</v>
      </c>
      <c r="AK37" s="6">
        <v>281.63014227073899</v>
      </c>
      <c r="AL37" s="6">
        <v>73.354550999145971</v>
      </c>
      <c r="AM37" s="6">
        <v>115.61926894926248</v>
      </c>
      <c r="AN37" s="6">
        <v>1.4111705845586793</v>
      </c>
      <c r="AO37" s="8">
        <f>SUM(AG37:AN37)</f>
        <v>486.81037484225033</v>
      </c>
      <c r="AP37" s="3">
        <v>104.20228367630743</v>
      </c>
      <c r="AQ37" s="12">
        <v>48.241802953047547</v>
      </c>
      <c r="AR37" s="12">
        <v>16.102828212801402</v>
      </c>
      <c r="AS37" s="12">
        <v>40.297904278094308</v>
      </c>
      <c r="AT37" s="12">
        <v>1041.2328094567094</v>
      </c>
      <c r="AU37" s="12">
        <v>847.06613438550653</v>
      </c>
      <c r="AV37" s="12">
        <v>2491.1744396086865</v>
      </c>
      <c r="AW37" s="12">
        <v>237.49219352474492</v>
      </c>
      <c r="AX37" s="6">
        <f>SUM(AP37:AW37)</f>
        <v>4825.8103960958988</v>
      </c>
      <c r="AY37" s="12"/>
      <c r="AZ37" s="6">
        <v>39.273731505088719</v>
      </c>
      <c r="BA37" s="6">
        <v>28.235256208077917</v>
      </c>
      <c r="BB37" s="6">
        <v>116.75387470698034</v>
      </c>
      <c r="BC37" s="6">
        <v>1937.9876779183035</v>
      </c>
      <c r="BD37" s="6">
        <v>803.78136732430301</v>
      </c>
      <c r="BE37" s="6">
        <v>3255.5655211398589</v>
      </c>
      <c r="BF37" s="6">
        <v>1084.7381529359043</v>
      </c>
      <c r="BG37" s="6">
        <v>131.17359217727596</v>
      </c>
      <c r="BH37" s="6">
        <f>SUM(AY37:BG37)</f>
        <v>7397.5091739157924</v>
      </c>
      <c r="BI37" s="3">
        <v>3.2012912801045657</v>
      </c>
      <c r="BJ37" s="3">
        <v>2.4003473398188033</v>
      </c>
      <c r="BK37" s="3">
        <v>20.995537079675579</v>
      </c>
      <c r="BL37" s="3">
        <v>4.2615877684588899</v>
      </c>
      <c r="BM37" s="3">
        <v>2.3393906424940227</v>
      </c>
      <c r="BN37" s="6">
        <f>SUM(BI37:BM37)</f>
        <v>33.198154110551862</v>
      </c>
      <c r="BO37" s="6">
        <v>5.1398148356649234</v>
      </c>
      <c r="BP37" s="6">
        <v>6.368135519339396</v>
      </c>
      <c r="BQ37" s="6">
        <v>48.287147117910791</v>
      </c>
      <c r="BR37" s="6">
        <v>8.5348763575448316</v>
      </c>
      <c r="BS37" s="6">
        <v>19.442490449044314</v>
      </c>
      <c r="BT37" s="6">
        <v>1.3773777919485766</v>
      </c>
      <c r="BU37" s="6">
        <f t="shared" si="10"/>
        <v>89.149842071452838</v>
      </c>
      <c r="BV37" s="8">
        <f t="shared" si="11"/>
        <v>16515.141382989168</v>
      </c>
      <c r="BX37" s="3"/>
    </row>
    <row r="38" spans="2:76">
      <c r="B38" s="15"/>
      <c r="C38" s="11">
        <v>6</v>
      </c>
      <c r="D38" s="6">
        <v>2.9122878067104225</v>
      </c>
      <c r="E38" s="6">
        <v>1.4738505076705395</v>
      </c>
      <c r="F38" s="6">
        <v>0.83953181150804346</v>
      </c>
      <c r="G38" s="6">
        <v>2.778540770456241</v>
      </c>
      <c r="H38" s="6">
        <v>20.724558603634915</v>
      </c>
      <c r="I38" s="6">
        <v>5.1316473848954764</v>
      </c>
      <c r="J38" s="6">
        <v>14.752912324327518</v>
      </c>
      <c r="K38" s="6">
        <v>2.6356968271045278</v>
      </c>
      <c r="L38" s="8">
        <f>SUM(D38:K38)</f>
        <v>51.249026036307676</v>
      </c>
      <c r="M38" s="6">
        <v>12.166478195935131</v>
      </c>
      <c r="N38" s="6">
        <v>1.6241529519027096</v>
      </c>
      <c r="O38" s="6">
        <v>1.6698995007278488</v>
      </c>
      <c r="P38" s="6">
        <v>8.6960047509409275</v>
      </c>
      <c r="Q38" s="6">
        <v>43.50554260966107</v>
      </c>
      <c r="R38" s="6">
        <v>38.671596197883382</v>
      </c>
      <c r="S38" s="6">
        <v>11.863852580163368</v>
      </c>
      <c r="T38" s="6">
        <v>41.866921457435062</v>
      </c>
      <c r="U38" s="6">
        <v>10.451524849560998</v>
      </c>
      <c r="V38" s="8">
        <f t="shared" si="9"/>
        <v>170.51597309421049</v>
      </c>
      <c r="W38" s="6">
        <v>2.6698981374297919</v>
      </c>
      <c r="X38" s="6">
        <v>1.6897876006196488</v>
      </c>
      <c r="Y38" s="6">
        <v>1.2173958573929105</v>
      </c>
      <c r="Z38" s="6">
        <v>15.408692596517408</v>
      </c>
      <c r="AA38" s="6">
        <v>393.70631423896947</v>
      </c>
      <c r="AB38" s="6">
        <v>126.3722274900833</v>
      </c>
      <c r="AC38" s="6">
        <v>302.48601291447295</v>
      </c>
      <c r="AD38" s="6">
        <v>80.864801799695314</v>
      </c>
      <c r="AE38" s="6">
        <v>4.9530695900989148</v>
      </c>
      <c r="AF38" s="8">
        <f>SUM(W38:AE38)</f>
        <v>929.36820022527979</v>
      </c>
      <c r="AG38" s="6">
        <v>2.3334843103732479</v>
      </c>
      <c r="AH38" s="6">
        <v>1.3549517026282425</v>
      </c>
      <c r="AI38" s="6">
        <v>1.4622622586180727</v>
      </c>
      <c r="AJ38" s="6">
        <v>2.4159243071217542</v>
      </c>
      <c r="AK38" s="6">
        <v>173.83686053123603</v>
      </c>
      <c r="AL38" s="6">
        <v>39.284106634811579</v>
      </c>
      <c r="AM38" s="6">
        <v>73.633254818915049</v>
      </c>
      <c r="AN38" s="6">
        <v>0.53147567187504063</v>
      </c>
      <c r="AO38" s="8">
        <f>SUM(AG38:AN38)</f>
        <v>294.85232023557904</v>
      </c>
      <c r="AP38" s="3">
        <v>38.42937085626702</v>
      </c>
      <c r="AQ38" s="12">
        <v>20.789472747154441</v>
      </c>
      <c r="AR38" s="12">
        <v>6.8333944366038644</v>
      </c>
      <c r="AS38" s="12">
        <v>16.034027095338331</v>
      </c>
      <c r="AT38" s="12">
        <v>603.48604623938206</v>
      </c>
      <c r="AU38" s="12">
        <v>368.23139444910595</v>
      </c>
      <c r="AV38" s="12">
        <v>1019.7518689111628</v>
      </c>
      <c r="AW38" s="12">
        <v>95.144094158154729</v>
      </c>
      <c r="AX38" s="6">
        <f>SUM(AP38:AW38)</f>
        <v>2168.699668893169</v>
      </c>
      <c r="AY38" s="12"/>
      <c r="AZ38" s="6">
        <v>12.349667808252343</v>
      </c>
      <c r="BA38" s="6">
        <v>10.547745694116399</v>
      </c>
      <c r="BB38" s="6">
        <v>42.410427729378611</v>
      </c>
      <c r="BC38" s="6">
        <v>700.6959708176222</v>
      </c>
      <c r="BD38" s="6">
        <v>280.20252274986558</v>
      </c>
      <c r="BE38" s="6">
        <v>1166.4745075666985</v>
      </c>
      <c r="BF38" s="6">
        <v>353.65620356876286</v>
      </c>
      <c r="BG38" s="6">
        <v>39.106859450029013</v>
      </c>
      <c r="BH38" s="6">
        <f>SUM(AY38:BG38)</f>
        <v>2605.4439053847259</v>
      </c>
      <c r="BI38" s="3">
        <v>0.43107274061958467</v>
      </c>
      <c r="BJ38" s="3">
        <v>0.51167201418251307</v>
      </c>
      <c r="BK38" s="3">
        <v>6.3624929552966831</v>
      </c>
      <c r="BL38" s="3">
        <v>1.1038212468228874</v>
      </c>
      <c r="BM38" s="3">
        <v>2.1022305268146031</v>
      </c>
      <c r="BN38" s="6">
        <f>SUM(BI38:BM38)</f>
        <v>10.511289483736272</v>
      </c>
      <c r="BO38" s="6">
        <v>1.5471938316248219</v>
      </c>
      <c r="BP38" s="6">
        <v>1.9091566098813273</v>
      </c>
      <c r="BQ38" s="6">
        <v>15.419855770123078</v>
      </c>
      <c r="BR38" s="6">
        <v>3.2660399514756397</v>
      </c>
      <c r="BS38" s="6">
        <v>8.8485268072532062</v>
      </c>
      <c r="BT38" s="6">
        <v>0.584445002142716</v>
      </c>
      <c r="BU38" s="6">
        <f t="shared" si="10"/>
        <v>31.575217972500788</v>
      </c>
      <c r="BV38" s="8">
        <f t="shared" si="11"/>
        <v>6262.2156013255089</v>
      </c>
      <c r="BX38" s="3"/>
    </row>
    <row r="39" spans="2:76">
      <c r="B39" s="15"/>
      <c r="C39" s="11">
        <v>7</v>
      </c>
      <c r="D39" s="6">
        <v>5.0535118146225928</v>
      </c>
      <c r="E39" s="6">
        <v>1.9804309383258965</v>
      </c>
      <c r="F39" s="6">
        <v>1.4755678974663964</v>
      </c>
      <c r="G39" s="6">
        <v>4.6583152941417003</v>
      </c>
      <c r="H39" s="6">
        <v>37.726243014441522</v>
      </c>
      <c r="I39" s="6">
        <v>13.254780782411785</v>
      </c>
      <c r="J39" s="6">
        <v>35.947982919520641</v>
      </c>
      <c r="K39" s="6">
        <v>4.9575228845182293</v>
      </c>
      <c r="L39" s="8">
        <f>SUM(D39:K39)</f>
        <v>105.05435554544876</v>
      </c>
      <c r="M39" s="6">
        <v>22.387317503260103</v>
      </c>
      <c r="N39" s="6">
        <v>4.0890825883581128</v>
      </c>
      <c r="O39" s="6">
        <v>2.6447414943805914</v>
      </c>
      <c r="P39" s="6">
        <v>11.562251136227811</v>
      </c>
      <c r="Q39" s="6">
        <v>55.230425128397144</v>
      </c>
      <c r="R39" s="6">
        <v>53.016233760460437</v>
      </c>
      <c r="S39" s="6">
        <v>18.309914811815517</v>
      </c>
      <c r="T39" s="6">
        <v>64.249956911971694</v>
      </c>
      <c r="U39" s="6">
        <v>17.044061309757517</v>
      </c>
      <c r="V39" s="8">
        <f t="shared" si="9"/>
        <v>248.53398464462896</v>
      </c>
      <c r="W39" s="6">
        <v>3.058431645824502</v>
      </c>
      <c r="X39" s="6">
        <v>2.9312927051673419</v>
      </c>
      <c r="Y39" s="6">
        <v>0.92840747966518367</v>
      </c>
      <c r="Z39" s="6">
        <v>11.962775512124837</v>
      </c>
      <c r="AA39" s="6">
        <v>418.26559984137043</v>
      </c>
      <c r="AB39" s="6">
        <v>193.03816965207051</v>
      </c>
      <c r="AC39" s="6">
        <v>451.10156385650731</v>
      </c>
      <c r="AD39" s="6">
        <v>124.46587683469923</v>
      </c>
      <c r="AE39" s="6">
        <v>5.9761188861158283</v>
      </c>
      <c r="AF39" s="8">
        <f>SUM(W39:AE39)</f>
        <v>1211.7282364135451</v>
      </c>
      <c r="AG39" s="6">
        <v>4.7262725900503479</v>
      </c>
      <c r="AH39" s="6">
        <v>3.3817633671250422</v>
      </c>
      <c r="AI39" s="6">
        <v>1.0933727858213143</v>
      </c>
      <c r="AJ39" s="6">
        <v>4.9721983988730507</v>
      </c>
      <c r="AK39" s="6">
        <v>317.57017620013437</v>
      </c>
      <c r="AL39" s="6">
        <v>100.98301183193649</v>
      </c>
      <c r="AM39" s="6">
        <v>176.81272784864061</v>
      </c>
      <c r="AN39" s="6">
        <v>2.0562867408251924</v>
      </c>
      <c r="AO39" s="8">
        <f>SUM(AG39:AN39)</f>
        <v>611.59580976340635</v>
      </c>
      <c r="AP39" s="3">
        <v>36.814389188076277</v>
      </c>
      <c r="AQ39" s="12">
        <v>15.797847679720103</v>
      </c>
      <c r="AR39" s="12">
        <v>3.6010506427811935</v>
      </c>
      <c r="AS39" s="12">
        <v>9.8019693113834414</v>
      </c>
      <c r="AT39" s="12">
        <v>425.23758599814164</v>
      </c>
      <c r="AU39" s="12">
        <v>343.05492757192974</v>
      </c>
      <c r="AV39" s="12">
        <v>1112.014044490566</v>
      </c>
      <c r="AW39" s="12">
        <v>77.98319349271101</v>
      </c>
      <c r="AX39" s="6">
        <f>SUM(AP39:AW39)</f>
        <v>2024.3050083753094</v>
      </c>
      <c r="AY39" s="12"/>
      <c r="AZ39" s="6">
        <v>14.394480753106462</v>
      </c>
      <c r="BA39" s="6">
        <v>9.7353130486660362</v>
      </c>
      <c r="BB39" s="6">
        <v>37.631494132708127</v>
      </c>
      <c r="BC39" s="6">
        <v>632.83403051602011</v>
      </c>
      <c r="BD39" s="6">
        <v>301.49372498278035</v>
      </c>
      <c r="BE39" s="6">
        <v>1209.3556415006308</v>
      </c>
      <c r="BF39" s="6">
        <v>396.15499292361113</v>
      </c>
      <c r="BG39" s="6">
        <v>45.289518962090334</v>
      </c>
      <c r="BH39" s="6">
        <f>SUM(AY39:BG39)</f>
        <v>2646.8891968196135</v>
      </c>
      <c r="BI39" s="3">
        <v>1.5327050471040029</v>
      </c>
      <c r="BJ39" s="3">
        <v>1.5301082743770278</v>
      </c>
      <c r="BK39" s="3">
        <v>13.743493721460124</v>
      </c>
      <c r="BL39" s="3">
        <v>2.3810093297348494</v>
      </c>
      <c r="BM39" s="3">
        <v>2.9396691591764181</v>
      </c>
      <c r="BN39" s="6">
        <f>SUM(BI39:BM39)</f>
        <v>22.126985531852423</v>
      </c>
      <c r="BO39" s="6">
        <v>2.3869499490232782</v>
      </c>
      <c r="BP39" s="6">
        <v>2.7494712559405468</v>
      </c>
      <c r="BQ39" s="6">
        <v>22.865298914427509</v>
      </c>
      <c r="BR39" s="6">
        <v>4.0248111874646497</v>
      </c>
      <c r="BS39" s="6">
        <v>9.01689214486208</v>
      </c>
      <c r="BT39" s="6">
        <v>0.59855835938195223</v>
      </c>
      <c r="BU39" s="6">
        <f t="shared" si="10"/>
        <v>41.641981811100024</v>
      </c>
      <c r="BV39" s="8">
        <f t="shared" si="11"/>
        <v>6911.8755589049051</v>
      </c>
      <c r="BX39" s="3"/>
    </row>
    <row r="40" spans="2:76">
      <c r="B40" s="15"/>
      <c r="C40" s="11">
        <v>8</v>
      </c>
      <c r="D40" s="6">
        <v>1.3359812691998214</v>
      </c>
      <c r="E40" s="6">
        <v>0.62210275018740213</v>
      </c>
      <c r="F40" s="6">
        <v>0.74402625225941577</v>
      </c>
      <c r="G40" s="6">
        <v>2.9236902646477749</v>
      </c>
      <c r="H40" s="6">
        <v>18.893087459379483</v>
      </c>
      <c r="I40" s="6">
        <v>5.5828274435129073</v>
      </c>
      <c r="J40" s="6">
        <v>12.503397561967642</v>
      </c>
      <c r="K40" s="6">
        <v>2.2975885654034864</v>
      </c>
      <c r="L40" s="8">
        <f>SUM(D40:K40)</f>
        <v>44.902701566557937</v>
      </c>
      <c r="M40" s="6">
        <v>8.4139477116425034</v>
      </c>
      <c r="N40" s="6">
        <v>1.8443389756777993</v>
      </c>
      <c r="O40" s="6">
        <v>1.3405792191733468</v>
      </c>
      <c r="P40" s="6">
        <v>8.945389516204953</v>
      </c>
      <c r="Q40" s="6">
        <v>46.380535935730926</v>
      </c>
      <c r="R40" s="6">
        <v>43.563645496432216</v>
      </c>
      <c r="S40" s="6">
        <v>14.920130265499864</v>
      </c>
      <c r="T40" s="6">
        <v>43.674217525334207</v>
      </c>
      <c r="U40" s="6">
        <v>12.930161834390686</v>
      </c>
      <c r="V40" s="8">
        <f t="shared" si="9"/>
        <v>182.0129464800865</v>
      </c>
      <c r="W40" s="6">
        <v>2.8641465042911483</v>
      </c>
      <c r="X40" s="6">
        <v>1.4762741695694568</v>
      </c>
      <c r="Y40" s="6">
        <v>1.3325910454722372</v>
      </c>
      <c r="Z40" s="6">
        <v>15.341780783558203</v>
      </c>
      <c r="AA40" s="6">
        <v>479.87677302709233</v>
      </c>
      <c r="AB40" s="6">
        <v>159.08261716792495</v>
      </c>
      <c r="AC40" s="6">
        <v>342.59955949739117</v>
      </c>
      <c r="AD40" s="6">
        <v>83.770123401942669</v>
      </c>
      <c r="AE40" s="6">
        <v>5.1189096544217607</v>
      </c>
      <c r="AF40" s="8">
        <f>SUM(W40:AE40)</f>
        <v>1091.462775251664</v>
      </c>
      <c r="AG40" s="6">
        <v>1.8234084628393681</v>
      </c>
      <c r="AH40" s="6">
        <v>1.1533287685420301</v>
      </c>
      <c r="AI40" s="6">
        <v>1.6624701090044924</v>
      </c>
      <c r="AJ40" s="6">
        <v>4.2228919099323772</v>
      </c>
      <c r="AK40" s="6">
        <v>184.13037706430109</v>
      </c>
      <c r="AL40" s="6">
        <v>48.561562724843057</v>
      </c>
      <c r="AM40" s="6">
        <v>51.23145118146634</v>
      </c>
      <c r="AN40" s="6">
        <v>1.4744637507353722</v>
      </c>
      <c r="AO40" s="8">
        <f>SUM(AG40:AN40)</f>
        <v>294.25995397166412</v>
      </c>
      <c r="AP40" s="3">
        <v>47.955809377529704</v>
      </c>
      <c r="AQ40" s="12">
        <v>22.759699940383967</v>
      </c>
      <c r="AR40" s="12">
        <v>6.4765434134665876</v>
      </c>
      <c r="AS40" s="12">
        <v>16.321875756608236</v>
      </c>
      <c r="AT40" s="12">
        <v>690.97220688565278</v>
      </c>
      <c r="AU40" s="12">
        <v>539.60493968433116</v>
      </c>
      <c r="AV40" s="12">
        <v>1687.13559343098</v>
      </c>
      <c r="AW40" s="12">
        <v>142.27002916181129</v>
      </c>
      <c r="AX40" s="6">
        <f>SUM(AP40:AW40)</f>
        <v>3153.4966976507635</v>
      </c>
      <c r="AY40" s="12"/>
      <c r="AZ40" s="6">
        <v>17.904179087884046</v>
      </c>
      <c r="BA40" s="6">
        <v>13.549595494105354</v>
      </c>
      <c r="BB40" s="6">
        <v>50.141706640383632</v>
      </c>
      <c r="BC40" s="6">
        <v>913.03305863590765</v>
      </c>
      <c r="BD40" s="6">
        <v>405.35531229567295</v>
      </c>
      <c r="BE40" s="6">
        <v>1519.4301479181379</v>
      </c>
      <c r="BF40" s="6">
        <v>563.01739851622085</v>
      </c>
      <c r="BG40" s="6">
        <v>59.306897974054749</v>
      </c>
      <c r="BH40" s="6">
        <f>SUM(AY40:BG40)</f>
        <v>3541.7382965623674</v>
      </c>
      <c r="BI40" s="3">
        <v>0.66779591267709093</v>
      </c>
      <c r="BJ40" s="3">
        <v>0.70995880249877175</v>
      </c>
      <c r="BK40" s="3">
        <v>6.5715079702237391</v>
      </c>
      <c r="BL40" s="3">
        <v>0.66884825593947539</v>
      </c>
      <c r="BM40" s="3">
        <v>1.1384241935791157</v>
      </c>
      <c r="BN40" s="6">
        <f>SUM(BI40:BM40)</f>
        <v>9.7565351349181935</v>
      </c>
      <c r="BO40" s="6">
        <v>1.7343580444226865</v>
      </c>
      <c r="BP40" s="6">
        <v>2.6448748830905524</v>
      </c>
      <c r="BQ40" s="6">
        <v>18.090066621072875</v>
      </c>
      <c r="BR40" s="6">
        <v>3.6719392589800273</v>
      </c>
      <c r="BS40" s="6">
        <v>6.4779076026804772</v>
      </c>
      <c r="BT40" s="6">
        <v>0.53058148933078941</v>
      </c>
      <c r="BU40" s="6">
        <f t="shared" si="10"/>
        <v>33.149727899577414</v>
      </c>
      <c r="BV40" s="8">
        <f t="shared" si="11"/>
        <v>8350.7796345175993</v>
      </c>
      <c r="BX40" s="3"/>
    </row>
    <row r="41" spans="2:76">
      <c r="B41" s="15"/>
      <c r="C41" s="11">
        <v>9</v>
      </c>
      <c r="D41" s="6">
        <v>2.9498884507389351</v>
      </c>
      <c r="E41" s="6">
        <v>1.7066777925410055</v>
      </c>
      <c r="F41" s="6">
        <v>1.0156266203086208</v>
      </c>
      <c r="G41" s="6">
        <v>3.1990960367939936</v>
      </c>
      <c r="H41" s="6">
        <v>25.400300413262229</v>
      </c>
      <c r="I41" s="6">
        <v>6.8851665428340096</v>
      </c>
      <c r="J41" s="6">
        <v>16.990058862942288</v>
      </c>
      <c r="K41" s="6">
        <v>2.3101527420762618</v>
      </c>
      <c r="L41" s="8">
        <f>SUM(D41:K41)</f>
        <v>60.456967461497335</v>
      </c>
      <c r="M41" s="6">
        <v>7.9813524834214871</v>
      </c>
      <c r="N41" s="6">
        <v>1.7090262843213904</v>
      </c>
      <c r="O41" s="6">
        <v>1.7449969362051228</v>
      </c>
      <c r="P41" s="6">
        <v>10.237971885019368</v>
      </c>
      <c r="Q41" s="6">
        <v>43.778595940779759</v>
      </c>
      <c r="R41" s="6">
        <v>42.114953628649168</v>
      </c>
      <c r="S41" s="6">
        <v>13.30620584009184</v>
      </c>
      <c r="T41" s="6">
        <v>43.135379767401304</v>
      </c>
      <c r="U41" s="6">
        <v>12.046391393746134</v>
      </c>
      <c r="V41" s="8">
        <f t="shared" si="9"/>
        <v>176.05487415963557</v>
      </c>
      <c r="W41" s="6">
        <v>0.98521827244145233</v>
      </c>
      <c r="X41" s="6">
        <v>1.2666582758420082</v>
      </c>
      <c r="Y41" s="6">
        <v>1.0613887180198285</v>
      </c>
      <c r="Z41" s="6">
        <v>12.084263103595706</v>
      </c>
      <c r="AA41" s="6">
        <v>236.85420891326115</v>
      </c>
      <c r="AB41" s="6">
        <v>80.398907096473039</v>
      </c>
      <c r="AC41" s="6">
        <v>181.67185875229427</v>
      </c>
      <c r="AD41" s="6">
        <v>38.629363612077405</v>
      </c>
      <c r="AE41" s="6">
        <v>2.1041616949413129</v>
      </c>
      <c r="AF41" s="8">
        <f>SUM(W41:AE41)</f>
        <v>555.05602843894621</v>
      </c>
      <c r="AG41" s="6">
        <v>1.8340428695013045</v>
      </c>
      <c r="AH41" s="6">
        <v>1.2799182401187703</v>
      </c>
      <c r="AI41" s="6">
        <v>1.1453323215351727</v>
      </c>
      <c r="AJ41" s="6">
        <v>3.3498653754043128</v>
      </c>
      <c r="AK41" s="6">
        <v>145.69351248386673</v>
      </c>
      <c r="AL41" s="6">
        <v>38.86309340634444</v>
      </c>
      <c r="AM41" s="6">
        <v>62.52707989411055</v>
      </c>
      <c r="AN41" s="6">
        <v>0.97806154654875033</v>
      </c>
      <c r="AO41" s="8">
        <f>SUM(AG41:AN41)</f>
        <v>255.67090613743002</v>
      </c>
      <c r="AP41" s="3">
        <v>13.481425216168676</v>
      </c>
      <c r="AQ41" s="12">
        <v>8.7961755491478577</v>
      </c>
      <c r="AR41" s="12">
        <v>3.2217755543978552</v>
      </c>
      <c r="AS41" s="12">
        <v>8.3165425992206998</v>
      </c>
      <c r="AT41" s="12">
        <v>290.26941554662613</v>
      </c>
      <c r="AU41" s="12">
        <v>203.91090113884536</v>
      </c>
      <c r="AV41" s="12">
        <v>655.85956996425114</v>
      </c>
      <c r="AW41" s="12">
        <v>59.336135273067441</v>
      </c>
      <c r="AX41" s="6">
        <f>SUM(AP41:AW41)</f>
        <v>1243.191940841725</v>
      </c>
      <c r="AY41" s="12"/>
      <c r="AZ41" s="6">
        <v>6.3497481087126513</v>
      </c>
      <c r="BA41" s="6">
        <v>5.7003621596971792</v>
      </c>
      <c r="BB41" s="6">
        <v>27.8423240758991</v>
      </c>
      <c r="BC41" s="6">
        <v>445.0923180842056</v>
      </c>
      <c r="BD41" s="6">
        <v>175.63842629230288</v>
      </c>
      <c r="BE41" s="6">
        <v>648.0778202054106</v>
      </c>
      <c r="BF41" s="6">
        <v>231.46833777126386</v>
      </c>
      <c r="BG41" s="6">
        <v>25.575355350221972</v>
      </c>
      <c r="BH41" s="6">
        <f>SUM(AY41:BG41)</f>
        <v>1565.7446920477137</v>
      </c>
      <c r="BI41" s="3">
        <v>0.69988472675850855</v>
      </c>
      <c r="BJ41" s="3">
        <v>0.57118950201268426</v>
      </c>
      <c r="BK41" s="3">
        <v>3.8377687069026263</v>
      </c>
      <c r="BL41" s="3">
        <v>0.64936063577564207</v>
      </c>
      <c r="BM41" s="3">
        <v>0.72557400394647009</v>
      </c>
      <c r="BN41" s="6">
        <f>SUM(BI41:BM41)</f>
        <v>6.4837775753959299</v>
      </c>
      <c r="BO41" s="6">
        <v>0.84644495709146983</v>
      </c>
      <c r="BP41" s="6">
        <v>1.4809839896236374</v>
      </c>
      <c r="BQ41" s="6">
        <v>8.4317886667316611</v>
      </c>
      <c r="BR41" s="6">
        <v>1.7806174508922004</v>
      </c>
      <c r="BS41" s="6">
        <v>3.6083255658339497</v>
      </c>
      <c r="BT41" s="6">
        <v>0.40770460247233353</v>
      </c>
      <c r="BU41" s="6">
        <f t="shared" si="10"/>
        <v>16.555865232645253</v>
      </c>
      <c r="BV41" s="8">
        <f t="shared" si="11"/>
        <v>3879.2150518949888</v>
      </c>
      <c r="BX41" s="3"/>
    </row>
    <row r="42" spans="2:76">
      <c r="B42" s="15"/>
      <c r="C42" s="11">
        <v>10</v>
      </c>
      <c r="D42" s="6">
        <v>3.3450603886005141</v>
      </c>
      <c r="E42" s="6">
        <v>1.9897332701985899</v>
      </c>
      <c r="F42" s="6">
        <v>0.77651554005636492</v>
      </c>
      <c r="G42" s="6">
        <v>3.8214756279906275</v>
      </c>
      <c r="H42" s="6">
        <v>28.601509354888943</v>
      </c>
      <c r="I42" s="6">
        <v>7.7881929503478329</v>
      </c>
      <c r="J42" s="6">
        <v>21.204846848306943</v>
      </c>
      <c r="K42" s="6">
        <v>3.8860416027956566</v>
      </c>
      <c r="L42" s="8">
        <f>SUM(D42:K42)</f>
        <v>71.41337558318547</v>
      </c>
      <c r="M42" s="6">
        <v>7.4415479885616351</v>
      </c>
      <c r="N42" s="6">
        <v>2.183316926137612</v>
      </c>
      <c r="O42" s="6">
        <v>1.6877144327811886</v>
      </c>
      <c r="P42" s="6">
        <v>12.256851521522472</v>
      </c>
      <c r="Q42" s="6">
        <v>54.860527490460193</v>
      </c>
      <c r="R42" s="6">
        <v>52.675383597474521</v>
      </c>
      <c r="S42" s="6">
        <v>17.270956031930336</v>
      </c>
      <c r="T42" s="6">
        <v>64.115629822865941</v>
      </c>
      <c r="U42" s="6">
        <v>18.285631986562233</v>
      </c>
      <c r="V42" s="8">
        <f t="shared" si="9"/>
        <v>230.77755979829612</v>
      </c>
      <c r="W42" s="6">
        <v>5.649276851409482</v>
      </c>
      <c r="X42" s="6">
        <v>7.8255298744832489</v>
      </c>
      <c r="Y42" s="6">
        <v>2.2488863341265812</v>
      </c>
      <c r="Z42" s="6">
        <v>24.226684129898949</v>
      </c>
      <c r="AA42" s="6">
        <v>509.849466473473</v>
      </c>
      <c r="AB42" s="6">
        <v>164.92266807578579</v>
      </c>
      <c r="AC42" s="6">
        <v>411.57058418795197</v>
      </c>
      <c r="AD42" s="6">
        <v>103.01238538217599</v>
      </c>
      <c r="AE42" s="6">
        <v>4.8916735694443041</v>
      </c>
      <c r="AF42" s="8">
        <f>SUM(W42:AE42)</f>
        <v>1234.1971548787492</v>
      </c>
      <c r="AG42" s="6">
        <v>1.8897076475772712</v>
      </c>
      <c r="AH42" s="6">
        <v>1.3411241991331218</v>
      </c>
      <c r="AI42" s="6">
        <v>1.4817375501157042</v>
      </c>
      <c r="AJ42" s="6">
        <v>3.2807854069813751</v>
      </c>
      <c r="AK42" s="6">
        <v>174.28633308112396</v>
      </c>
      <c r="AL42" s="6">
        <v>44.350160291024871</v>
      </c>
      <c r="AM42" s="6">
        <v>72.760088625429319</v>
      </c>
      <c r="AN42" s="6">
        <v>0.74928729554457552</v>
      </c>
      <c r="AO42" s="8">
        <f>SUM(AG42:AN42)</f>
        <v>300.13922409693015</v>
      </c>
      <c r="AP42" s="3">
        <v>36.219914477173205</v>
      </c>
      <c r="AQ42" s="12">
        <v>17.815937851355809</v>
      </c>
      <c r="AR42" s="12">
        <v>6.2755075557392335</v>
      </c>
      <c r="AS42" s="12">
        <v>11.701599362995644</v>
      </c>
      <c r="AT42" s="12">
        <v>601.50697934575635</v>
      </c>
      <c r="AU42" s="12">
        <v>501.7769493631564</v>
      </c>
      <c r="AV42" s="12">
        <v>1558.8163244351454</v>
      </c>
      <c r="AW42" s="12">
        <v>142.17835774509109</v>
      </c>
      <c r="AX42" s="6">
        <f>SUM(AP42:AW42)</f>
        <v>2876.2915701364132</v>
      </c>
      <c r="AY42" s="12"/>
      <c r="AZ42" s="6">
        <v>14.719611011392056</v>
      </c>
      <c r="BA42" s="6">
        <v>12.33674653913366</v>
      </c>
      <c r="BB42" s="6">
        <v>58.168716348770594</v>
      </c>
      <c r="BC42" s="6">
        <v>943.934712525191</v>
      </c>
      <c r="BD42" s="6">
        <v>409.05160603176398</v>
      </c>
      <c r="BE42" s="6">
        <v>1797.4735300222021</v>
      </c>
      <c r="BF42" s="6">
        <v>639.86346330089896</v>
      </c>
      <c r="BG42" s="6">
        <v>69.940158203123445</v>
      </c>
      <c r="BH42" s="6">
        <f>SUM(AY42:BG42)</f>
        <v>3945.4885439824757</v>
      </c>
      <c r="BI42" s="3">
        <v>0.51808602562617323</v>
      </c>
      <c r="BJ42" s="3">
        <v>0.55216457196168256</v>
      </c>
      <c r="BK42" s="3">
        <v>3.9164113043355528</v>
      </c>
      <c r="BL42" s="3">
        <v>0.69826188990403948</v>
      </c>
      <c r="BM42" s="3">
        <v>0.80123729107736208</v>
      </c>
      <c r="BN42" s="6">
        <f>SUM(BI42:BM42)</f>
        <v>6.4861610829048102</v>
      </c>
      <c r="BO42" s="6">
        <v>2.9304662969737381</v>
      </c>
      <c r="BP42" s="6">
        <v>3.1348796829064973</v>
      </c>
      <c r="BQ42" s="6">
        <v>22.076578591589801</v>
      </c>
      <c r="BR42" s="6">
        <v>4.007156785737056</v>
      </c>
      <c r="BS42" s="6">
        <v>7.7870012632141421</v>
      </c>
      <c r="BT42" s="6">
        <v>0.53698202108710757</v>
      </c>
      <c r="BU42" s="6">
        <f t="shared" si="10"/>
        <v>40.473064641508344</v>
      </c>
      <c r="BV42" s="8">
        <f t="shared" si="11"/>
        <v>8705.2666542004627</v>
      </c>
      <c r="BX42" s="3"/>
    </row>
    <row r="43" spans="2:76">
      <c r="B43" s="15"/>
      <c r="C43" s="11">
        <v>11</v>
      </c>
      <c r="D43" s="6">
        <v>4.374159070707381</v>
      </c>
      <c r="E43" s="6">
        <v>2.7055037166213078</v>
      </c>
      <c r="F43" s="6">
        <v>1.9593108621207032</v>
      </c>
      <c r="G43" s="6">
        <v>5.2786587933696589</v>
      </c>
      <c r="H43" s="6">
        <v>63.78376715944335</v>
      </c>
      <c r="I43" s="6">
        <v>21.102382296722894</v>
      </c>
      <c r="J43" s="6">
        <v>48.305606633284661</v>
      </c>
      <c r="K43" s="6">
        <v>6.8801643537183228</v>
      </c>
      <c r="L43" s="8">
        <f>SUM(D43:K43)</f>
        <v>154.38955288598828</v>
      </c>
      <c r="M43" s="6">
        <v>14.725154644444096</v>
      </c>
      <c r="N43" s="6">
        <v>1.2872451851386661</v>
      </c>
      <c r="O43" s="6">
        <v>3.2303255667341548</v>
      </c>
      <c r="P43" s="6">
        <v>14.176708629517549</v>
      </c>
      <c r="Q43" s="6">
        <v>63.12715740524019</v>
      </c>
      <c r="R43" s="6">
        <v>76.110981850898966</v>
      </c>
      <c r="S43" s="6">
        <v>31.231409482783803</v>
      </c>
      <c r="T43" s="6">
        <v>97.946913917252118</v>
      </c>
      <c r="U43" s="6">
        <v>21.027370006672488</v>
      </c>
      <c r="V43" s="8">
        <f t="shared" si="9"/>
        <v>322.86326668868202</v>
      </c>
      <c r="W43" s="6">
        <v>1.9866368760803239</v>
      </c>
      <c r="X43" s="6">
        <v>2.1280006616380773</v>
      </c>
      <c r="Y43" s="6">
        <v>1.9643809899911919</v>
      </c>
      <c r="Z43" s="6">
        <v>22.703645361886057</v>
      </c>
      <c r="AA43" s="6">
        <v>629.92522041879738</v>
      </c>
      <c r="AB43" s="6">
        <v>230.64140507885611</v>
      </c>
      <c r="AC43" s="6">
        <v>527.26150064080525</v>
      </c>
      <c r="AD43" s="6">
        <v>110.27944805266256</v>
      </c>
      <c r="AE43" s="6">
        <v>5.2992171694392525</v>
      </c>
      <c r="AF43" s="8">
        <f>SUM(W43:AE43)</f>
        <v>1532.1894552501562</v>
      </c>
      <c r="AG43" s="6">
        <v>1.7998919964462454</v>
      </c>
      <c r="AH43" s="6">
        <v>1.4843299863346611</v>
      </c>
      <c r="AI43" s="6">
        <v>2.4186377318809988</v>
      </c>
      <c r="AJ43" s="6">
        <v>4.3847305261371279</v>
      </c>
      <c r="AK43" s="6">
        <v>243.2786740671643</v>
      </c>
      <c r="AL43" s="6">
        <v>74.207101097160901</v>
      </c>
      <c r="AM43" s="6">
        <v>120.77473365357022</v>
      </c>
      <c r="AN43" s="6">
        <v>2.4485827824807376</v>
      </c>
      <c r="AO43" s="8">
        <f>SUM(AG43:AN43)</f>
        <v>450.79668184117526</v>
      </c>
      <c r="AP43" s="3">
        <v>31.673844393296218</v>
      </c>
      <c r="AQ43" s="12">
        <v>22.452372189912037</v>
      </c>
      <c r="AR43" s="12">
        <v>4.7085840307491331</v>
      </c>
      <c r="AS43" s="12">
        <v>13.377826816695892</v>
      </c>
      <c r="AT43" s="12">
        <v>556.52872216598143</v>
      </c>
      <c r="AU43" s="12">
        <v>486.52264977464154</v>
      </c>
      <c r="AV43" s="12">
        <v>1708.0665889258155</v>
      </c>
      <c r="AW43" s="12">
        <v>113.3429436244455</v>
      </c>
      <c r="AX43" s="6">
        <f>SUM(AP43:AW43)</f>
        <v>2936.6735319215372</v>
      </c>
      <c r="AY43" s="12"/>
      <c r="AZ43" s="6">
        <v>13.575501878837057</v>
      </c>
      <c r="BA43" s="6">
        <v>10.336335522777492</v>
      </c>
      <c r="BB43" s="6">
        <v>38.353960956334497</v>
      </c>
      <c r="BC43" s="6">
        <v>1227.5450151833297</v>
      </c>
      <c r="BD43" s="6">
        <v>641.98894976531665</v>
      </c>
      <c r="BE43" s="6">
        <v>2465.1166908152586</v>
      </c>
      <c r="BF43" s="6">
        <v>683.57125027537234</v>
      </c>
      <c r="BG43" s="6">
        <v>72.778310624465803</v>
      </c>
      <c r="BH43" s="6">
        <f>SUM(AY43:BG43)</f>
        <v>5153.2660150216925</v>
      </c>
      <c r="BI43" s="3">
        <v>1.210346800522949</v>
      </c>
      <c r="BJ43" s="3">
        <v>0.88109696540863391</v>
      </c>
      <c r="BK43" s="3">
        <v>7.372049319504459</v>
      </c>
      <c r="BL43" s="3">
        <v>0.899364540950921</v>
      </c>
      <c r="BM43" s="3">
        <v>1.798874307147059</v>
      </c>
      <c r="BN43" s="6">
        <f>SUM(BI43:BM43)</f>
        <v>12.161731933534023</v>
      </c>
      <c r="BO43" s="6">
        <v>2.9434804382707411</v>
      </c>
      <c r="BP43" s="6">
        <v>4.1344625545782163</v>
      </c>
      <c r="BQ43" s="6">
        <v>25.89801389056711</v>
      </c>
      <c r="BR43" s="6">
        <v>5.4050690210505872</v>
      </c>
      <c r="BS43" s="6">
        <v>11.53288193001605</v>
      </c>
      <c r="BT43" s="6">
        <v>0.86434585847084555</v>
      </c>
      <c r="BU43" s="6">
        <f t="shared" si="10"/>
        <v>50.778253692953548</v>
      </c>
      <c r="BV43" s="8">
        <f t="shared" si="11"/>
        <v>10613.11848923572</v>
      </c>
      <c r="BX43" s="3"/>
    </row>
    <row r="44" spans="2:76">
      <c r="B44" s="15"/>
      <c r="C44" s="11">
        <v>12</v>
      </c>
      <c r="D44" s="6">
        <v>3.3203607537500446</v>
      </c>
      <c r="E44" s="6">
        <v>1.5484380573496828</v>
      </c>
      <c r="F44" s="6">
        <v>1.2071297361664339</v>
      </c>
      <c r="G44" s="6">
        <v>4.5192621885468149</v>
      </c>
      <c r="H44" s="6">
        <v>39.176172517388636</v>
      </c>
      <c r="I44" s="6">
        <v>10.196568953651106</v>
      </c>
      <c r="J44" s="6">
        <v>31.499806049539696</v>
      </c>
      <c r="K44" s="6">
        <v>5.5344076398136179</v>
      </c>
      <c r="L44" s="8">
        <f>SUM(D44:K44)</f>
        <v>97.002145896206045</v>
      </c>
      <c r="M44" s="6">
        <v>12.734209573093631</v>
      </c>
      <c r="N44" s="6">
        <v>2.1212714629143963</v>
      </c>
      <c r="O44" s="6">
        <v>1.9227485988666599</v>
      </c>
      <c r="P44" s="6">
        <v>10.958548940675696</v>
      </c>
      <c r="Q44" s="6">
        <v>55.240066712963198</v>
      </c>
      <c r="R44" s="6">
        <v>47.408975469911645</v>
      </c>
      <c r="S44" s="6">
        <v>11.548771714906197</v>
      </c>
      <c r="T44" s="6">
        <v>54.493367341735379</v>
      </c>
      <c r="U44" s="6">
        <v>16.056179476140937</v>
      </c>
      <c r="V44" s="8">
        <f t="shared" si="9"/>
        <v>212.48413929120773</v>
      </c>
      <c r="W44" s="6">
        <v>2.4362295061677552</v>
      </c>
      <c r="X44" s="6">
        <v>1.3620351540563504</v>
      </c>
      <c r="Y44" s="6">
        <v>1.6515359186186338</v>
      </c>
      <c r="Z44" s="6">
        <v>11.484395436529409</v>
      </c>
      <c r="AA44" s="6">
        <v>387.12714334203429</v>
      </c>
      <c r="AB44" s="6">
        <v>127.99391246857884</v>
      </c>
      <c r="AC44" s="6">
        <v>348.84934430468252</v>
      </c>
      <c r="AD44" s="6">
        <v>106.41499138506244</v>
      </c>
      <c r="AE44" s="6">
        <v>5.3821081052381237</v>
      </c>
      <c r="AF44" s="8">
        <f>SUM(W44:AE44)</f>
        <v>992.70169562096828</v>
      </c>
      <c r="AG44" s="6">
        <v>2.428776669808022</v>
      </c>
      <c r="AH44" s="6">
        <v>0.99043953613984415</v>
      </c>
      <c r="AI44" s="6">
        <v>1.7310111375378761</v>
      </c>
      <c r="AJ44" s="6">
        <v>4.5488089033771342</v>
      </c>
      <c r="AK44" s="6">
        <v>178.48070384071249</v>
      </c>
      <c r="AL44" s="6">
        <v>41.975104945021592</v>
      </c>
      <c r="AM44" s="6">
        <v>86.866960284640058</v>
      </c>
      <c r="AN44" s="6">
        <v>1.6304769171967366</v>
      </c>
      <c r="AO44" s="8">
        <f>SUM(AG44:AN44)</f>
        <v>318.65228223443376</v>
      </c>
      <c r="AP44" s="3">
        <v>48.995329302953962</v>
      </c>
      <c r="AQ44" s="12">
        <v>20.079201095527779</v>
      </c>
      <c r="AR44" s="12">
        <v>6.1579761420526644</v>
      </c>
      <c r="AS44" s="12">
        <v>16.014214138445439</v>
      </c>
      <c r="AT44" s="12">
        <v>549.03309655182443</v>
      </c>
      <c r="AU44" s="12">
        <v>401.66065732174923</v>
      </c>
      <c r="AV44" s="12">
        <v>1660.291664373261</v>
      </c>
      <c r="AW44" s="12">
        <v>142.02656571699723</v>
      </c>
      <c r="AX44" s="6">
        <f>SUM(AP44:AW44)</f>
        <v>2844.2587046428116</v>
      </c>
      <c r="AY44" s="12"/>
      <c r="AZ44" s="6">
        <v>13.374324034917215</v>
      </c>
      <c r="BA44" s="6">
        <v>11.298227803688599</v>
      </c>
      <c r="BB44" s="6">
        <v>47.033316422900775</v>
      </c>
      <c r="BC44" s="6">
        <v>700.65141352587113</v>
      </c>
      <c r="BD44" s="6">
        <v>249.90940041959973</v>
      </c>
      <c r="BE44" s="6">
        <v>1261.0635875357791</v>
      </c>
      <c r="BF44" s="6">
        <v>513.51426603775485</v>
      </c>
      <c r="BG44" s="6">
        <v>64.610796165708152</v>
      </c>
      <c r="BH44" s="6">
        <f>SUM(AY44:BG44)</f>
        <v>2861.4553319462193</v>
      </c>
      <c r="BI44" s="3">
        <v>0.55595654903692593</v>
      </c>
      <c r="BJ44" s="3">
        <v>0.6352036997325794</v>
      </c>
      <c r="BK44" s="3">
        <v>5.8890165732560655</v>
      </c>
      <c r="BL44" s="3">
        <v>0.78653920839619451</v>
      </c>
      <c r="BM44" s="3">
        <v>0.79287799714943641</v>
      </c>
      <c r="BN44" s="6">
        <f>SUM(BI44:BM44)</f>
        <v>8.6595940275712024</v>
      </c>
      <c r="BO44" s="6">
        <v>2.1001224809969057</v>
      </c>
      <c r="BP44" s="6">
        <v>2.6595161390918962</v>
      </c>
      <c r="BQ44" s="6">
        <v>20.440592514729683</v>
      </c>
      <c r="BR44" s="6">
        <v>3.7778625844118641</v>
      </c>
      <c r="BS44" s="6">
        <v>8.2576086582255215</v>
      </c>
      <c r="BT44" s="6">
        <v>0.59882280555449074</v>
      </c>
      <c r="BU44" s="6">
        <f t="shared" si="10"/>
        <v>37.834525183010363</v>
      </c>
      <c r="BV44" s="8">
        <f t="shared" si="11"/>
        <v>7373.0484188424289</v>
      </c>
      <c r="BX44" s="3"/>
    </row>
    <row r="45" spans="2:76">
      <c r="B45" s="15"/>
      <c r="C45" s="11">
        <v>13</v>
      </c>
      <c r="D45" s="6">
        <v>3.4795067720908688</v>
      </c>
      <c r="E45" s="6">
        <v>1.8930616294776383</v>
      </c>
      <c r="F45" s="6">
        <v>1.7135932459988388</v>
      </c>
      <c r="G45" s="6">
        <v>5.5919860282531779</v>
      </c>
      <c r="H45" s="6">
        <v>62.209106691743898</v>
      </c>
      <c r="I45" s="6">
        <v>18.107738536646171</v>
      </c>
      <c r="J45" s="6">
        <v>46.699176207113439</v>
      </c>
      <c r="K45" s="6">
        <v>5.9690985908502059</v>
      </c>
      <c r="L45" s="8">
        <f>SUM(D45:K45)</f>
        <v>145.66326770217421</v>
      </c>
      <c r="M45" s="6">
        <v>15.221608846315252</v>
      </c>
      <c r="N45" s="6">
        <v>3.7649872348464961</v>
      </c>
      <c r="O45" s="6">
        <v>2.7011999058844909</v>
      </c>
      <c r="P45" s="6">
        <v>16.601147186819095</v>
      </c>
      <c r="Q45" s="6">
        <v>76.409947029395497</v>
      </c>
      <c r="R45" s="6">
        <v>104.25744383330748</v>
      </c>
      <c r="S45" s="6">
        <v>35.312173556038424</v>
      </c>
      <c r="T45" s="6">
        <v>132.46423505587452</v>
      </c>
      <c r="U45" s="6">
        <v>25.072571439998313</v>
      </c>
      <c r="V45" s="8">
        <f t="shared" si="9"/>
        <v>411.80531408847958</v>
      </c>
      <c r="W45" s="6">
        <v>3.0122382661587817</v>
      </c>
      <c r="X45" s="6">
        <v>2.1216420019097724</v>
      </c>
      <c r="Y45" s="6">
        <v>2.3972628396605362</v>
      </c>
      <c r="Z45" s="6">
        <v>19.292445419476959</v>
      </c>
      <c r="AA45" s="6">
        <v>899.6278543961605</v>
      </c>
      <c r="AB45" s="6">
        <v>294.35200522204275</v>
      </c>
      <c r="AC45" s="6">
        <v>694.27241264415807</v>
      </c>
      <c r="AD45" s="6">
        <v>128.13576150529028</v>
      </c>
      <c r="AE45" s="6">
        <v>6.5124510130509474</v>
      </c>
      <c r="AF45" s="8">
        <f>SUM(W45:AE45)</f>
        <v>2049.7240733079084</v>
      </c>
      <c r="AG45" s="6">
        <v>4.4498134578728932</v>
      </c>
      <c r="AH45" s="6">
        <v>1.9357227111465785</v>
      </c>
      <c r="AI45" s="6">
        <v>1.606040370303442</v>
      </c>
      <c r="AJ45" s="6">
        <v>2.9302250359962221</v>
      </c>
      <c r="AK45" s="6">
        <v>232.48539647289812</v>
      </c>
      <c r="AL45" s="6">
        <v>46.932960575650206</v>
      </c>
      <c r="AM45" s="6">
        <v>99.627617449136849</v>
      </c>
      <c r="AN45" s="6">
        <v>1.3060730936282943</v>
      </c>
      <c r="AO45" s="8">
        <f>SUM(AG45:AN45)</f>
        <v>391.2738491666326</v>
      </c>
      <c r="AP45" s="3">
        <v>47.802638093303422</v>
      </c>
      <c r="AQ45" s="12">
        <v>27.745783448822117</v>
      </c>
      <c r="AR45" s="12">
        <v>5.8366314110795914</v>
      </c>
      <c r="AS45" s="12">
        <v>12.762936951944074</v>
      </c>
      <c r="AT45" s="12">
        <v>657.38266015582212</v>
      </c>
      <c r="AU45" s="12">
        <v>462.22081005097414</v>
      </c>
      <c r="AV45" s="12">
        <v>1854.1423348034452</v>
      </c>
      <c r="AW45" s="12">
        <v>136.3124122483419</v>
      </c>
      <c r="AX45" s="6">
        <f>SUM(AP45:AW45)</f>
        <v>3204.2062071637324</v>
      </c>
      <c r="AY45" s="12"/>
      <c r="AZ45" s="6">
        <v>24.687781376038409</v>
      </c>
      <c r="BA45" s="6">
        <v>12.36510014128066</v>
      </c>
      <c r="BB45" s="6">
        <v>60.39736426771411</v>
      </c>
      <c r="BC45" s="6">
        <v>1841.7566288210196</v>
      </c>
      <c r="BD45" s="6">
        <v>770.9445078629218</v>
      </c>
      <c r="BE45" s="6">
        <v>3252.6306714762773</v>
      </c>
      <c r="BF45" s="6">
        <v>849.52188771851922</v>
      </c>
      <c r="BG45" s="6">
        <v>87.409275732658458</v>
      </c>
      <c r="BH45" s="6">
        <f>SUM(AY45:BG45)</f>
        <v>6899.7132173964292</v>
      </c>
      <c r="BI45" s="3">
        <v>1.1960586327205294</v>
      </c>
      <c r="BJ45" s="3">
        <v>0.70241808479077439</v>
      </c>
      <c r="BK45" s="3">
        <v>10.063294567196726</v>
      </c>
      <c r="BL45" s="3">
        <v>0.82830847206367419</v>
      </c>
      <c r="BM45" s="3">
        <v>1.8622838468267493</v>
      </c>
      <c r="BN45" s="6">
        <f>SUM(BI45:BM45)</f>
        <v>14.652363603598452</v>
      </c>
      <c r="BO45" s="6">
        <v>3.8439161965777018</v>
      </c>
      <c r="BP45" s="6">
        <v>3.3902609899710732</v>
      </c>
      <c r="BQ45" s="6">
        <v>33.003896380161841</v>
      </c>
      <c r="BR45" s="6">
        <v>5.7015895769946834</v>
      </c>
      <c r="BS45" s="6">
        <v>14.71223384117325</v>
      </c>
      <c r="BT45" s="6">
        <v>0.69473065733575001</v>
      </c>
      <c r="BU45" s="6">
        <f t="shared" si="10"/>
        <v>61.346627642214301</v>
      </c>
      <c r="BV45" s="8">
        <f t="shared" si="11"/>
        <v>13178.38492007117</v>
      </c>
      <c r="BX45" s="3"/>
    </row>
    <row r="46" spans="2:76">
      <c r="B46" s="15"/>
      <c r="C46" s="11">
        <v>14</v>
      </c>
      <c r="D46" s="6">
        <v>2.3643837066708606</v>
      </c>
      <c r="E46" s="6">
        <v>1.2560128646403395</v>
      </c>
      <c r="F46" s="6">
        <v>0.74476820398608634</v>
      </c>
      <c r="G46" s="6">
        <v>2.5711489626936359</v>
      </c>
      <c r="H46" s="6">
        <v>21.877544319187923</v>
      </c>
      <c r="I46" s="6">
        <v>6.200487599576058</v>
      </c>
      <c r="J46" s="6">
        <v>11.956328509958515</v>
      </c>
      <c r="K46" s="6">
        <v>1.4319754984437159</v>
      </c>
      <c r="L46" s="8">
        <f>SUM(D46:K46)</f>
        <v>48.402649665157135</v>
      </c>
      <c r="M46" s="6">
        <v>6.7563512730003392</v>
      </c>
      <c r="N46" s="6">
        <v>1.5720926681156089</v>
      </c>
      <c r="O46" s="6">
        <v>1.5374264653530436</v>
      </c>
      <c r="P46" s="6">
        <v>6.9985409190027541</v>
      </c>
      <c r="Q46" s="6">
        <v>34.394150439882416</v>
      </c>
      <c r="R46" s="6">
        <v>34.817333323462897</v>
      </c>
      <c r="S46" s="6">
        <v>10.467133445930958</v>
      </c>
      <c r="T46" s="6">
        <v>27.050496320744692</v>
      </c>
      <c r="U46" s="6">
        <v>4.8977258971376179</v>
      </c>
      <c r="V46" s="8">
        <f t="shared" si="9"/>
        <v>128.49125075263029</v>
      </c>
      <c r="W46" s="6">
        <v>2.7898795063724813</v>
      </c>
      <c r="X46" s="6">
        <v>1.8133749944684396</v>
      </c>
      <c r="Y46" s="6">
        <v>1.547091749587187</v>
      </c>
      <c r="Z46" s="6">
        <v>23.230691961370095</v>
      </c>
      <c r="AA46" s="6">
        <v>507.61931807591708</v>
      </c>
      <c r="AB46" s="6">
        <v>155.26030753568639</v>
      </c>
      <c r="AC46" s="6">
        <v>270.24155556658184</v>
      </c>
      <c r="AD46" s="6">
        <v>53.04355349733018</v>
      </c>
      <c r="AE46" s="6">
        <v>2.1137079098444449</v>
      </c>
      <c r="AF46" s="8">
        <f>SUM(W46:AE46)</f>
        <v>1017.6594807971582</v>
      </c>
      <c r="AG46" s="6">
        <v>1.9766796630891399</v>
      </c>
      <c r="AH46" s="6">
        <v>1.2581949882385475</v>
      </c>
      <c r="AI46" s="6">
        <v>1.0838222505688286</v>
      </c>
      <c r="AJ46" s="6">
        <v>3.5037364200238574</v>
      </c>
      <c r="AK46" s="6">
        <v>203.07621045803498</v>
      </c>
      <c r="AL46" s="6">
        <v>47.101039781011863</v>
      </c>
      <c r="AM46" s="6">
        <v>65.454739599497117</v>
      </c>
      <c r="AN46" s="6">
        <v>0.69551724557796679</v>
      </c>
      <c r="AO46" s="8">
        <f>SUM(AG46:AN46)</f>
        <v>324.14994040604228</v>
      </c>
      <c r="AP46" s="3">
        <v>36.547632748577499</v>
      </c>
      <c r="AQ46" s="12">
        <v>15.766252974984988</v>
      </c>
      <c r="AR46" s="12">
        <v>4.2506208619784793</v>
      </c>
      <c r="AS46" s="12">
        <v>12.39852698841332</v>
      </c>
      <c r="AT46" s="12">
        <v>668.98212002850505</v>
      </c>
      <c r="AU46" s="12">
        <v>448.91614191535865</v>
      </c>
      <c r="AV46" s="12">
        <v>1162.3372550494287</v>
      </c>
      <c r="AW46" s="12">
        <v>74.161024879788712</v>
      </c>
      <c r="AX46" s="6">
        <f>SUM(AP46:AW46)</f>
        <v>2423.3595754470352</v>
      </c>
      <c r="AY46" s="12"/>
      <c r="AZ46" s="6">
        <v>10.703514206479948</v>
      </c>
      <c r="BA46" s="6">
        <v>8.1477973745105956</v>
      </c>
      <c r="BB46" s="6">
        <v>41.327020530846966</v>
      </c>
      <c r="BC46" s="6">
        <v>862.6374278662696</v>
      </c>
      <c r="BD46" s="6">
        <v>344.64079015491802</v>
      </c>
      <c r="BE46" s="6">
        <v>1178.8015042973277</v>
      </c>
      <c r="BF46" s="6">
        <v>279.34912041474934</v>
      </c>
      <c r="BG46" s="6">
        <v>21.210344936758926</v>
      </c>
      <c r="BH46" s="6">
        <f>SUM(AY46:BG46)</f>
        <v>2746.8175197818609</v>
      </c>
      <c r="BI46" s="3">
        <v>0.40654058007726063</v>
      </c>
      <c r="BJ46" s="3">
        <v>0.67246323204379088</v>
      </c>
      <c r="BK46" s="3">
        <v>3.0759124466639816</v>
      </c>
      <c r="BL46" s="3">
        <v>0.54901601861590721</v>
      </c>
      <c r="BM46" s="3">
        <v>0.8680883192211597</v>
      </c>
      <c r="BN46" s="6">
        <f>SUM(BI46:BM46)</f>
        <v>5.5720205966220995</v>
      </c>
      <c r="BO46" s="6">
        <v>0.86694927078628448</v>
      </c>
      <c r="BP46" s="6">
        <v>1.0475719012536302</v>
      </c>
      <c r="BQ46" s="6">
        <v>7.9133049224853806</v>
      </c>
      <c r="BR46" s="6">
        <v>1.7229814935152854</v>
      </c>
      <c r="BS46" s="6">
        <v>3.3762590126764667</v>
      </c>
      <c r="BT46" s="6">
        <v>0.17211906925409248</v>
      </c>
      <c r="BU46" s="6">
        <f t="shared" si="10"/>
        <v>15.09918566997114</v>
      </c>
      <c r="BV46" s="8">
        <f t="shared" si="11"/>
        <v>6709.5516231164775</v>
      </c>
      <c r="BX46" s="3"/>
    </row>
    <row r="47" spans="2:76">
      <c r="B47" s="15"/>
      <c r="C47" s="11">
        <v>15</v>
      </c>
      <c r="D47" s="6">
        <v>1.8200489159369015</v>
      </c>
      <c r="E47" s="6">
        <v>0.91423646720994967</v>
      </c>
      <c r="F47" s="6">
        <v>0.78803371289145518</v>
      </c>
      <c r="G47" s="6">
        <v>2.9289156350439081</v>
      </c>
      <c r="H47" s="6">
        <v>14.488075265305694</v>
      </c>
      <c r="I47" s="6">
        <v>3.668521406558527</v>
      </c>
      <c r="J47" s="6">
        <v>7.534247946690499</v>
      </c>
      <c r="K47" s="6">
        <v>1.2452830884321522</v>
      </c>
      <c r="L47" s="8">
        <f>SUM(D47:K47)</f>
        <v>33.387362438069083</v>
      </c>
      <c r="M47" s="6">
        <v>10.939214542059027</v>
      </c>
      <c r="N47" s="6">
        <v>2.1892838359922724</v>
      </c>
      <c r="O47" s="6">
        <v>2.1184740563826945</v>
      </c>
      <c r="P47" s="6">
        <v>11.475946511755463</v>
      </c>
      <c r="Q47" s="6">
        <v>48.301729793519286</v>
      </c>
      <c r="R47" s="6">
        <v>34.901078478143475</v>
      </c>
      <c r="S47" s="6">
        <v>11.202555005307932</v>
      </c>
      <c r="T47" s="6">
        <v>32.196859895604952</v>
      </c>
      <c r="U47" s="6">
        <v>8.4007530289766716</v>
      </c>
      <c r="V47" s="8">
        <f t="shared" si="9"/>
        <v>161.72589514774177</v>
      </c>
      <c r="W47" s="6">
        <v>6.3251270011913423</v>
      </c>
      <c r="X47" s="6">
        <v>4.1515836369846877</v>
      </c>
      <c r="Y47" s="6">
        <v>3.9328934274414165</v>
      </c>
      <c r="Z47" s="6">
        <v>37.56868607619861</v>
      </c>
      <c r="AA47" s="6">
        <v>591.03438039267837</v>
      </c>
      <c r="AB47" s="6">
        <v>197.15707244446858</v>
      </c>
      <c r="AC47" s="6">
        <v>379.75944587947322</v>
      </c>
      <c r="AD47" s="6">
        <v>109.48755546182298</v>
      </c>
      <c r="AE47" s="6">
        <v>4.7694728625010701</v>
      </c>
      <c r="AF47" s="8">
        <f>SUM(W47:AE47)</f>
        <v>1334.1862171827602</v>
      </c>
      <c r="AG47" s="6">
        <v>1.5323434297337353</v>
      </c>
      <c r="AH47" s="6">
        <v>1.321329406165638</v>
      </c>
      <c r="AI47" s="6">
        <v>2.0483359126606944</v>
      </c>
      <c r="AJ47" s="6">
        <v>3.1048996925499512</v>
      </c>
      <c r="AK47" s="6">
        <v>129.35490755634754</v>
      </c>
      <c r="AL47" s="6">
        <v>32.893464825854537</v>
      </c>
      <c r="AM47" s="6">
        <v>49.766494997797629</v>
      </c>
      <c r="AN47" s="6">
        <v>0.61701908114151216</v>
      </c>
      <c r="AO47" s="8">
        <f>SUM(AG47:AN47)</f>
        <v>220.63879490225122</v>
      </c>
      <c r="AP47" s="3">
        <v>170.95033522780531</v>
      </c>
      <c r="AQ47" s="12">
        <v>70.784721426816418</v>
      </c>
      <c r="AR47" s="12">
        <v>21.237979775012988</v>
      </c>
      <c r="AS47" s="12">
        <v>50.121171485511908</v>
      </c>
      <c r="AT47" s="12">
        <v>1426.4722815240905</v>
      </c>
      <c r="AU47" s="12">
        <v>1104.7442407842368</v>
      </c>
      <c r="AV47" s="12">
        <v>2823.530585207448</v>
      </c>
      <c r="AW47" s="12">
        <v>247.93954480723201</v>
      </c>
      <c r="AX47" s="6">
        <f>SUM(AP47:AW47)</f>
        <v>5915.7808602381538</v>
      </c>
      <c r="AY47" s="12"/>
      <c r="AZ47" s="6">
        <v>43.694947199273493</v>
      </c>
      <c r="BA47" s="6">
        <v>37.88636751935649</v>
      </c>
      <c r="BB47" s="6">
        <v>141.76870063379621</v>
      </c>
      <c r="BC47" s="6">
        <v>1413.7623004312702</v>
      </c>
      <c r="BD47" s="6">
        <v>615.05635576356553</v>
      </c>
      <c r="BE47" s="6">
        <v>1975.8356073742164</v>
      </c>
      <c r="BF47" s="6">
        <v>768.0786230765184</v>
      </c>
      <c r="BG47" s="6">
        <v>78.609326311079386</v>
      </c>
      <c r="BH47" s="6">
        <f>SUM(AY47:BG47)</f>
        <v>5074.6922283090771</v>
      </c>
      <c r="BI47" s="3">
        <v>0.10809243410393282</v>
      </c>
      <c r="BJ47" s="3">
        <v>0.23923667688648406</v>
      </c>
      <c r="BK47" s="3">
        <v>1.7637884409761042</v>
      </c>
      <c r="BL47" s="3">
        <v>0.2863893959872274</v>
      </c>
      <c r="BM47" s="3">
        <v>0.30515578017382383</v>
      </c>
      <c r="BN47" s="6">
        <f>SUM(BI47:BM47)</f>
        <v>2.7026627281275721</v>
      </c>
      <c r="BO47" s="6">
        <v>0.73387094100557004</v>
      </c>
      <c r="BP47" s="6">
        <v>1.0541741752342684</v>
      </c>
      <c r="BQ47" s="6">
        <v>6.5283650988157431</v>
      </c>
      <c r="BR47" s="6">
        <v>1.447435985963333</v>
      </c>
      <c r="BS47" s="6">
        <v>3.3776493074115663</v>
      </c>
      <c r="BT47" s="6">
        <v>0.31888487830502743</v>
      </c>
      <c r="BU47" s="6">
        <f t="shared" si="10"/>
        <v>13.460380386735508</v>
      </c>
      <c r="BV47" s="8">
        <f t="shared" si="11"/>
        <v>12756.574401332919</v>
      </c>
      <c r="BX47" s="3"/>
    </row>
    <row r="48" spans="2:76">
      <c r="B48" s="15"/>
      <c r="C48" s="11">
        <v>16</v>
      </c>
      <c r="D48" s="6">
        <v>2.7028030645552628</v>
      </c>
      <c r="E48" s="6">
        <v>1.2129480555364351</v>
      </c>
      <c r="F48" s="6">
        <v>1.2902893227469405</v>
      </c>
      <c r="G48" s="6">
        <v>3.4618631300013019</v>
      </c>
      <c r="H48" s="6">
        <v>34.523458855075113</v>
      </c>
      <c r="I48" s="6">
        <v>11.579170862987835</v>
      </c>
      <c r="J48" s="6">
        <v>24.763664725769161</v>
      </c>
      <c r="K48" s="6">
        <v>3.0005049238114547</v>
      </c>
      <c r="L48" s="8">
        <f>SUM(D48:K48)</f>
        <v>82.534702940483498</v>
      </c>
      <c r="M48" s="6">
        <v>21.206391201468431</v>
      </c>
      <c r="N48" s="6">
        <v>3.3162375748327264</v>
      </c>
      <c r="O48" s="6">
        <v>1.7556590081484367</v>
      </c>
      <c r="P48" s="6">
        <v>7.9764586235271615</v>
      </c>
      <c r="Q48" s="6">
        <v>43.307892373862067</v>
      </c>
      <c r="R48" s="6">
        <v>40.88288584086029</v>
      </c>
      <c r="S48" s="6">
        <v>14.104641720213094</v>
      </c>
      <c r="T48" s="6">
        <v>43.094669212256811</v>
      </c>
      <c r="U48" s="6">
        <v>7.1113902571859997</v>
      </c>
      <c r="V48" s="8">
        <f t="shared" si="9"/>
        <v>182.75622581235501</v>
      </c>
      <c r="W48" s="6">
        <v>1.8138312885414523</v>
      </c>
      <c r="X48" s="6">
        <v>1.1060523917324605</v>
      </c>
      <c r="Y48" s="6">
        <v>0.94521102243800903</v>
      </c>
      <c r="Z48" s="6">
        <v>6.5543916715007837</v>
      </c>
      <c r="AA48" s="6">
        <v>224.66604407525074</v>
      </c>
      <c r="AB48" s="6">
        <v>94.111843121577991</v>
      </c>
      <c r="AC48" s="6">
        <v>191.72330636932253</v>
      </c>
      <c r="AD48" s="6">
        <v>35.132596775852257</v>
      </c>
      <c r="AE48" s="6">
        <v>1.0804752147697354</v>
      </c>
      <c r="AF48" s="8">
        <f>SUM(W48:AE48)</f>
        <v>557.13375193098591</v>
      </c>
      <c r="AG48" s="6">
        <v>3.383296482632165</v>
      </c>
      <c r="AH48" s="6">
        <v>2.4210899088872773</v>
      </c>
      <c r="AI48" s="6">
        <v>2.2971357866937252</v>
      </c>
      <c r="AJ48" s="6">
        <v>5.1522141837052047</v>
      </c>
      <c r="AK48" s="6">
        <v>215.38046751940084</v>
      </c>
      <c r="AL48" s="6">
        <v>67.905580878162397</v>
      </c>
      <c r="AM48" s="6">
        <v>99.771038166428212</v>
      </c>
      <c r="AN48" s="6">
        <v>1.4692406966792155</v>
      </c>
      <c r="AO48" s="8">
        <f>SUM(AG48:AN48)</f>
        <v>397.78006362258895</v>
      </c>
      <c r="AP48" s="3">
        <v>36.032990573165158</v>
      </c>
      <c r="AQ48" s="12">
        <v>19.409622581839944</v>
      </c>
      <c r="AR48" s="12">
        <v>4.6131396135349316</v>
      </c>
      <c r="AS48" s="12">
        <v>10.345653105634693</v>
      </c>
      <c r="AT48" s="12">
        <v>424.47303673363439</v>
      </c>
      <c r="AU48" s="12">
        <v>306.00282964573353</v>
      </c>
      <c r="AV48" s="12">
        <v>867.62006382706682</v>
      </c>
      <c r="AW48" s="12">
        <v>48.623484748493773</v>
      </c>
      <c r="AX48" s="6">
        <f>SUM(AP48:AW48)</f>
        <v>1717.1208208291032</v>
      </c>
      <c r="AY48" s="12"/>
      <c r="AZ48" s="6">
        <v>10.64250863518995</v>
      </c>
      <c r="BA48" s="6">
        <v>5.436762705096748</v>
      </c>
      <c r="BB48" s="6">
        <v>25.766726639368187</v>
      </c>
      <c r="BC48" s="6">
        <v>545.42335044488414</v>
      </c>
      <c r="BD48" s="6">
        <v>258.66790091810873</v>
      </c>
      <c r="BE48" s="6">
        <v>894.02542559420476</v>
      </c>
      <c r="BF48" s="6">
        <v>207.57314506142649</v>
      </c>
      <c r="BG48" s="6">
        <v>14.419214493214325</v>
      </c>
      <c r="BH48" s="6">
        <f>SUM(AY48:BG48)</f>
        <v>1961.9550344914931</v>
      </c>
      <c r="BI48" s="3">
        <v>0.59270900038550456</v>
      </c>
      <c r="BJ48" s="3">
        <v>1.2707121367044993</v>
      </c>
      <c r="BK48" s="3">
        <v>4.2293971087836422</v>
      </c>
      <c r="BL48" s="3">
        <v>0.42613606804061038</v>
      </c>
      <c r="BM48" s="3">
        <v>0.81673230068116065</v>
      </c>
      <c r="BN48" s="6">
        <f>SUM(BI48:BM48)</f>
        <v>7.3356866145954172</v>
      </c>
      <c r="BO48" s="6">
        <v>2.3696213008480775</v>
      </c>
      <c r="BP48" s="6">
        <v>2.538106752598901</v>
      </c>
      <c r="BQ48" s="6">
        <v>15.51930120647029</v>
      </c>
      <c r="BR48" s="6">
        <v>2.4316463195154125</v>
      </c>
      <c r="BS48" s="6">
        <v>4.9283605893374141</v>
      </c>
      <c r="BT48" s="6">
        <v>0.31272602925261445</v>
      </c>
      <c r="BU48" s="6">
        <f t="shared" si="10"/>
        <v>28.099762198022709</v>
      </c>
      <c r="BV48" s="8">
        <f t="shared" si="11"/>
        <v>4934.7160484396272</v>
      </c>
      <c r="BX48" s="3"/>
    </row>
    <row r="49" spans="2:76">
      <c r="B49" s="15"/>
      <c r="C49" s="11">
        <v>17</v>
      </c>
      <c r="D49" s="6">
        <v>3.090788545174592</v>
      </c>
      <c r="E49" s="6">
        <v>1.6279872031100455</v>
      </c>
      <c r="F49" s="6">
        <v>1.0392945197148251</v>
      </c>
      <c r="G49" s="6">
        <v>3.0221635916853375</v>
      </c>
      <c r="H49" s="6">
        <v>26.339902923795659</v>
      </c>
      <c r="I49" s="6">
        <v>5.9797052163158702</v>
      </c>
      <c r="J49" s="6">
        <v>16.459226347422817</v>
      </c>
      <c r="K49" s="6">
        <v>2.4611465609519572</v>
      </c>
      <c r="L49" s="8">
        <f>SUM(D49:K49)</f>
        <v>60.020214908171113</v>
      </c>
      <c r="M49" s="6">
        <v>16.130568696688258</v>
      </c>
      <c r="N49" s="6">
        <v>4.4732830108151065</v>
      </c>
      <c r="O49" s="6">
        <v>2.6922174702571096</v>
      </c>
      <c r="P49" s="6">
        <v>12.182813411968533</v>
      </c>
      <c r="Q49" s="6">
        <v>44.365183884391314</v>
      </c>
      <c r="R49" s="6">
        <v>50.167320582501532</v>
      </c>
      <c r="S49" s="6">
        <v>12.712350827777279</v>
      </c>
      <c r="T49" s="6">
        <v>43.750020927115017</v>
      </c>
      <c r="U49" s="6">
        <v>10.471874233825444</v>
      </c>
      <c r="V49" s="8">
        <f t="shared" si="9"/>
        <v>196.94563304533958</v>
      </c>
      <c r="W49" s="6">
        <v>1.5756327556008436</v>
      </c>
      <c r="X49" s="6">
        <v>1.7593011370672091</v>
      </c>
      <c r="Y49" s="6">
        <v>1.3108892876742915</v>
      </c>
      <c r="Z49" s="6">
        <v>12.609249105694976</v>
      </c>
      <c r="AA49" s="6">
        <v>251.07873707147249</v>
      </c>
      <c r="AB49" s="6">
        <v>71.891425415723404</v>
      </c>
      <c r="AC49" s="6">
        <v>174.01618429084201</v>
      </c>
      <c r="AD49" s="6">
        <v>37.255025138925191</v>
      </c>
      <c r="AE49" s="6">
        <v>2.1638222127315485</v>
      </c>
      <c r="AF49" s="8">
        <f>SUM(W49:AE49)</f>
        <v>553.66026641573205</v>
      </c>
      <c r="AG49" s="6">
        <v>2.5479867015355482</v>
      </c>
      <c r="AH49" s="6">
        <v>1.6605761470301619</v>
      </c>
      <c r="AI49" s="6">
        <v>2.0455279391023837</v>
      </c>
      <c r="AJ49" s="6">
        <v>4.0162473636109599</v>
      </c>
      <c r="AK49" s="6">
        <v>166.09846389631764</v>
      </c>
      <c r="AL49" s="6">
        <v>36.270919628091526</v>
      </c>
      <c r="AM49" s="6">
        <v>53.847445871670416</v>
      </c>
      <c r="AN49" s="6">
        <v>0.61969806459917398</v>
      </c>
      <c r="AO49" s="8">
        <f>SUM(AG49:AN49)</f>
        <v>267.1068656119578</v>
      </c>
      <c r="AP49" s="3">
        <v>18.918233973566565</v>
      </c>
      <c r="AQ49" s="12">
        <v>12.421012082081399</v>
      </c>
      <c r="AR49" s="12">
        <v>3.3805990051952359</v>
      </c>
      <c r="AS49" s="12">
        <v>8.221496041838062</v>
      </c>
      <c r="AT49" s="12">
        <v>340.30828623492727</v>
      </c>
      <c r="AU49" s="12">
        <v>197.56264135188934</v>
      </c>
      <c r="AV49" s="12">
        <v>605.94004596805814</v>
      </c>
      <c r="AW49" s="12">
        <v>38.158433975000648</v>
      </c>
      <c r="AX49" s="6">
        <f>SUM(AP49:AW49)</f>
        <v>1224.9107486325565</v>
      </c>
      <c r="AY49" s="12"/>
      <c r="AZ49" s="6">
        <v>12.227095790428677</v>
      </c>
      <c r="BA49" s="6">
        <v>6.9480782949313751</v>
      </c>
      <c r="BB49" s="6">
        <v>34.324445913333392</v>
      </c>
      <c r="BC49" s="6">
        <v>525.89918499271982</v>
      </c>
      <c r="BD49" s="6">
        <v>165.87774334251216</v>
      </c>
      <c r="BE49" s="6">
        <v>692.94385165089398</v>
      </c>
      <c r="BF49" s="6">
        <v>201.41480200934981</v>
      </c>
      <c r="BG49" s="6">
        <v>21.290507976109463</v>
      </c>
      <c r="BH49" s="6">
        <f>SUM(AY49:BG49)</f>
        <v>1660.9257099702786</v>
      </c>
      <c r="BI49" s="3">
        <v>0.2847271395940924</v>
      </c>
      <c r="BJ49" s="3">
        <v>0.49239414940158843</v>
      </c>
      <c r="BK49" s="3">
        <v>3.5990853227556583</v>
      </c>
      <c r="BL49" s="3">
        <v>0.76572154149965377</v>
      </c>
      <c r="BM49" s="3">
        <v>1.536970280124796</v>
      </c>
      <c r="BN49" s="6">
        <f>SUM(BI49:BM49)</f>
        <v>6.6788984333757888</v>
      </c>
      <c r="BO49" s="6">
        <v>0.89610030077004332</v>
      </c>
      <c r="BP49" s="6">
        <v>1.1990540004055865</v>
      </c>
      <c r="BQ49" s="6">
        <v>8.4520500252199824</v>
      </c>
      <c r="BR49" s="6">
        <v>1.8453957831978711</v>
      </c>
      <c r="BS49" s="6">
        <v>3.6338845375005859</v>
      </c>
      <c r="BT49" s="6">
        <v>0.26868227206730055</v>
      </c>
      <c r="BU49" s="6">
        <f t="shared" si="10"/>
        <v>16.295166919161371</v>
      </c>
      <c r="BV49" s="8">
        <f t="shared" si="11"/>
        <v>3986.5435039365725</v>
      </c>
      <c r="BX49" s="3"/>
    </row>
    <row r="50" spans="2:76">
      <c r="B50" s="15"/>
      <c r="C50" s="11">
        <v>18</v>
      </c>
      <c r="D50" s="6">
        <v>8.0033284297176657</v>
      </c>
      <c r="E50" s="6">
        <v>3.3943720958825776</v>
      </c>
      <c r="F50" s="6">
        <v>4.3232203567703804</v>
      </c>
      <c r="G50" s="6">
        <v>12.797368428748417</v>
      </c>
      <c r="H50" s="6">
        <v>117.74660828396685</v>
      </c>
      <c r="I50" s="6">
        <v>27.04268560022237</v>
      </c>
      <c r="J50" s="6">
        <v>77.682215952666482</v>
      </c>
      <c r="K50" s="6">
        <v>8.2290551775721124</v>
      </c>
      <c r="L50" s="8">
        <f>SUM(D50:K50)</f>
        <v>259.21885432554683</v>
      </c>
      <c r="M50" s="6">
        <v>163.94570829683101</v>
      </c>
      <c r="N50" s="6">
        <v>14.615720235254585</v>
      </c>
      <c r="O50" s="6">
        <v>8.1397202141773217</v>
      </c>
      <c r="P50" s="6">
        <v>38.513008953548265</v>
      </c>
      <c r="Q50" s="6">
        <v>123.32861445702571</v>
      </c>
      <c r="R50" s="6">
        <v>160.6328660873113</v>
      </c>
      <c r="S50" s="6">
        <v>41.058362353657095</v>
      </c>
      <c r="T50" s="6">
        <v>148.18637339487844</v>
      </c>
      <c r="U50" s="6">
        <v>32.775166310891564</v>
      </c>
      <c r="V50" s="8">
        <f t="shared" si="9"/>
        <v>731.19554030357517</v>
      </c>
      <c r="W50" s="6">
        <v>23.853452186928052</v>
      </c>
      <c r="X50" s="6">
        <v>7.1605432554301425</v>
      </c>
      <c r="Y50" s="6">
        <v>3.3236536383421988</v>
      </c>
      <c r="Z50" s="6">
        <v>42.009879485973457</v>
      </c>
      <c r="AA50" s="6">
        <v>890.13671342176747</v>
      </c>
      <c r="AB50" s="6">
        <v>211.20774496076683</v>
      </c>
      <c r="AC50" s="6">
        <v>468.11482169940507</v>
      </c>
      <c r="AD50" s="6">
        <v>89.260093270847719</v>
      </c>
      <c r="AE50" s="6">
        <v>3.8654018121872142</v>
      </c>
      <c r="AF50" s="8">
        <f>SUM(W50:AE50)</f>
        <v>1738.9323037316481</v>
      </c>
      <c r="AG50" s="6">
        <v>22.970950999079992</v>
      </c>
      <c r="AH50" s="6">
        <v>9.5785347506256926</v>
      </c>
      <c r="AI50" s="6">
        <v>8.433109614755752</v>
      </c>
      <c r="AJ50" s="6">
        <v>12.586106249786223</v>
      </c>
      <c r="AK50" s="6">
        <v>502.96718488615892</v>
      </c>
      <c r="AL50" s="6">
        <v>96.724237432271991</v>
      </c>
      <c r="AM50" s="6">
        <v>169.83183981788716</v>
      </c>
      <c r="AN50" s="6">
        <v>1.8060975757371072</v>
      </c>
      <c r="AO50" s="8">
        <f>SUM(AG50:AN50)</f>
        <v>824.89806132630292</v>
      </c>
      <c r="AP50" s="3">
        <v>112.76112548694515</v>
      </c>
      <c r="AQ50" s="12">
        <v>44.14308608372378</v>
      </c>
      <c r="AR50" s="12">
        <v>11.031507319260689</v>
      </c>
      <c r="AS50" s="12">
        <v>24.491126979321027</v>
      </c>
      <c r="AT50" s="12">
        <v>784.29763208623774</v>
      </c>
      <c r="AU50" s="12">
        <v>471.37802467852515</v>
      </c>
      <c r="AV50" s="12">
        <v>1673.0964571358231</v>
      </c>
      <c r="AW50" s="12">
        <v>121.68773858348425</v>
      </c>
      <c r="AX50" s="6">
        <f>SUM(AP50:AW50)</f>
        <v>3242.8866983533208</v>
      </c>
      <c r="AY50" s="12"/>
      <c r="AZ50" s="6">
        <v>56.027912820357592</v>
      </c>
      <c r="BA50" s="6">
        <v>20.664536625913374</v>
      </c>
      <c r="BB50" s="6">
        <v>85.923943870734746</v>
      </c>
      <c r="BC50" s="6">
        <v>1463.0033680198094</v>
      </c>
      <c r="BD50" s="6">
        <v>458.78333903998782</v>
      </c>
      <c r="BE50" s="6">
        <v>1889.9014444447128</v>
      </c>
      <c r="BF50" s="6">
        <v>453.38328974772958</v>
      </c>
      <c r="BG50" s="6">
        <v>56.293717241001154</v>
      </c>
      <c r="BH50" s="6">
        <f>SUM(AY50:BG50)</f>
        <v>4483.9815518102469</v>
      </c>
      <c r="BI50" s="3">
        <v>0.5505660969675038</v>
      </c>
      <c r="BJ50" s="3">
        <v>0.68014352204997486</v>
      </c>
      <c r="BK50" s="3">
        <v>6.4238257824522185</v>
      </c>
      <c r="BL50" s="3">
        <v>1.0774368886515076</v>
      </c>
      <c r="BM50" s="3">
        <v>2.6600406076415961</v>
      </c>
      <c r="BN50" s="6">
        <f>SUM(BI50:BM50)</f>
        <v>11.392012897762802</v>
      </c>
      <c r="BO50" s="6">
        <v>2.1741224844139753</v>
      </c>
      <c r="BP50" s="6">
        <v>1.8246320226963411</v>
      </c>
      <c r="BQ50" s="6">
        <v>19.367867642424894</v>
      </c>
      <c r="BR50" s="6">
        <v>4.6413083529430974</v>
      </c>
      <c r="BS50" s="6">
        <v>11.402897645405249</v>
      </c>
      <c r="BT50" s="6">
        <v>0.8495731167275441</v>
      </c>
      <c r="BU50" s="6">
        <f t="shared" si="10"/>
        <v>40.260401264611097</v>
      </c>
      <c r="BV50" s="8">
        <f t="shared" si="11"/>
        <v>11332.765424013014</v>
      </c>
      <c r="BX50" s="3"/>
    </row>
    <row r="51" spans="2:76">
      <c r="B51" s="15"/>
      <c r="C51" s="11">
        <v>19</v>
      </c>
      <c r="D51" s="6">
        <v>5.6479625252085679</v>
      </c>
      <c r="E51" s="6">
        <v>2.761222208670389</v>
      </c>
      <c r="F51" s="6">
        <v>2.0002187173402008</v>
      </c>
      <c r="G51" s="6">
        <v>7.0556145479449022</v>
      </c>
      <c r="H51" s="6">
        <v>58.199633852452045</v>
      </c>
      <c r="I51" s="6">
        <v>14.996566239740979</v>
      </c>
      <c r="J51" s="6">
        <v>26.702188628194467</v>
      </c>
      <c r="K51" s="6">
        <v>3.1159506163918875</v>
      </c>
      <c r="L51" s="8">
        <f>SUM(D51:K51)</f>
        <v>120.47935733594343</v>
      </c>
      <c r="M51" s="6">
        <v>28.393751479115007</v>
      </c>
      <c r="N51" s="6">
        <v>6.5408352628237658</v>
      </c>
      <c r="O51" s="6">
        <v>6.2968023530975961</v>
      </c>
      <c r="P51" s="6">
        <v>27.567868840908414</v>
      </c>
      <c r="Q51" s="6">
        <v>118.85286730468715</v>
      </c>
      <c r="R51" s="6">
        <v>102.15936034342739</v>
      </c>
      <c r="S51" s="6">
        <v>28.933109479509952</v>
      </c>
      <c r="T51" s="6">
        <v>65.84647003141248</v>
      </c>
      <c r="U51" s="6">
        <v>11.157715603292825</v>
      </c>
      <c r="V51" s="8">
        <f t="shared" si="9"/>
        <v>395.74878069827457</v>
      </c>
      <c r="W51" s="6">
        <v>4.0148161636213482</v>
      </c>
      <c r="X51" s="6">
        <v>3.6392640990994676</v>
      </c>
      <c r="Y51" s="6">
        <v>4.8376604564287273</v>
      </c>
      <c r="Z51" s="6">
        <v>48.544568608579382</v>
      </c>
      <c r="AA51" s="6">
        <v>935.97045910899476</v>
      </c>
      <c r="AB51" s="6">
        <v>253.33292383707843</v>
      </c>
      <c r="AC51" s="6">
        <v>420.43530165562777</v>
      </c>
      <c r="AD51" s="6">
        <v>84.055898107924236</v>
      </c>
      <c r="AE51" s="6">
        <v>3.6450785463938096</v>
      </c>
      <c r="AF51" s="8">
        <f>SUM(W51:AE51)</f>
        <v>1758.475970583748</v>
      </c>
      <c r="AG51" s="6">
        <v>8.2532320743720504</v>
      </c>
      <c r="AH51" s="6">
        <v>4.5964020495814308</v>
      </c>
      <c r="AI51" s="6">
        <v>5.5721501328145759</v>
      </c>
      <c r="AJ51" s="6">
        <v>14.36352455783334</v>
      </c>
      <c r="AK51" s="6">
        <v>639.71459089765938</v>
      </c>
      <c r="AL51" s="6">
        <v>162.37339300248516</v>
      </c>
      <c r="AM51" s="6">
        <v>187.19339527117646</v>
      </c>
      <c r="AN51" s="6">
        <v>2.2639588381798421</v>
      </c>
      <c r="AO51" s="8">
        <f>SUM(AG51:AN51)</f>
        <v>1024.3306468241021</v>
      </c>
      <c r="AP51" s="3">
        <v>137.69989566637548</v>
      </c>
      <c r="AQ51" s="12">
        <v>71.239102371267393</v>
      </c>
      <c r="AR51" s="12">
        <v>20.063438732153148</v>
      </c>
      <c r="AS51" s="12">
        <v>54.609128992801715</v>
      </c>
      <c r="AT51" s="12">
        <v>1954.8697923389998</v>
      </c>
      <c r="AU51" s="12">
        <v>1319.8143743622841</v>
      </c>
      <c r="AV51" s="12">
        <v>3262.929532454028</v>
      </c>
      <c r="AW51" s="12">
        <v>208.98948664015833</v>
      </c>
      <c r="AX51" s="6">
        <f>SUM(AP51:AW51)</f>
        <v>7030.2147515580682</v>
      </c>
      <c r="AY51" s="12"/>
      <c r="AZ51" s="6">
        <v>36.574562256599343</v>
      </c>
      <c r="BA51" s="6">
        <v>28.889889591177326</v>
      </c>
      <c r="BB51" s="6">
        <v>154.24999375504157</v>
      </c>
      <c r="BC51" s="6">
        <v>2095.6121340207387</v>
      </c>
      <c r="BD51" s="6">
        <v>804.94100012105253</v>
      </c>
      <c r="BE51" s="6">
        <v>2379.1991323044949</v>
      </c>
      <c r="BF51" s="6">
        <v>582.5044558930141</v>
      </c>
      <c r="BG51" s="6">
        <v>43.611215886507772</v>
      </c>
      <c r="BH51" s="6">
        <f>SUM(AY51:BG51)</f>
        <v>6125.5823838286269</v>
      </c>
      <c r="BI51" s="3">
        <v>1.2526201323038182</v>
      </c>
      <c r="BJ51" s="3">
        <v>1.3017399578015898</v>
      </c>
      <c r="BK51" s="3">
        <v>8.6518939484991808</v>
      </c>
      <c r="BL51" s="3">
        <v>0.97748706240439087</v>
      </c>
      <c r="BM51" s="3">
        <v>1.0402693239441319</v>
      </c>
      <c r="BN51" s="6">
        <f>SUM(BI51:BM51)</f>
        <v>13.224010424953113</v>
      </c>
      <c r="BO51" s="6">
        <v>2.7299040102359378</v>
      </c>
      <c r="BP51" s="6">
        <v>3.3217199843062555</v>
      </c>
      <c r="BQ51" s="6">
        <v>21.765222849015558</v>
      </c>
      <c r="BR51" s="6">
        <v>4.1071382792235953</v>
      </c>
      <c r="BS51" s="6">
        <v>7.3725761847704012</v>
      </c>
      <c r="BT51" s="6">
        <v>0.47516480412117446</v>
      </c>
      <c r="BU51" s="6">
        <f t="shared" si="10"/>
        <v>39.771726111672919</v>
      </c>
      <c r="BV51" s="8">
        <f t="shared" si="11"/>
        <v>16507.82762736539</v>
      </c>
      <c r="BX51" s="3"/>
    </row>
    <row r="52" spans="2:76">
      <c r="B52" s="15"/>
      <c r="C52" s="11">
        <v>20</v>
      </c>
      <c r="D52" s="6">
        <v>3.70878711870296</v>
      </c>
      <c r="E52" s="6">
        <v>2.0298868298269164</v>
      </c>
      <c r="F52" s="6">
        <v>1.0665073723291583</v>
      </c>
      <c r="G52" s="6">
        <v>2.4171858041618544</v>
      </c>
      <c r="H52" s="6">
        <v>23.459401343632731</v>
      </c>
      <c r="I52" s="6">
        <v>7.6128762602044917</v>
      </c>
      <c r="J52" s="6">
        <v>16.575734517766701</v>
      </c>
      <c r="K52" s="6">
        <v>2.379275999930063</v>
      </c>
      <c r="L52" s="8">
        <f>SUM(D52:K52)</f>
        <v>59.249655246554873</v>
      </c>
      <c r="M52" s="6">
        <v>12.081277326976707</v>
      </c>
      <c r="N52" s="6">
        <v>2.410056924402769</v>
      </c>
      <c r="O52" s="6">
        <v>1.5103575359991712</v>
      </c>
      <c r="P52" s="6">
        <v>6.0478182012570034</v>
      </c>
      <c r="Q52" s="6">
        <v>28.404322354264945</v>
      </c>
      <c r="R52" s="6">
        <v>30.965591448795454</v>
      </c>
      <c r="S52" s="6">
        <v>10.678383261963083</v>
      </c>
      <c r="T52" s="6">
        <v>28.851891698213976</v>
      </c>
      <c r="U52" s="6">
        <v>5.8408481590297283</v>
      </c>
      <c r="V52" s="8">
        <f t="shared" si="9"/>
        <v>126.79054691090283</v>
      </c>
      <c r="W52" s="6">
        <v>2.2286142823576647</v>
      </c>
      <c r="X52" s="6">
        <v>1.7227208232631734</v>
      </c>
      <c r="Y52" s="6">
        <v>1.1388800657979659</v>
      </c>
      <c r="Z52" s="6">
        <v>7.76569499407693</v>
      </c>
      <c r="AA52" s="6">
        <v>332.69991609069245</v>
      </c>
      <c r="AB52" s="6">
        <v>136.58127795755379</v>
      </c>
      <c r="AC52" s="6">
        <v>308.35893583487376</v>
      </c>
      <c r="AD52" s="6">
        <v>67.976095147621407</v>
      </c>
      <c r="AE52" s="6">
        <v>2.6197207625339933</v>
      </c>
      <c r="AF52" s="8">
        <f>SUM(W52:AE52)</f>
        <v>861.09185595877113</v>
      </c>
      <c r="AG52" s="6">
        <v>4.2449782366803852</v>
      </c>
      <c r="AH52" s="6">
        <v>2.38964745968104</v>
      </c>
      <c r="AI52" s="6">
        <v>1.3118363985371781</v>
      </c>
      <c r="AJ52" s="6">
        <v>4.2851480426900803</v>
      </c>
      <c r="AK52" s="6">
        <v>301.67467032360878</v>
      </c>
      <c r="AL52" s="6">
        <v>97.1479982065907</v>
      </c>
      <c r="AM52" s="6">
        <v>128.96635339029601</v>
      </c>
      <c r="AN52" s="6">
        <v>2.4063842227396659</v>
      </c>
      <c r="AO52" s="8">
        <f>SUM(AG52:AN52)</f>
        <v>542.42701628082386</v>
      </c>
      <c r="AP52" s="3">
        <v>33.468804760974614</v>
      </c>
      <c r="AQ52" s="12">
        <v>17.648354717287841</v>
      </c>
      <c r="AR52" s="12">
        <v>3.9142938941443677</v>
      </c>
      <c r="AS52" s="12">
        <v>8.7215622658647867</v>
      </c>
      <c r="AT52" s="12">
        <v>467.04421552465897</v>
      </c>
      <c r="AU52" s="12">
        <v>376.82175149622708</v>
      </c>
      <c r="AV52" s="12">
        <v>933.54973033094905</v>
      </c>
      <c r="AW52" s="12">
        <v>58.140660546983661</v>
      </c>
      <c r="AX52" s="6">
        <f>SUM(AP52:AW52)</f>
        <v>1899.3093735370901</v>
      </c>
      <c r="AY52" s="12"/>
      <c r="AZ52" s="6">
        <v>8.9172732813873772</v>
      </c>
      <c r="BA52" s="6">
        <v>4.6606895272360669</v>
      </c>
      <c r="BB52" s="6">
        <v>23.871423949842551</v>
      </c>
      <c r="BC52" s="6">
        <v>543.39438893671183</v>
      </c>
      <c r="BD52" s="6">
        <v>268.60556327290487</v>
      </c>
      <c r="BE52" s="6">
        <v>807.28665788186663</v>
      </c>
      <c r="BF52" s="6">
        <v>245.77335378038038</v>
      </c>
      <c r="BG52" s="6">
        <v>23.116730744745123</v>
      </c>
      <c r="BH52" s="6">
        <f>SUM(AY52:BG52)</f>
        <v>1925.6260813750748</v>
      </c>
      <c r="BI52" s="3">
        <v>1.336083488612742</v>
      </c>
      <c r="BJ52" s="3">
        <v>1.6495689922793622</v>
      </c>
      <c r="BK52" s="3">
        <v>6.5911110805593021</v>
      </c>
      <c r="BL52" s="3">
        <v>1.7045954004925961</v>
      </c>
      <c r="BM52" s="3">
        <v>1.687183856126391</v>
      </c>
      <c r="BN52" s="6">
        <f>SUM(BI52:BM52)</f>
        <v>12.968542818070393</v>
      </c>
      <c r="BO52" s="6">
        <v>0.90467475249564588</v>
      </c>
      <c r="BP52" s="6">
        <v>1.5939605213800243</v>
      </c>
      <c r="BQ52" s="6">
        <v>10.71093798789531</v>
      </c>
      <c r="BR52" s="6">
        <v>2.1887724113877192</v>
      </c>
      <c r="BS52" s="6">
        <v>4.3353099634839785</v>
      </c>
      <c r="BT52" s="6">
        <v>0.39594500732725468</v>
      </c>
      <c r="BU52" s="6">
        <f t="shared" si="10"/>
        <v>20.129600643969933</v>
      </c>
      <c r="BV52" s="8">
        <f t="shared" si="11"/>
        <v>5447.5926727712576</v>
      </c>
      <c r="BX52" s="3"/>
    </row>
    <row r="53" spans="2:76">
      <c r="B53" s="15"/>
      <c r="C53" s="11">
        <v>21</v>
      </c>
      <c r="D53" s="6">
        <v>3.5592726199286213</v>
      </c>
      <c r="E53" s="6">
        <v>1.8120940311718696</v>
      </c>
      <c r="F53" s="6">
        <v>1.0131695977432704</v>
      </c>
      <c r="G53" s="6">
        <v>4.0710997558431163</v>
      </c>
      <c r="H53" s="6">
        <v>31.616147660446103</v>
      </c>
      <c r="I53" s="6">
        <v>8.3384148314628614</v>
      </c>
      <c r="J53" s="6">
        <v>19.136128791102671</v>
      </c>
      <c r="K53" s="6">
        <v>2.8292145396372836</v>
      </c>
      <c r="L53" s="8">
        <f>SUM(D53:K53)</f>
        <v>72.375541827335795</v>
      </c>
      <c r="M53" s="6">
        <v>11.74441775016451</v>
      </c>
      <c r="N53" s="6">
        <v>2.7640086160552282</v>
      </c>
      <c r="O53" s="6">
        <v>2.2008902987670589</v>
      </c>
      <c r="P53" s="6">
        <v>12.194699026272428</v>
      </c>
      <c r="Q53" s="6">
        <v>73.427486308452288</v>
      </c>
      <c r="R53" s="6">
        <v>61.155551026036164</v>
      </c>
      <c r="S53" s="6">
        <v>20.857514119767028</v>
      </c>
      <c r="T53" s="6">
        <v>64.074639358453879</v>
      </c>
      <c r="U53" s="6">
        <v>15.218049678766814</v>
      </c>
      <c r="V53" s="8">
        <f t="shared" si="9"/>
        <v>263.63725618273537</v>
      </c>
      <c r="W53" s="6">
        <v>1.3231007831363522</v>
      </c>
      <c r="X53" s="6">
        <v>0.84160309788425613</v>
      </c>
      <c r="Y53" s="6">
        <v>0.9576432913562688</v>
      </c>
      <c r="Z53" s="6">
        <v>8.4947164869835561</v>
      </c>
      <c r="AA53" s="6">
        <v>243.62249452055693</v>
      </c>
      <c r="AB53" s="6">
        <v>87.387825419079576</v>
      </c>
      <c r="AC53" s="6">
        <v>186.47348583410513</v>
      </c>
      <c r="AD53" s="6">
        <v>41.761669584503657</v>
      </c>
      <c r="AE53" s="6">
        <v>2.221151272774684</v>
      </c>
      <c r="AF53" s="8">
        <f>SUM(W53:AE53)</f>
        <v>573.08369029038056</v>
      </c>
      <c r="AG53" s="6">
        <v>2.6853492321349881</v>
      </c>
      <c r="AH53" s="6">
        <v>0.98667627442212269</v>
      </c>
      <c r="AI53" s="6">
        <v>1.1834056306496126</v>
      </c>
      <c r="AJ53" s="6">
        <v>4.1044979633014904</v>
      </c>
      <c r="AK53" s="6">
        <v>199.36967064804202</v>
      </c>
      <c r="AL53" s="6">
        <v>56.070687747540767</v>
      </c>
      <c r="AM53" s="6">
        <v>80.752163959572144</v>
      </c>
      <c r="AN53" s="6">
        <v>1.1309503853860907</v>
      </c>
      <c r="AO53" s="8">
        <f>SUM(AG53:AN53)</f>
        <v>346.28340184104923</v>
      </c>
      <c r="AP53" s="3">
        <v>30.184607584381776</v>
      </c>
      <c r="AQ53" s="12">
        <v>12.304767181552869</v>
      </c>
      <c r="AR53" s="12">
        <v>3.3815022942958763</v>
      </c>
      <c r="AS53" s="12">
        <v>9.9849891335507195</v>
      </c>
      <c r="AT53" s="12">
        <v>481.37489694282442</v>
      </c>
      <c r="AU53" s="12">
        <v>341.59988249219498</v>
      </c>
      <c r="AV53" s="12">
        <v>1022.5590395265623</v>
      </c>
      <c r="AW53" s="12">
        <v>76.246478452866711</v>
      </c>
      <c r="AX53" s="6">
        <f>SUM(AP53:AW53)</f>
        <v>1977.6361636082297</v>
      </c>
      <c r="AY53" s="12"/>
      <c r="AZ53" s="6">
        <v>7.7657039530915712</v>
      </c>
      <c r="BA53" s="6">
        <v>7.3313430630146579</v>
      </c>
      <c r="BB53" s="6">
        <v>31.592291567022809</v>
      </c>
      <c r="BC53" s="6">
        <v>612.59395491545592</v>
      </c>
      <c r="BD53" s="6">
        <v>272.04244559705762</v>
      </c>
      <c r="BE53" s="6">
        <v>998.87797008686289</v>
      </c>
      <c r="BF53" s="6">
        <v>337.90329559920593</v>
      </c>
      <c r="BG53" s="6">
        <v>31.964587071832369</v>
      </c>
      <c r="BH53" s="6">
        <f>SUM(AY53:BG53)</f>
        <v>2300.0715918535439</v>
      </c>
      <c r="BI53" s="3">
        <v>0.75089882965163135</v>
      </c>
      <c r="BJ53" s="3">
        <v>0.34120773597017029</v>
      </c>
      <c r="BK53" s="3">
        <v>5.054086142463726</v>
      </c>
      <c r="BL53" s="3">
        <v>0.70226466988008707</v>
      </c>
      <c r="BM53" s="3">
        <v>1.1706793931101862</v>
      </c>
      <c r="BN53" s="6">
        <f>SUM(BI53:BM53)</f>
        <v>8.0191367710758001</v>
      </c>
      <c r="BO53" s="6">
        <v>2.0538657827590279</v>
      </c>
      <c r="BP53" s="6">
        <v>3.0666228956278974</v>
      </c>
      <c r="BQ53" s="6">
        <v>21.582106762845832</v>
      </c>
      <c r="BR53" s="6">
        <v>3.9717620766740356</v>
      </c>
      <c r="BS53" s="6">
        <v>8.7078050596376233</v>
      </c>
      <c r="BT53" s="6">
        <v>0.57901206168976405</v>
      </c>
      <c r="BU53" s="6">
        <f t="shared" si="10"/>
        <v>39.961174639234187</v>
      </c>
      <c r="BV53" s="8">
        <f t="shared" si="11"/>
        <v>5581.0679570135844</v>
      </c>
      <c r="BX53" s="3"/>
    </row>
    <row r="54" spans="2:76">
      <c r="B54" s="15"/>
      <c r="C54" s="11">
        <v>22</v>
      </c>
      <c r="D54" s="6">
        <v>3.110011324630209</v>
      </c>
      <c r="E54" s="6">
        <v>1.9487712084390243</v>
      </c>
      <c r="F54" s="6">
        <v>1.1603902590802966</v>
      </c>
      <c r="G54" s="6">
        <v>2.7753420956646271</v>
      </c>
      <c r="H54" s="6">
        <v>19.909146589053847</v>
      </c>
      <c r="I54" s="6">
        <v>4.9175332395500897</v>
      </c>
      <c r="J54" s="6">
        <v>10.47219211722931</v>
      </c>
      <c r="K54" s="6">
        <v>1.7355676528767614</v>
      </c>
      <c r="L54" s="8">
        <f>SUM(D54:K54)</f>
        <v>46.028954486524164</v>
      </c>
      <c r="M54" s="6">
        <v>7.8105275879487763</v>
      </c>
      <c r="N54" s="6">
        <v>1.6504512512554599</v>
      </c>
      <c r="O54" s="6">
        <v>2.1623572878322861</v>
      </c>
      <c r="P54" s="6">
        <v>7.7201464532928714</v>
      </c>
      <c r="Q54" s="6">
        <v>33.867081374481529</v>
      </c>
      <c r="R54" s="6">
        <v>29.054725500571735</v>
      </c>
      <c r="S54" s="6">
        <v>8.5074482588757157</v>
      </c>
      <c r="T54" s="6">
        <v>26.08665043260784</v>
      </c>
      <c r="U54" s="6">
        <v>6.998276436874308</v>
      </c>
      <c r="V54" s="8">
        <f t="shared" si="9"/>
        <v>123.85766458374052</v>
      </c>
      <c r="W54" s="6">
        <v>0.99824267303369973</v>
      </c>
      <c r="X54" s="6">
        <v>1.1771955304770514</v>
      </c>
      <c r="Y54" s="6">
        <v>1.3883576652780525</v>
      </c>
      <c r="Z54" s="6">
        <v>10.86026217293314</v>
      </c>
      <c r="AA54" s="6">
        <v>250.5377666342211</v>
      </c>
      <c r="AB54" s="6">
        <v>89.424078357837956</v>
      </c>
      <c r="AC54" s="6">
        <v>174.6037803758972</v>
      </c>
      <c r="AD54" s="6">
        <v>48.206570899054</v>
      </c>
      <c r="AE54" s="6">
        <v>2.5616447546159655</v>
      </c>
      <c r="AF54" s="8">
        <f>SUM(W54:AE54)</f>
        <v>579.75789906334819</v>
      </c>
      <c r="AG54" s="6">
        <v>1.762152141706576</v>
      </c>
      <c r="AH54" s="6">
        <v>1.2150847637209414</v>
      </c>
      <c r="AI54" s="6">
        <v>2.0442601546218961</v>
      </c>
      <c r="AJ54" s="6">
        <v>4.5803620559522367</v>
      </c>
      <c r="AK54" s="6">
        <v>174.04969415817132</v>
      </c>
      <c r="AL54" s="6">
        <v>46.673785010311342</v>
      </c>
      <c r="AM54" s="6">
        <v>66.336082833968746</v>
      </c>
      <c r="AN54" s="6">
        <v>0.82113367519119895</v>
      </c>
      <c r="AO54" s="8">
        <f>SUM(AG54:AN54)</f>
        <v>297.48255479364428</v>
      </c>
      <c r="AP54" s="3">
        <v>22.962413110297828</v>
      </c>
      <c r="AQ54" s="12">
        <v>12.544147742868876</v>
      </c>
      <c r="AR54" s="12">
        <v>4.4098701612813738</v>
      </c>
      <c r="AS54" s="12">
        <v>11.973325685531165</v>
      </c>
      <c r="AT54" s="12">
        <v>451.52467817456767</v>
      </c>
      <c r="AU54" s="12">
        <v>321.95281372400632</v>
      </c>
      <c r="AV54" s="12">
        <v>889.28595895313163</v>
      </c>
      <c r="AW54" s="12">
        <v>75.830042926650577</v>
      </c>
      <c r="AX54" s="6">
        <f>SUM(AP54:AW54)</f>
        <v>1790.4832504783353</v>
      </c>
      <c r="AY54" s="12"/>
      <c r="AZ54" s="6">
        <v>8.3573868693111937</v>
      </c>
      <c r="BA54" s="6">
        <v>6.6446604245838854</v>
      </c>
      <c r="BB54" s="6">
        <v>29.410570908682526</v>
      </c>
      <c r="BC54" s="6">
        <v>499.13690497954292</v>
      </c>
      <c r="BD54" s="6">
        <v>214.69697161808014</v>
      </c>
      <c r="BE54" s="6">
        <v>697.30525407212508</v>
      </c>
      <c r="BF54" s="6">
        <v>260.1344848690008</v>
      </c>
      <c r="BG54" s="6">
        <v>28.560397428195994</v>
      </c>
      <c r="BH54" s="6">
        <f>SUM(AY54:BG54)</f>
        <v>1744.2466311695225</v>
      </c>
      <c r="BI54" s="3">
        <v>0.55499269159064646</v>
      </c>
      <c r="BJ54" s="3">
        <v>0.68121505428746743</v>
      </c>
      <c r="BK54" s="3">
        <v>3.2478712411396056</v>
      </c>
      <c r="BL54" s="3">
        <v>0.67080898566620117</v>
      </c>
      <c r="BM54" s="3">
        <v>0.69473102327468328</v>
      </c>
      <c r="BN54" s="6">
        <f>SUM(BI54:BM54)</f>
        <v>5.849618995958604</v>
      </c>
      <c r="BO54" s="6">
        <v>1.0234972461898895</v>
      </c>
      <c r="BP54" s="6">
        <v>1.6745389995903022</v>
      </c>
      <c r="BQ54" s="6">
        <v>11.470202457926403</v>
      </c>
      <c r="BR54" s="6">
        <v>2.7318432911245836</v>
      </c>
      <c r="BS54" s="6">
        <v>5.8773105178765173</v>
      </c>
      <c r="BT54" s="6">
        <v>0.45249469979332618</v>
      </c>
      <c r="BU54" s="6">
        <f t="shared" si="10"/>
        <v>23.229887212501023</v>
      </c>
      <c r="BV54" s="8">
        <f t="shared" si="11"/>
        <v>4610.9364607835751</v>
      </c>
      <c r="BX54" s="3"/>
    </row>
    <row r="55" spans="2:76">
      <c r="B55" s="15"/>
      <c r="C55" s="11">
        <v>23</v>
      </c>
      <c r="D55" s="6">
        <v>1.9099901690522798</v>
      </c>
      <c r="E55" s="6">
        <v>1.0226207370905502</v>
      </c>
      <c r="F55" s="6">
        <v>0.72294823912466577</v>
      </c>
      <c r="G55" s="6">
        <v>2.2936794334130681</v>
      </c>
      <c r="H55" s="6">
        <v>18.936969677610087</v>
      </c>
      <c r="I55" s="6">
        <v>4.6862576353090617</v>
      </c>
      <c r="J55" s="6">
        <v>12.562775680451242</v>
      </c>
      <c r="K55" s="6">
        <v>1.7496127574789448</v>
      </c>
      <c r="L55" s="8">
        <f>SUM(D55:K55)</f>
        <v>43.884854329529901</v>
      </c>
      <c r="M55" s="6">
        <v>15.357967466177303</v>
      </c>
      <c r="N55" s="6">
        <v>3.402991987912225</v>
      </c>
      <c r="O55" s="6">
        <v>2.3134637754617176</v>
      </c>
      <c r="P55" s="6">
        <v>9.3603489716852071</v>
      </c>
      <c r="Q55" s="6">
        <v>35.292699564450636</v>
      </c>
      <c r="R55" s="6">
        <v>41.633668884852533</v>
      </c>
      <c r="S55" s="6">
        <v>11.506483374191513</v>
      </c>
      <c r="T55" s="6">
        <v>43.812057536124442</v>
      </c>
      <c r="U55" s="6">
        <v>9.9733964052841078</v>
      </c>
      <c r="V55" s="8">
        <f t="shared" si="9"/>
        <v>172.6530779661397</v>
      </c>
      <c r="W55" s="6">
        <v>1.8709909932167705</v>
      </c>
      <c r="X55" s="6">
        <v>2.2658082778521922</v>
      </c>
      <c r="Y55" s="6">
        <v>0.87065164437488529</v>
      </c>
      <c r="Z55" s="6">
        <v>10.719576743673304</v>
      </c>
      <c r="AA55" s="6">
        <v>258.87984459901907</v>
      </c>
      <c r="AB55" s="6">
        <v>64.351213552944031</v>
      </c>
      <c r="AC55" s="6">
        <v>168.03516908345597</v>
      </c>
      <c r="AD55" s="6">
        <v>33.69196448455812</v>
      </c>
      <c r="AE55" s="6">
        <v>1.2166479590915791</v>
      </c>
      <c r="AF55" s="8">
        <f>SUM(W55:AE55)</f>
        <v>541.90186733818587</v>
      </c>
      <c r="AG55" s="6">
        <v>2.0960833626391331</v>
      </c>
      <c r="AH55" s="6">
        <v>0.69624387076978211</v>
      </c>
      <c r="AI55" s="6">
        <v>0.80390040670676355</v>
      </c>
      <c r="AJ55" s="6">
        <v>2.1642593818958868</v>
      </c>
      <c r="AK55" s="6">
        <v>110.02698296229147</v>
      </c>
      <c r="AL55" s="6">
        <v>23.365067871100678</v>
      </c>
      <c r="AM55" s="6">
        <v>36.214107672619072</v>
      </c>
      <c r="AN55" s="6">
        <v>0.5348365089043231</v>
      </c>
      <c r="AO55" s="8">
        <f>SUM(AG55:AN55)</f>
        <v>175.90148203692709</v>
      </c>
      <c r="AP55" s="3">
        <v>30.955103342597418</v>
      </c>
      <c r="AQ55" s="12">
        <v>13.73505317096572</v>
      </c>
      <c r="AR55" s="12">
        <v>3.451765897368305</v>
      </c>
      <c r="AS55" s="12">
        <v>8.8626989185403282</v>
      </c>
      <c r="AT55" s="12">
        <v>420.5499749875035</v>
      </c>
      <c r="AU55" s="12">
        <v>220.71606979528056</v>
      </c>
      <c r="AV55" s="12">
        <v>757.06744606870541</v>
      </c>
      <c r="AW55" s="12">
        <v>43.873391828312329</v>
      </c>
      <c r="AX55" s="6">
        <f>SUM(AP55:AW55)</f>
        <v>1499.2115040092735</v>
      </c>
      <c r="AY55" s="12"/>
      <c r="AZ55" s="6">
        <v>16.696597492553181</v>
      </c>
      <c r="BA55" s="6">
        <v>8.1640282922808467</v>
      </c>
      <c r="BB55" s="6">
        <v>36.708423564612389</v>
      </c>
      <c r="BC55" s="6">
        <v>643.68039946339775</v>
      </c>
      <c r="BD55" s="6">
        <v>220.0666806169942</v>
      </c>
      <c r="BE55" s="6">
        <v>994.28324543336055</v>
      </c>
      <c r="BF55" s="6">
        <v>257.99610042893204</v>
      </c>
      <c r="BG55" s="6">
        <v>25.332508205061689</v>
      </c>
      <c r="BH55" s="6">
        <f>SUM(AY55:BG55)</f>
        <v>2202.9279834971931</v>
      </c>
      <c r="BI55" s="3">
        <v>0.40954700302671065</v>
      </c>
      <c r="BJ55" s="3">
        <v>0.16518154973469262</v>
      </c>
      <c r="BK55" s="3">
        <v>2.6389187858702443</v>
      </c>
      <c r="BL55" s="3">
        <v>0.42521132257414429</v>
      </c>
      <c r="BM55" s="3">
        <v>0.45274946029965185</v>
      </c>
      <c r="BN55" s="6">
        <f>SUM(BI55:BM55)</f>
        <v>4.0916081215054438</v>
      </c>
      <c r="BO55" s="6">
        <v>1.2756601879170348</v>
      </c>
      <c r="BP55" s="6">
        <v>1.5029945275112122</v>
      </c>
      <c r="BQ55" s="6">
        <v>11.175644235685944</v>
      </c>
      <c r="BR55" s="6">
        <v>1.9110609536270677</v>
      </c>
      <c r="BS55" s="6">
        <v>4.282847348006606</v>
      </c>
      <c r="BT55" s="6">
        <v>0.31890237754138256</v>
      </c>
      <c r="BU55" s="6">
        <f t="shared" si="10"/>
        <v>20.467109630289244</v>
      </c>
      <c r="BV55" s="8">
        <f t="shared" si="11"/>
        <v>4661.039486929044</v>
      </c>
      <c r="BX55" s="3"/>
    </row>
    <row r="56" spans="2:76">
      <c r="B56" s="15"/>
      <c r="C56" s="11">
        <v>24</v>
      </c>
      <c r="D56" s="6">
        <v>2.8491292035363416</v>
      </c>
      <c r="E56" s="6">
        <v>1.4815975562484986</v>
      </c>
      <c r="F56" s="6">
        <v>0.64175772669819542</v>
      </c>
      <c r="G56" s="6">
        <v>1.9223907187807494</v>
      </c>
      <c r="H56" s="6">
        <v>21.404997793306624</v>
      </c>
      <c r="I56" s="6">
        <v>8.0489639317766422</v>
      </c>
      <c r="J56" s="6">
        <v>16.964647083322483</v>
      </c>
      <c r="K56" s="6">
        <v>3.3510143525289333</v>
      </c>
      <c r="L56" s="8">
        <f>SUM(D56:K56)</f>
        <v>56.664498366198465</v>
      </c>
      <c r="M56" s="6">
        <v>5.4491163030143168</v>
      </c>
      <c r="N56" s="6">
        <v>2.0733024993409579</v>
      </c>
      <c r="O56" s="6">
        <v>0.96834829232742647</v>
      </c>
      <c r="P56" s="6">
        <v>4.4671416736459708</v>
      </c>
      <c r="Q56" s="6">
        <v>29.319644702661623</v>
      </c>
      <c r="R56" s="6">
        <v>25.429672984621448</v>
      </c>
      <c r="S56" s="6">
        <v>8.9738574885011371</v>
      </c>
      <c r="T56" s="6">
        <v>26.951814689073842</v>
      </c>
      <c r="U56" s="6">
        <v>7.067193354377185</v>
      </c>
      <c r="V56" s="8">
        <f t="shared" si="9"/>
        <v>110.70009198756391</v>
      </c>
      <c r="W56" s="6">
        <v>1.3162990082718764</v>
      </c>
      <c r="X56" s="6">
        <v>1.6679834539983518</v>
      </c>
      <c r="Y56" s="6">
        <v>0.66064038016910942</v>
      </c>
      <c r="Z56" s="6">
        <v>7.2804949259976413</v>
      </c>
      <c r="AA56" s="6">
        <v>224.07686863134117</v>
      </c>
      <c r="AB56" s="6">
        <v>88.157240641984828</v>
      </c>
      <c r="AC56" s="6">
        <v>215.36784537947207</v>
      </c>
      <c r="AD56" s="6">
        <v>54.040922576540972</v>
      </c>
      <c r="AE56" s="6">
        <v>3.4914830949150915</v>
      </c>
      <c r="AF56" s="8">
        <f>SUM(W56:AE56)</f>
        <v>596.0597780926912</v>
      </c>
      <c r="AG56" s="6">
        <v>2.4878283805670303</v>
      </c>
      <c r="AH56" s="6">
        <v>1.315019417729236</v>
      </c>
      <c r="AI56" s="6">
        <v>1.3570981048276183</v>
      </c>
      <c r="AJ56" s="6">
        <v>2.8404765231247113</v>
      </c>
      <c r="AK56" s="6">
        <v>203.36846514920586</v>
      </c>
      <c r="AL56" s="6">
        <v>54.613490222078759</v>
      </c>
      <c r="AM56" s="6">
        <v>103.78376701935181</v>
      </c>
      <c r="AN56" s="6">
        <v>1.1948311535921532</v>
      </c>
      <c r="AO56" s="8">
        <f>SUM(AG56:AN56)</f>
        <v>370.96097597047714</v>
      </c>
      <c r="AP56" s="3">
        <v>17.030282945939984</v>
      </c>
      <c r="AQ56" s="12">
        <v>11.379782517999679</v>
      </c>
      <c r="AR56" s="12">
        <v>1.7848978839184129</v>
      </c>
      <c r="AS56" s="12">
        <v>5.7054305753101584</v>
      </c>
      <c r="AT56" s="12">
        <v>334.67262668509045</v>
      </c>
      <c r="AU56" s="12">
        <v>267.85960871283669</v>
      </c>
      <c r="AV56" s="12">
        <v>792.60508197493675</v>
      </c>
      <c r="AW56" s="12">
        <v>59.562722760807134</v>
      </c>
      <c r="AX56" s="6">
        <f>SUM(AP56:AW56)</f>
        <v>1490.6004340568395</v>
      </c>
      <c r="AY56" s="12"/>
      <c r="AZ56" s="6">
        <v>6.7751899960025712</v>
      </c>
      <c r="BA56" s="6">
        <v>5.8739799573342273</v>
      </c>
      <c r="BB56" s="6">
        <v>21.745584812064877</v>
      </c>
      <c r="BC56" s="6">
        <v>439.87631990183769</v>
      </c>
      <c r="BD56" s="6">
        <v>196.14196895410552</v>
      </c>
      <c r="BE56" s="6">
        <v>725.2795691512141</v>
      </c>
      <c r="BF56" s="6">
        <v>210.4076195179077</v>
      </c>
      <c r="BG56" s="6">
        <v>25.923718103317615</v>
      </c>
      <c r="BH56" s="6">
        <f>SUM(AY56:BG56)</f>
        <v>1632.0239503937844</v>
      </c>
      <c r="BI56" s="3">
        <v>0.59036992926189014</v>
      </c>
      <c r="BJ56" s="3">
        <v>0.63471673827398911</v>
      </c>
      <c r="BK56" s="3">
        <v>5.7313485836667004</v>
      </c>
      <c r="BL56" s="3">
        <v>1.0368049660818031</v>
      </c>
      <c r="BM56" s="3">
        <v>1.4806426520966667</v>
      </c>
      <c r="BN56" s="6">
        <f>SUM(BI56:BM56)</f>
        <v>9.4738828693810486</v>
      </c>
      <c r="BO56" s="6">
        <v>0.72091440307683619</v>
      </c>
      <c r="BP56" s="6">
        <v>1.1312764810819547</v>
      </c>
      <c r="BQ56" s="6">
        <v>10.248661167698101</v>
      </c>
      <c r="BR56" s="6">
        <v>2.3457129181601957</v>
      </c>
      <c r="BS56" s="6">
        <v>4.7067467378626171</v>
      </c>
      <c r="BT56" s="6">
        <v>0.43376727008088273</v>
      </c>
      <c r="BU56" s="6">
        <f t="shared" si="10"/>
        <v>19.587078977960587</v>
      </c>
      <c r="BV56" s="8">
        <f t="shared" si="11"/>
        <v>4286.070690714897</v>
      </c>
      <c r="BX56" s="3"/>
    </row>
    <row r="57" spans="2:76">
      <c r="B57" s="15"/>
      <c r="C57" s="11">
        <v>26</v>
      </c>
      <c r="D57" s="6">
        <v>2.9357940696180362</v>
      </c>
      <c r="E57" s="6">
        <v>1.7702077565141747</v>
      </c>
      <c r="F57" s="6">
        <v>1.5991459985466545</v>
      </c>
      <c r="G57" s="6">
        <v>4.463494702756952</v>
      </c>
      <c r="H57" s="6">
        <v>48.68942138774068</v>
      </c>
      <c r="I57" s="6">
        <v>13.513702087689225</v>
      </c>
      <c r="J57" s="6">
        <v>27.163508473209763</v>
      </c>
      <c r="K57" s="6">
        <v>3.3499866654418455</v>
      </c>
      <c r="L57" s="8">
        <f>SUM(D57:K57)</f>
        <v>103.48526114151733</v>
      </c>
      <c r="M57" s="6">
        <v>11.095320522425343</v>
      </c>
      <c r="N57" s="6">
        <v>2.6255539383288711</v>
      </c>
      <c r="O57" s="6">
        <v>1.84444637589564</v>
      </c>
      <c r="P57" s="6">
        <v>9.5872180940626706</v>
      </c>
      <c r="Q57" s="6">
        <v>55.196637842440829</v>
      </c>
      <c r="R57" s="6">
        <v>53.386617229394041</v>
      </c>
      <c r="S57" s="6">
        <v>17.497386178267647</v>
      </c>
      <c r="T57" s="6">
        <v>48.412189710306649</v>
      </c>
      <c r="U57" s="6">
        <v>10.080012950458526</v>
      </c>
      <c r="V57" s="8">
        <f t="shared" si="9"/>
        <v>209.7253828415802</v>
      </c>
      <c r="W57" s="6">
        <v>1.8848731890590997</v>
      </c>
      <c r="X57" s="6">
        <v>2.8201350467171018</v>
      </c>
      <c r="Y57" s="6">
        <v>1.5744780435694321</v>
      </c>
      <c r="Z57" s="6">
        <v>20.630951777072884</v>
      </c>
      <c r="AA57" s="6">
        <v>632.84961998418169</v>
      </c>
      <c r="AB57" s="6">
        <v>195.30109666419992</v>
      </c>
      <c r="AC57" s="6">
        <v>428.0846361484891</v>
      </c>
      <c r="AD57" s="6">
        <v>82.213840158318291</v>
      </c>
      <c r="AE57" s="6">
        <v>2.5002136291494543</v>
      </c>
      <c r="AF57" s="8">
        <f>SUM(W57:AE57)</f>
        <v>1367.859844640757</v>
      </c>
      <c r="AG57" s="6">
        <v>2.4429775617991649</v>
      </c>
      <c r="AH57" s="6">
        <v>1.7053632387849811</v>
      </c>
      <c r="AI57" s="6">
        <v>2.3195103905116867</v>
      </c>
      <c r="AJ57" s="6">
        <v>4.5577816393417692</v>
      </c>
      <c r="AK57" s="6">
        <v>314.78622223041805</v>
      </c>
      <c r="AL57" s="6">
        <v>83.728084481701245</v>
      </c>
      <c r="AM57" s="6">
        <v>127.96152231939361</v>
      </c>
      <c r="AN57" s="6">
        <v>1.3893284841276845</v>
      </c>
      <c r="AO57" s="8">
        <f>SUM(AG57:AN57)</f>
        <v>538.89079034607812</v>
      </c>
      <c r="AP57" s="3">
        <v>33.04016854068977</v>
      </c>
      <c r="AQ57" s="12">
        <v>16.430911766942089</v>
      </c>
      <c r="AR57" s="12">
        <v>4.9870088055869326</v>
      </c>
      <c r="AS57" s="12">
        <v>12.8694792223699</v>
      </c>
      <c r="AT57" s="12">
        <v>694.2356262639679</v>
      </c>
      <c r="AU57" s="12">
        <v>476.2827981470798</v>
      </c>
      <c r="AV57" s="12">
        <v>1379.3133575010334</v>
      </c>
      <c r="AW57" s="12">
        <v>110.72804320784677</v>
      </c>
      <c r="AX57" s="6">
        <f>SUM(AP57:AW57)</f>
        <v>2727.8873934555168</v>
      </c>
      <c r="AY57" s="12"/>
      <c r="AZ57" s="6">
        <v>16.069998420950199</v>
      </c>
      <c r="BA57" s="6">
        <v>8.5873835638120664</v>
      </c>
      <c r="BB57" s="6">
        <v>41.444404703628962</v>
      </c>
      <c r="BC57" s="6">
        <v>856.95028265101212</v>
      </c>
      <c r="BD57" s="6">
        <v>380.1187582820321</v>
      </c>
      <c r="BE57" s="6">
        <v>1261.2364623124574</v>
      </c>
      <c r="BF57" s="6">
        <v>358.86961397485578</v>
      </c>
      <c r="BG57" s="6">
        <v>36.267504038899432</v>
      </c>
      <c r="BH57" s="6">
        <f>SUM(AY57:BG57)</f>
        <v>2959.5444079476479</v>
      </c>
      <c r="BI57" s="3">
        <v>1.1949077869701967</v>
      </c>
      <c r="BJ57" s="3">
        <v>1.3483152287060285</v>
      </c>
      <c r="BK57" s="3">
        <v>7.6971322726463436</v>
      </c>
      <c r="BL57" s="3">
        <v>1.0203781832696202</v>
      </c>
      <c r="BM57" s="3">
        <v>0.9234094595108876</v>
      </c>
      <c r="BN57" s="6">
        <f>SUM(BI57:BM57)</f>
        <v>12.184142931103077</v>
      </c>
      <c r="BO57" s="6">
        <v>2.3245356077154931</v>
      </c>
      <c r="BP57" s="6">
        <v>2.9147730160010696</v>
      </c>
      <c r="BQ57" s="6">
        <v>17.90205215275445</v>
      </c>
      <c r="BR57" s="6">
        <v>3.3810130100116416</v>
      </c>
      <c r="BS57" s="6">
        <v>6.1892113601595966</v>
      </c>
      <c r="BT57" s="6">
        <v>0.37064416055157418</v>
      </c>
      <c r="BU57" s="6">
        <f t="shared" si="10"/>
        <v>33.08222930719382</v>
      </c>
      <c r="BV57" s="8">
        <f t="shared" si="11"/>
        <v>7952.659452611394</v>
      </c>
      <c r="BX57" s="3"/>
    </row>
    <row r="58" spans="2:76">
      <c r="B58" s="15"/>
      <c r="C58" s="11">
        <v>27</v>
      </c>
      <c r="D58" s="6">
        <v>1.7791863367303666</v>
      </c>
      <c r="E58" s="6">
        <v>0.87067281290873821</v>
      </c>
      <c r="F58" s="6">
        <v>0.33776080466577069</v>
      </c>
      <c r="G58" s="6">
        <v>1.3842156786566051</v>
      </c>
      <c r="H58" s="6">
        <v>10.162846484513517</v>
      </c>
      <c r="I58" s="6">
        <v>2.6655631419389918</v>
      </c>
      <c r="J58" s="6">
        <v>6.6442350171019608</v>
      </c>
      <c r="K58" s="6">
        <v>1.3132225306093555</v>
      </c>
      <c r="L58" s="8">
        <f>SUM(D58:K58)</f>
        <v>25.157702807125307</v>
      </c>
      <c r="M58" s="6">
        <v>6.2937485957662762</v>
      </c>
      <c r="N58" s="6">
        <v>1.5948594950609785</v>
      </c>
      <c r="O58" s="6">
        <v>1.5277535863035434</v>
      </c>
      <c r="P58" s="6">
        <v>6.1641815358105401</v>
      </c>
      <c r="Q58" s="6">
        <v>31.383774574095899</v>
      </c>
      <c r="R58" s="6">
        <v>30.711743117655033</v>
      </c>
      <c r="S58" s="6">
        <v>11.534865527103014</v>
      </c>
      <c r="T58" s="6">
        <v>35.024877602203986</v>
      </c>
      <c r="U58" s="6">
        <v>10.701017216754137</v>
      </c>
      <c r="V58" s="8">
        <f t="shared" si="9"/>
        <v>134.93682125075338</v>
      </c>
      <c r="W58" s="6">
        <v>1.8129910490961021</v>
      </c>
      <c r="X58" s="6">
        <v>3.1325109704452587</v>
      </c>
      <c r="Y58" s="6">
        <v>1.4010113982110821</v>
      </c>
      <c r="Z58" s="6">
        <v>8.8966755239372315</v>
      </c>
      <c r="AA58" s="6">
        <v>264.88571909962883</v>
      </c>
      <c r="AB58" s="6">
        <v>113.93865049777004</v>
      </c>
      <c r="AC58" s="6">
        <v>246.1884476298263</v>
      </c>
      <c r="AD58" s="6">
        <v>73.76731063127113</v>
      </c>
      <c r="AE58" s="6">
        <v>3.6380068631829738</v>
      </c>
      <c r="AF58" s="8">
        <f>SUM(W58:AE58)</f>
        <v>717.66132366336899</v>
      </c>
      <c r="AG58" s="6">
        <v>1.0877497887759227</v>
      </c>
      <c r="AH58" s="6">
        <v>0.59150474927651042</v>
      </c>
      <c r="AI58" s="6">
        <v>0.46212971647129653</v>
      </c>
      <c r="AJ58" s="6">
        <v>1.3400227396791524</v>
      </c>
      <c r="AK58" s="6">
        <v>73.564859173109653</v>
      </c>
      <c r="AL58" s="6">
        <v>22.505683344269915</v>
      </c>
      <c r="AM58" s="6">
        <v>35.838624818679556</v>
      </c>
      <c r="AN58" s="6">
        <v>0.75350864483770363</v>
      </c>
      <c r="AO58" s="8">
        <f>SUM(AG58:AN58)</f>
        <v>136.14408297509971</v>
      </c>
      <c r="AP58" s="3">
        <v>49.396739129893369</v>
      </c>
      <c r="AQ58" s="12">
        <v>18.119206212856895</v>
      </c>
      <c r="AR58" s="12">
        <v>4.8126673213670133</v>
      </c>
      <c r="AS58" s="12">
        <v>13.405337666021842</v>
      </c>
      <c r="AT58" s="12">
        <v>633.04494469310964</v>
      </c>
      <c r="AU58" s="12">
        <v>559.16954480748927</v>
      </c>
      <c r="AV58" s="12">
        <v>1560.7778429337327</v>
      </c>
      <c r="AW58" s="12">
        <v>131.11743679027612</v>
      </c>
      <c r="AX58" s="6">
        <f>SUM(AP58:AW58)</f>
        <v>2969.8437195547472</v>
      </c>
      <c r="AY58" s="12"/>
      <c r="AZ58" s="6">
        <v>14.079511103087755</v>
      </c>
      <c r="BA58" s="6">
        <v>13.755920703547581</v>
      </c>
      <c r="BB58" s="6">
        <v>58.324793945623284</v>
      </c>
      <c r="BC58" s="6">
        <v>924.8838414235521</v>
      </c>
      <c r="BD58" s="6">
        <v>452.82649594496672</v>
      </c>
      <c r="BE58" s="6">
        <v>1621.5145239405256</v>
      </c>
      <c r="BF58" s="6">
        <v>600.53955293080389</v>
      </c>
      <c r="BG58" s="6">
        <v>57.757912084790675</v>
      </c>
      <c r="BH58" s="6">
        <f>SUM(AY58:BG58)</f>
        <v>3743.682552076898</v>
      </c>
      <c r="BI58" s="3">
        <v>0.32606107186417349</v>
      </c>
      <c r="BJ58" s="3">
        <v>0.23936832925396609</v>
      </c>
      <c r="BK58" s="3">
        <v>2.2747369588369226</v>
      </c>
      <c r="BL58" s="3">
        <v>0.37920627665995699</v>
      </c>
      <c r="BM58" s="3">
        <v>0.57348393816915499</v>
      </c>
      <c r="BN58" s="6">
        <f>SUM(BI58:BM58)</f>
        <v>3.7928565747841745</v>
      </c>
      <c r="BO58" s="6">
        <v>1.1426304227037953</v>
      </c>
      <c r="BP58" s="6">
        <v>1.9707609531411838</v>
      </c>
      <c r="BQ58" s="6">
        <v>12.630049666829077</v>
      </c>
      <c r="BR58" s="6">
        <v>3.0780924945312451</v>
      </c>
      <c r="BS58" s="6">
        <v>6.3083579284345657</v>
      </c>
      <c r="BT58" s="6">
        <v>0.5697249150353465</v>
      </c>
      <c r="BU58" s="6">
        <f t="shared" si="10"/>
        <v>25.699616380675213</v>
      </c>
      <c r="BV58" s="8">
        <f t="shared" si="11"/>
        <v>7756.9186752834521</v>
      </c>
      <c r="BX58" s="3"/>
    </row>
    <row r="59" spans="2:76">
      <c r="B59" s="15"/>
      <c r="C59" s="11">
        <v>28</v>
      </c>
      <c r="D59" s="6">
        <v>2.6222425427132676</v>
      </c>
      <c r="E59" s="6">
        <v>1.7023589603197349</v>
      </c>
      <c r="F59" s="6">
        <v>0.80631236666225892</v>
      </c>
      <c r="G59" s="6">
        <v>2.2860882531879554</v>
      </c>
      <c r="H59" s="6">
        <v>16.555081050135552</v>
      </c>
      <c r="I59" s="6">
        <v>4.8338218220082982</v>
      </c>
      <c r="J59" s="6">
        <v>8.3180130583194387</v>
      </c>
      <c r="K59" s="6">
        <v>1.4814804442860094</v>
      </c>
      <c r="L59" s="8">
        <f>SUM(D59:K59)</f>
        <v>38.605398497632507</v>
      </c>
      <c r="M59" s="6">
        <v>9.7206023835158959</v>
      </c>
      <c r="N59" s="6">
        <v>1.7431236988346228</v>
      </c>
      <c r="O59" s="6">
        <v>1.8364764652227665</v>
      </c>
      <c r="P59" s="6">
        <v>7.6871971578081864</v>
      </c>
      <c r="Q59" s="6">
        <v>33.498467566092778</v>
      </c>
      <c r="R59" s="6">
        <v>32.534304640760375</v>
      </c>
      <c r="S59" s="6">
        <v>10.18525917145921</v>
      </c>
      <c r="T59" s="6">
        <v>27.519690368115835</v>
      </c>
      <c r="U59" s="6">
        <v>6.700059414388825</v>
      </c>
      <c r="V59" s="8">
        <f t="shared" si="9"/>
        <v>131.42518086619847</v>
      </c>
      <c r="W59" s="6">
        <v>4.2278681064219876</v>
      </c>
      <c r="X59" s="6">
        <v>2.4429598827809529</v>
      </c>
      <c r="Y59" s="6">
        <v>1.8536133787723768</v>
      </c>
      <c r="Z59" s="6">
        <v>16.937278513557832</v>
      </c>
      <c r="AA59" s="6">
        <v>489.14196698588739</v>
      </c>
      <c r="AB59" s="6">
        <v>186.04163328590241</v>
      </c>
      <c r="AC59" s="6">
        <v>340.20518955666563</v>
      </c>
      <c r="AD59" s="6">
        <v>76.286493917086915</v>
      </c>
      <c r="AE59" s="6">
        <v>4.4055301565597569</v>
      </c>
      <c r="AF59" s="8">
        <f>SUM(W59:AE59)</f>
        <v>1121.5425337836352</v>
      </c>
      <c r="AG59" s="6">
        <v>1.9476348282750011</v>
      </c>
      <c r="AH59" s="6">
        <v>0.96260571235124781</v>
      </c>
      <c r="AI59" s="6">
        <v>1.4892185706465195</v>
      </c>
      <c r="AJ59" s="6">
        <v>3.0826720044551164</v>
      </c>
      <c r="AK59" s="6">
        <v>153.95659064723634</v>
      </c>
      <c r="AL59" s="6">
        <v>48.094243988050252</v>
      </c>
      <c r="AM59" s="6">
        <v>53.983126273362153</v>
      </c>
      <c r="AN59" s="6">
        <v>1.4044404052613626</v>
      </c>
      <c r="AO59" s="8">
        <f>SUM(AG59:AN59)</f>
        <v>264.920532429638</v>
      </c>
      <c r="AP59" s="3">
        <v>117.74982443184324</v>
      </c>
      <c r="AQ59" s="12">
        <v>35.649165305069495</v>
      </c>
      <c r="AR59" s="12">
        <v>11.299973188018217</v>
      </c>
      <c r="AS59" s="12">
        <v>28.916674638429303</v>
      </c>
      <c r="AT59" s="12">
        <v>983.7840602988955</v>
      </c>
      <c r="AU59" s="12">
        <v>713.67280770469119</v>
      </c>
      <c r="AV59" s="12">
        <v>1859.4201118355488</v>
      </c>
      <c r="AW59" s="12">
        <v>142.84913323262126</v>
      </c>
      <c r="AX59" s="6">
        <f>SUM(AP59:AW59)</f>
        <v>3893.341750635117</v>
      </c>
      <c r="AY59" s="12"/>
      <c r="AZ59" s="6">
        <v>19.72980425753634</v>
      </c>
      <c r="BA59" s="6">
        <v>22.430855106935542</v>
      </c>
      <c r="BB59" s="6">
        <v>72.274550112620133</v>
      </c>
      <c r="BC59" s="6">
        <v>1121.8481975021393</v>
      </c>
      <c r="BD59" s="6">
        <v>495.47306162389197</v>
      </c>
      <c r="BE59" s="6">
        <v>1517.7057305679148</v>
      </c>
      <c r="BF59" s="6">
        <v>531.17073048970497</v>
      </c>
      <c r="BG59" s="6">
        <v>54.868297764301424</v>
      </c>
      <c r="BH59" s="6">
        <f>SUM(AY59:BG59)</f>
        <v>3835.5012274250448</v>
      </c>
      <c r="BI59" s="3">
        <v>0.30253680246016129</v>
      </c>
      <c r="BJ59" s="3">
        <v>0.65337846953798273</v>
      </c>
      <c r="BK59" s="3">
        <v>3.6002907190662055</v>
      </c>
      <c r="BL59" s="3">
        <v>0.50197988302959573</v>
      </c>
      <c r="BM59" s="3">
        <v>0.71065080244367973</v>
      </c>
      <c r="BN59" s="6">
        <f>SUM(BI59:BM59)</f>
        <v>5.7688366765376244</v>
      </c>
      <c r="BO59" s="6">
        <v>0.87657292375955087</v>
      </c>
      <c r="BP59" s="6">
        <v>1.0113273367350941</v>
      </c>
      <c r="BQ59" s="6">
        <v>8.6896852089106478</v>
      </c>
      <c r="BR59" s="6">
        <v>2.3258790564086969</v>
      </c>
      <c r="BS59" s="6">
        <v>4.8561599071066786</v>
      </c>
      <c r="BT59" s="6">
        <v>0.40002819667444062</v>
      </c>
      <c r="BU59" s="6">
        <f t="shared" si="10"/>
        <v>18.159652629595108</v>
      </c>
      <c r="BV59" s="8">
        <f t="shared" si="11"/>
        <v>9309.2651129433998</v>
      </c>
      <c r="BX59" s="3"/>
    </row>
    <row r="60" spans="2:76">
      <c r="B60" s="15"/>
      <c r="C60" s="11">
        <v>29</v>
      </c>
      <c r="D60" s="6">
        <v>5.3643524035196233</v>
      </c>
      <c r="E60" s="6">
        <v>2.9768845475015686</v>
      </c>
      <c r="F60" s="6">
        <v>3.0393296899395374</v>
      </c>
      <c r="G60" s="6">
        <v>6.5461343547276361</v>
      </c>
      <c r="H60" s="6">
        <v>39.653204701913531</v>
      </c>
      <c r="I60" s="6">
        <v>11.435088026640592</v>
      </c>
      <c r="J60" s="6">
        <v>23.703477586700387</v>
      </c>
      <c r="K60" s="6">
        <v>3.1528306854084645</v>
      </c>
      <c r="L60" s="8">
        <f>SUM(D60:K60)</f>
        <v>95.871301996351335</v>
      </c>
      <c r="M60" s="6">
        <v>50.493206373411034</v>
      </c>
      <c r="N60" s="6">
        <v>7.6338669240924775</v>
      </c>
      <c r="O60" s="6">
        <v>7.085520677827156</v>
      </c>
      <c r="P60" s="6">
        <v>20.289831908467754</v>
      </c>
      <c r="Q60" s="6">
        <v>86.678377078742272</v>
      </c>
      <c r="R60" s="6">
        <v>67.250837029450636</v>
      </c>
      <c r="S60" s="6">
        <v>20.583626731838571</v>
      </c>
      <c r="T60" s="6">
        <v>62.697969467156497</v>
      </c>
      <c r="U60" s="6">
        <v>11.888105016057617</v>
      </c>
      <c r="V60" s="8">
        <f t="shared" si="9"/>
        <v>334.60134120704407</v>
      </c>
      <c r="W60" s="6">
        <v>5.2216247186686626</v>
      </c>
      <c r="X60" s="6">
        <v>3.115693887498435</v>
      </c>
      <c r="Y60" s="6">
        <v>1.2977149231270129</v>
      </c>
      <c r="Z60" s="6">
        <v>18.628897945406347</v>
      </c>
      <c r="AA60" s="6">
        <v>425.9127982242855</v>
      </c>
      <c r="AB60" s="6">
        <v>135.87183853630358</v>
      </c>
      <c r="AC60" s="6">
        <v>292.51962584955652</v>
      </c>
      <c r="AD60" s="6">
        <v>67.392166295206607</v>
      </c>
      <c r="AE60" s="6">
        <v>3.226452830756712</v>
      </c>
      <c r="AF60" s="8">
        <f>SUM(W60:AE60)</f>
        <v>953.18681321080931</v>
      </c>
      <c r="AG60" s="6">
        <v>6.4583771876142011</v>
      </c>
      <c r="AH60" s="6">
        <v>5.0189405616550289</v>
      </c>
      <c r="AI60" s="6">
        <v>5.3655622952436328</v>
      </c>
      <c r="AJ60" s="6">
        <v>11.477777884253275</v>
      </c>
      <c r="AK60" s="6">
        <v>601.61794032548721</v>
      </c>
      <c r="AL60" s="6">
        <v>128.92143191734036</v>
      </c>
      <c r="AM60" s="6">
        <v>241.76149999741605</v>
      </c>
      <c r="AN60" s="6">
        <v>3.1458096290123154</v>
      </c>
      <c r="AO60" s="8">
        <f>SUM(AG60:AN60)</f>
        <v>1003.767339798022</v>
      </c>
      <c r="AP60" s="3">
        <v>48.679546451900364</v>
      </c>
      <c r="AQ60" s="12">
        <v>28.847331512644239</v>
      </c>
      <c r="AR60" s="12">
        <v>7.5636796484168425</v>
      </c>
      <c r="AS60" s="12">
        <v>21.001741273945406</v>
      </c>
      <c r="AT60" s="12">
        <v>799.45561811442224</v>
      </c>
      <c r="AU60" s="12">
        <v>552.37633104758561</v>
      </c>
      <c r="AV60" s="12">
        <v>1491.5553638964491</v>
      </c>
      <c r="AW60" s="12">
        <v>97.157304791637898</v>
      </c>
      <c r="AX60" s="6">
        <f>SUM(AP60:AW60)</f>
        <v>3046.6369167370021</v>
      </c>
      <c r="AY60" s="12"/>
      <c r="AZ60" s="6">
        <v>15.879850403549089</v>
      </c>
      <c r="BA60" s="6">
        <v>11.106314211983014</v>
      </c>
      <c r="BB60" s="6">
        <v>41.701305441431458</v>
      </c>
      <c r="BC60" s="6">
        <v>796.19545498448178</v>
      </c>
      <c r="BD60" s="6">
        <v>328.17796639090324</v>
      </c>
      <c r="BE60" s="6">
        <v>1079.9947798084515</v>
      </c>
      <c r="BF60" s="6">
        <v>320.53019626821305</v>
      </c>
      <c r="BG60" s="6">
        <v>32.657581705698426</v>
      </c>
      <c r="BH60" s="6">
        <f>SUM(AY60:BG60)</f>
        <v>2626.2434492147113</v>
      </c>
      <c r="BI60" s="3">
        <v>1.2669432353615295</v>
      </c>
      <c r="BJ60" s="3">
        <v>1.0678907745813022</v>
      </c>
      <c r="BK60" s="3">
        <v>11.816246679508941</v>
      </c>
      <c r="BL60" s="3">
        <v>1.9358363205533078</v>
      </c>
      <c r="BM60" s="3">
        <v>3.7097298412088815</v>
      </c>
      <c r="BN60" s="6">
        <f>SUM(BI60:BM60)</f>
        <v>19.796646851213964</v>
      </c>
      <c r="BO60" s="6">
        <v>1.5304940881132583</v>
      </c>
      <c r="BP60" s="6">
        <v>1.9873125116007497</v>
      </c>
      <c r="BQ60" s="6">
        <v>13.79995056574351</v>
      </c>
      <c r="BR60" s="6">
        <v>3.2713859583622962</v>
      </c>
      <c r="BS60" s="6">
        <v>6.7188288634856335</v>
      </c>
      <c r="BT60" s="6">
        <v>0.69642438906990978</v>
      </c>
      <c r="BU60" s="6">
        <f t="shared" si="10"/>
        <v>28.004396376375357</v>
      </c>
      <c r="BV60" s="8">
        <f t="shared" si="11"/>
        <v>8108.1082053915297</v>
      </c>
      <c r="BX60" s="3"/>
    </row>
    <row r="61" spans="2:76">
      <c r="C61" s="11">
        <v>30</v>
      </c>
      <c r="D61" s="6">
        <v>4.3630272073175798</v>
      </c>
      <c r="E61" s="6">
        <v>2.1706334406294712</v>
      </c>
      <c r="F61" s="6">
        <v>1.2762274991000184</v>
      </c>
      <c r="G61" s="6">
        <v>4.8836111103108379</v>
      </c>
      <c r="H61" s="6">
        <v>58.012449582055289</v>
      </c>
      <c r="I61" s="6">
        <v>16.057119395922076</v>
      </c>
      <c r="J61" s="6">
        <v>42.871964706935557</v>
      </c>
      <c r="K61" s="6">
        <v>5.6157702784674681</v>
      </c>
      <c r="L61" s="8">
        <f>SUM(D61:K61)</f>
        <v>135.25080322073828</v>
      </c>
      <c r="M61" s="6">
        <v>13.557927451672835</v>
      </c>
      <c r="N61" s="6">
        <v>2.9049561894415703</v>
      </c>
      <c r="O61" s="6">
        <v>1.941176927684829</v>
      </c>
      <c r="P61" s="6">
        <v>12.574051328299198</v>
      </c>
      <c r="Q61" s="6">
        <v>66.891978552019381</v>
      </c>
      <c r="R61" s="6">
        <v>63.803186436153872</v>
      </c>
      <c r="S61" s="6">
        <v>20.21848753970642</v>
      </c>
      <c r="T61" s="6">
        <v>67.783880591409925</v>
      </c>
      <c r="U61" s="6">
        <v>17.112488643259976</v>
      </c>
      <c r="V61" s="8">
        <f t="shared" si="9"/>
        <v>266.788133659648</v>
      </c>
      <c r="W61" s="6">
        <v>1.9466909306122637</v>
      </c>
      <c r="X61" s="6">
        <v>1.8715100960774576</v>
      </c>
      <c r="Y61" s="6">
        <v>0.86437131720066407</v>
      </c>
      <c r="Z61" s="6">
        <v>12.563282450527701</v>
      </c>
      <c r="AA61" s="6">
        <v>498.45626388339701</v>
      </c>
      <c r="AB61" s="6">
        <v>153.08559190258961</v>
      </c>
      <c r="AC61" s="6">
        <v>376.1641658906268</v>
      </c>
      <c r="AD61" s="6">
        <v>85.442281618867042</v>
      </c>
      <c r="AE61" s="6">
        <v>4.2705061736952485</v>
      </c>
      <c r="AF61" s="8">
        <f>SUM(W61:AE61)</f>
        <v>1134.6646642635937</v>
      </c>
      <c r="AG61" s="6">
        <v>3.6938236788127261</v>
      </c>
      <c r="AH61" s="6">
        <v>2.0578713045252064</v>
      </c>
      <c r="AI61" s="6">
        <v>2.4461631765627416</v>
      </c>
      <c r="AJ61" s="6">
        <v>4.6251701478867906</v>
      </c>
      <c r="AK61" s="6">
        <v>305.41318612165094</v>
      </c>
      <c r="AL61" s="6">
        <v>77.10516263349318</v>
      </c>
      <c r="AM61" s="6">
        <v>121.1088156887717</v>
      </c>
      <c r="AN61" s="6">
        <v>1.4242673793415357</v>
      </c>
      <c r="AO61" s="8">
        <f>SUM(AG61:AN61)</f>
        <v>517.87446013104488</v>
      </c>
      <c r="AP61" s="3">
        <v>34.219734391847325</v>
      </c>
      <c r="AQ61" s="12">
        <v>16.676248469682825</v>
      </c>
      <c r="AR61" s="12">
        <v>4.2706125481390691</v>
      </c>
      <c r="AS61" s="12">
        <v>11.651955247238398</v>
      </c>
      <c r="AT61" s="12">
        <v>559.86161745001527</v>
      </c>
      <c r="AU61" s="12">
        <v>379.20517591328212</v>
      </c>
      <c r="AV61" s="12">
        <v>1229.169383405286</v>
      </c>
      <c r="AW61" s="12">
        <v>101.95075900600035</v>
      </c>
      <c r="AX61" s="6">
        <f>SUM(AP61:AW61)</f>
        <v>2337.0054864314911</v>
      </c>
      <c r="AY61" s="12"/>
      <c r="AZ61" s="6">
        <v>9.8204254442930008</v>
      </c>
      <c r="BA61" s="6">
        <v>6.6098015464711546</v>
      </c>
      <c r="BB61" s="6">
        <v>35.411330796434619</v>
      </c>
      <c r="BC61" s="6">
        <v>858.76965438647119</v>
      </c>
      <c r="BD61" s="6">
        <v>341.21500034052536</v>
      </c>
      <c r="BE61" s="6">
        <v>1305.5095115593831</v>
      </c>
      <c r="BF61" s="6">
        <v>385.31415694989641</v>
      </c>
      <c r="BG61" s="6">
        <v>33.676659623123399</v>
      </c>
      <c r="BH61" s="6">
        <f>SUM(AY61:BG61)</f>
        <v>2976.3265406465985</v>
      </c>
      <c r="BI61" s="3">
        <v>2.3777120916653005</v>
      </c>
      <c r="BJ61" s="3">
        <v>1.9118355084447527</v>
      </c>
      <c r="BK61" s="3">
        <v>11.034796826848888</v>
      </c>
      <c r="BL61" s="3">
        <v>1.9546090506105052</v>
      </c>
      <c r="BM61" s="3">
        <v>2.8345092549520197</v>
      </c>
      <c r="BN61" s="6">
        <f>SUM(BI61:BM61)</f>
        <v>20.113462732521466</v>
      </c>
      <c r="BO61" s="6">
        <v>3.6558535776172256</v>
      </c>
      <c r="BP61" s="6">
        <v>4.3253121439581417</v>
      </c>
      <c r="BQ61" s="6">
        <v>26.880106215309709</v>
      </c>
      <c r="BR61" s="6">
        <v>4.9247591284008694</v>
      </c>
      <c r="BS61" s="6">
        <v>8.6088525940435865</v>
      </c>
      <c r="BT61" s="6">
        <v>0.48178261069703854</v>
      </c>
      <c r="BU61" s="6">
        <f t="shared" si="10"/>
        <v>48.876666270026575</v>
      </c>
      <c r="BV61" s="8">
        <f t="shared" si="11"/>
        <v>7436.9002173556619</v>
      </c>
      <c r="BX61" s="3"/>
    </row>
    <row r="62" spans="2:76">
      <c r="C62" s="11">
        <v>31</v>
      </c>
      <c r="D62" s="6">
        <v>4.8406353706697152</v>
      </c>
      <c r="E62" s="6">
        <v>2.3277279695450099</v>
      </c>
      <c r="F62" s="6">
        <v>1.4349083894601258</v>
      </c>
      <c r="G62" s="6">
        <v>4.4875027426610794</v>
      </c>
      <c r="H62" s="6">
        <v>41.164147988352433</v>
      </c>
      <c r="I62" s="6">
        <v>13.634888314356854</v>
      </c>
      <c r="J62" s="6">
        <v>30.801601152177295</v>
      </c>
      <c r="K62" s="6">
        <v>6.201743225086167</v>
      </c>
      <c r="L62" s="8">
        <f>SUM(D62:K62)</f>
        <v>104.89315515230868</v>
      </c>
      <c r="M62" s="6">
        <v>23.140579170668467</v>
      </c>
      <c r="N62" s="6">
        <v>3.5580172212174159</v>
      </c>
      <c r="O62" s="6">
        <v>2.3765220607335782</v>
      </c>
      <c r="P62" s="6">
        <v>12.373431249805002</v>
      </c>
      <c r="Q62" s="6">
        <v>59.381060778675611</v>
      </c>
      <c r="R62" s="6">
        <v>64.248174297507248</v>
      </c>
      <c r="S62" s="6">
        <v>21.130584304732441</v>
      </c>
      <c r="T62" s="6">
        <v>64.430212442628473</v>
      </c>
      <c r="U62" s="6">
        <v>18.199459861839571</v>
      </c>
      <c r="V62" s="8">
        <f t="shared" si="9"/>
        <v>268.83804138780783</v>
      </c>
      <c r="W62" s="6">
        <v>0.92108711034161539</v>
      </c>
      <c r="X62" s="6">
        <v>1.0096909526472118</v>
      </c>
      <c r="Y62" s="6">
        <v>0.30957841745138798</v>
      </c>
      <c r="Z62" s="6">
        <v>4.9928123242874438</v>
      </c>
      <c r="AA62" s="6">
        <v>153.1117177129077</v>
      </c>
      <c r="AB62" s="6">
        <v>51.873271150859111</v>
      </c>
      <c r="AC62" s="6">
        <v>117.28759935150126</v>
      </c>
      <c r="AD62" s="6">
        <v>33.354145057765351</v>
      </c>
      <c r="AE62" s="6">
        <v>1.6264611725177474</v>
      </c>
      <c r="AF62" s="8">
        <f>SUM(W62:AE62)</f>
        <v>364.48636325027877</v>
      </c>
      <c r="AG62" s="6">
        <v>3.3939765195316647</v>
      </c>
      <c r="AH62" s="6">
        <v>2.0541767412762888</v>
      </c>
      <c r="AI62" s="6">
        <v>1.9013429777080861</v>
      </c>
      <c r="AJ62" s="6">
        <v>5.2290054231788181</v>
      </c>
      <c r="AK62" s="6">
        <v>294.58179817378345</v>
      </c>
      <c r="AL62" s="6">
        <v>73.846850605969919</v>
      </c>
      <c r="AM62" s="6">
        <v>110.94464009091344</v>
      </c>
      <c r="AN62" s="6">
        <v>2.0051213068500506</v>
      </c>
      <c r="AO62" s="8">
        <f>SUM(AG62:AN62)</f>
        <v>493.95691183921173</v>
      </c>
      <c r="AP62" s="3">
        <v>14.905695373984443</v>
      </c>
      <c r="AQ62" s="12">
        <v>7.0314618321948128</v>
      </c>
      <c r="AR62" s="12">
        <v>2.2253913316516694</v>
      </c>
      <c r="AS62" s="12">
        <v>4.6113865613376879</v>
      </c>
      <c r="AT62" s="12">
        <v>188.53489401584247</v>
      </c>
      <c r="AU62" s="12">
        <v>131.0793397643173</v>
      </c>
      <c r="AV62" s="12">
        <v>358.0139308204615</v>
      </c>
      <c r="AW62" s="12">
        <v>32.147525581562874</v>
      </c>
      <c r="AX62" s="6">
        <f>SUM(AP62:AW62)</f>
        <v>738.54962528135275</v>
      </c>
      <c r="AY62" s="12"/>
      <c r="AZ62" s="6">
        <v>4.7806506663807227</v>
      </c>
      <c r="BA62" s="6">
        <v>3.5990309444729291</v>
      </c>
      <c r="BB62" s="6">
        <v>14.855977489466808</v>
      </c>
      <c r="BC62" s="6">
        <v>268.95960157691314</v>
      </c>
      <c r="BD62" s="6">
        <v>110.81036941728553</v>
      </c>
      <c r="BE62" s="6">
        <v>390.76101906099603</v>
      </c>
      <c r="BF62" s="6">
        <v>137.23286986750168</v>
      </c>
      <c r="BG62" s="6">
        <v>16.084137830715907</v>
      </c>
      <c r="BH62" s="6">
        <f>SUM(AY62:BG62)</f>
        <v>947.08365685373269</v>
      </c>
      <c r="BI62" s="3">
        <v>1.1444706453937619</v>
      </c>
      <c r="BJ62" s="3">
        <v>2.155884953884851</v>
      </c>
      <c r="BK62" s="3">
        <v>11.902660633514746</v>
      </c>
      <c r="BL62" s="3">
        <v>1.6953107960817393</v>
      </c>
      <c r="BM62" s="3">
        <v>3.4163615350604126</v>
      </c>
      <c r="BN62" s="6">
        <f>SUM(BI62:BM62)</f>
        <v>20.314688563935512</v>
      </c>
      <c r="BO62" s="6">
        <v>3.3065643195480909</v>
      </c>
      <c r="BP62" s="6">
        <v>3.9446872344659329</v>
      </c>
      <c r="BQ62" s="6">
        <v>27.594549290134623</v>
      </c>
      <c r="BR62" s="6">
        <v>5.6724669722417591</v>
      </c>
      <c r="BS62" s="6">
        <v>10.394595410952755</v>
      </c>
      <c r="BT62" s="6">
        <v>0.74666072501174829</v>
      </c>
      <c r="BU62" s="6">
        <f t="shared" si="10"/>
        <v>51.65952395235491</v>
      </c>
      <c r="BV62" s="8">
        <f t="shared" si="11"/>
        <v>2989.7819662809825</v>
      </c>
      <c r="BX62" s="3"/>
    </row>
    <row r="63" spans="2:76">
      <c r="C63" s="11">
        <v>32</v>
      </c>
      <c r="D63" s="6">
        <v>3.0783448417577004</v>
      </c>
      <c r="E63" s="6">
        <v>1.6296806851848415</v>
      </c>
      <c r="F63" s="6">
        <v>0.72168134760059455</v>
      </c>
      <c r="G63" s="6">
        <v>2.092064493267352</v>
      </c>
      <c r="H63" s="6">
        <v>18.279513119927525</v>
      </c>
      <c r="I63" s="6">
        <v>5.7358738520523707</v>
      </c>
      <c r="J63" s="6">
        <v>15.182255921448268</v>
      </c>
      <c r="K63" s="6">
        <v>3.3114293258096041</v>
      </c>
      <c r="L63" s="8">
        <f>SUM(D63:K63)</f>
        <v>50.03084358704826</v>
      </c>
      <c r="M63" s="6">
        <v>10.109975448236371</v>
      </c>
      <c r="N63" s="6">
        <v>2.5644729763240059</v>
      </c>
      <c r="O63" s="6">
        <v>2.0245375394028295</v>
      </c>
      <c r="P63" s="6">
        <v>5.6581665416751772</v>
      </c>
      <c r="Q63" s="6">
        <v>29.139996582476929</v>
      </c>
      <c r="R63" s="6">
        <v>24.234472822324754</v>
      </c>
      <c r="S63" s="6">
        <v>8.0520286535100603</v>
      </c>
      <c r="T63" s="6">
        <v>25.764476813155891</v>
      </c>
      <c r="U63" s="6">
        <v>8.1322432109210414</v>
      </c>
      <c r="V63" s="8">
        <f t="shared" ref="V63" si="12">SUM(M63:U63)</f>
        <v>115.68037058802706</v>
      </c>
      <c r="W63" s="6">
        <v>1.1298940947014966</v>
      </c>
      <c r="X63" s="6">
        <v>0.75098751571305189</v>
      </c>
      <c r="Y63" s="6">
        <v>0.5066043843090432</v>
      </c>
      <c r="Z63" s="6">
        <v>6.889031356479749</v>
      </c>
      <c r="AA63" s="6">
        <v>199.57335899269856</v>
      </c>
      <c r="AB63" s="6">
        <v>73.157503011429284</v>
      </c>
      <c r="AC63" s="6">
        <v>171.6478902162855</v>
      </c>
      <c r="AD63" s="6">
        <v>49.311772860720232</v>
      </c>
      <c r="AE63" s="6">
        <v>2.9277662032693494</v>
      </c>
      <c r="AF63" s="8">
        <f>SUM(W63:AE63)</f>
        <v>505.8948086356063</v>
      </c>
      <c r="AG63" s="6">
        <v>1.1527138277010369</v>
      </c>
      <c r="AH63" s="6">
        <v>1.0305124374960533</v>
      </c>
      <c r="AI63" s="6">
        <v>1.900233615911515</v>
      </c>
      <c r="AJ63" s="6">
        <v>4.7789109468063478</v>
      </c>
      <c r="AK63" s="6">
        <v>188.55399656117103</v>
      </c>
      <c r="AL63" s="6">
        <v>45.013802925212438</v>
      </c>
      <c r="AM63" s="6">
        <v>65.514534399645314</v>
      </c>
      <c r="AN63" s="6">
        <v>0.9688980323006523</v>
      </c>
      <c r="AO63" s="8">
        <f>SUM(AG63:AN63)</f>
        <v>308.91360274624441</v>
      </c>
      <c r="AP63" s="3">
        <v>14.433737688838436</v>
      </c>
      <c r="AQ63" s="12">
        <v>6.3418032624353096</v>
      </c>
      <c r="AR63" s="12">
        <v>2.0952996043438774</v>
      </c>
      <c r="AS63" s="12">
        <v>6.3954709630124968</v>
      </c>
      <c r="AT63" s="12">
        <v>241.06452467687802</v>
      </c>
      <c r="AU63" s="12">
        <v>151.93034555189519</v>
      </c>
      <c r="AV63" s="12">
        <v>403.69847420148864</v>
      </c>
      <c r="AW63" s="12">
        <v>34.314688475732211</v>
      </c>
      <c r="AX63" s="6">
        <f>SUM(AP63:AW63)</f>
        <v>860.27434442462413</v>
      </c>
      <c r="AY63" s="12"/>
      <c r="AZ63" s="6">
        <v>4.9319256505355593</v>
      </c>
      <c r="BA63" s="6">
        <v>2.9695370182776739</v>
      </c>
      <c r="BB63" s="6">
        <v>12.144832099962553</v>
      </c>
      <c r="BC63" s="6">
        <v>216.05826095722921</v>
      </c>
      <c r="BD63" s="6">
        <v>115.28424309270082</v>
      </c>
      <c r="BE63" s="6">
        <v>412.65970193923238</v>
      </c>
      <c r="BF63" s="6">
        <v>151.77036601856506</v>
      </c>
      <c r="BG63" s="6">
        <v>16.037392509958796</v>
      </c>
      <c r="BH63" s="6">
        <f>SUM(AY63:BG63)</f>
        <v>931.85625928646198</v>
      </c>
      <c r="BI63" s="3">
        <v>0.8828102508277913</v>
      </c>
      <c r="BJ63" s="3">
        <v>0.77040628290316715</v>
      </c>
      <c r="BK63" s="3">
        <v>9.9303502142540072</v>
      </c>
      <c r="BL63" s="3">
        <v>1.5880530747318877</v>
      </c>
      <c r="BM63" s="3">
        <v>1.5754823072990072</v>
      </c>
      <c r="BN63" s="6">
        <f>SUM(BI63:BM63)</f>
        <v>14.747102130015859</v>
      </c>
      <c r="BO63" s="6">
        <v>1.4168384943078651</v>
      </c>
      <c r="BP63" s="6">
        <v>2.2248273503576992</v>
      </c>
      <c r="BQ63" s="6">
        <v>15.258059159448907</v>
      </c>
      <c r="BR63" s="6">
        <v>2.7394650474134035</v>
      </c>
      <c r="BS63" s="6">
        <v>6.5689535787442601</v>
      </c>
      <c r="BT63" s="6">
        <v>0.34074576980298371</v>
      </c>
      <c r="BU63" s="6">
        <f t="shared" si="10"/>
        <v>28.548889400075119</v>
      </c>
      <c r="BV63" s="8">
        <f t="shared" si="11"/>
        <v>2815.9462207981028</v>
      </c>
      <c r="BX63" s="3"/>
    </row>
    <row r="64" spans="2:76">
      <c r="BX64" s="3"/>
    </row>
    <row r="65" spans="2:76">
      <c r="C65" s="11"/>
      <c r="D65" s="6"/>
      <c r="E65" s="6"/>
      <c r="F65" s="6"/>
      <c r="G65" s="6"/>
      <c r="H65" s="6"/>
      <c r="I65" s="6"/>
      <c r="J65" s="6"/>
      <c r="K65" s="6"/>
      <c r="L65" s="8"/>
      <c r="M65" s="6"/>
      <c r="N65" s="6"/>
      <c r="O65" s="6"/>
      <c r="P65" s="6"/>
      <c r="Q65" s="6"/>
      <c r="R65" s="6"/>
      <c r="S65" s="6"/>
      <c r="T65" s="6"/>
      <c r="U65" s="6"/>
      <c r="V65" s="8"/>
      <c r="W65" s="6"/>
      <c r="X65" s="6"/>
      <c r="Y65" s="6"/>
      <c r="Z65" s="6"/>
      <c r="AA65" s="6"/>
      <c r="AB65" s="6"/>
      <c r="AC65" s="6"/>
      <c r="AD65" s="6"/>
      <c r="AE65" s="6"/>
      <c r="AF65" s="8"/>
      <c r="AG65" s="6"/>
      <c r="AH65" s="6"/>
      <c r="AI65" s="6"/>
      <c r="AJ65" s="6"/>
      <c r="AK65" s="6"/>
      <c r="AL65" s="6"/>
      <c r="AM65" s="6"/>
      <c r="AN65" s="6"/>
      <c r="AO65" s="8"/>
      <c r="AP65" s="3"/>
      <c r="AQ65" s="12"/>
      <c r="AR65" s="12"/>
      <c r="AS65" s="12"/>
      <c r="AT65" s="12"/>
      <c r="AU65" s="12"/>
      <c r="AV65" s="12"/>
      <c r="AW65" s="12"/>
      <c r="AX65" s="6"/>
      <c r="AY65" s="12"/>
      <c r="AZ65" s="6"/>
      <c r="BA65" s="6"/>
      <c r="BB65" s="6"/>
      <c r="BC65" s="6"/>
      <c r="BD65" s="6"/>
      <c r="BE65" s="6"/>
      <c r="BF65" s="6"/>
      <c r="BG65" s="6"/>
      <c r="BH65" s="6"/>
      <c r="BI65" s="3"/>
      <c r="BJ65" s="3"/>
      <c r="BK65" s="3"/>
      <c r="BL65" s="3"/>
      <c r="BM65" s="3"/>
      <c r="BN65" s="6"/>
      <c r="BO65" s="6"/>
      <c r="BP65" s="6"/>
      <c r="BQ65" s="6"/>
      <c r="BR65" s="6"/>
      <c r="BS65" s="6"/>
      <c r="BT65" s="6"/>
      <c r="BU65" s="6"/>
      <c r="BV65" s="8"/>
      <c r="BX65" s="3"/>
    </row>
    <row r="66" spans="2:76">
      <c r="C66" s="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spans="2:76"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2:76"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2:76">
      <c r="C69" s="7"/>
    </row>
    <row r="70" spans="2:76"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2:76"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2:76">
      <c r="C72" s="7"/>
      <c r="BI72" s="3"/>
      <c r="BS72" s="3"/>
      <c r="BW72" s="3"/>
      <c r="BX72" s="3"/>
    </row>
    <row r="73" spans="2:76">
      <c r="B73" s="9"/>
      <c r="C73" s="7"/>
    </row>
    <row r="74" spans="2:76"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2:76"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2:76"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2:76"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2:76"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2:76">
      <c r="C79" s="7"/>
      <c r="D79" s="3"/>
      <c r="E79" s="3"/>
      <c r="F79" s="3"/>
      <c r="G79" s="11"/>
      <c r="H79" s="11"/>
      <c r="I79" s="11"/>
      <c r="J79" s="11"/>
      <c r="K79" s="11"/>
      <c r="L79" s="11"/>
      <c r="M79" s="11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2:76">
      <c r="C80" s="7"/>
      <c r="D80" s="3"/>
      <c r="E80" s="3"/>
      <c r="F80" s="3"/>
      <c r="G80" s="11"/>
      <c r="H80" s="3"/>
      <c r="I80" s="3"/>
      <c r="J80" s="18"/>
      <c r="K80" s="18"/>
      <c r="L80" s="18"/>
      <c r="M80" s="18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3:76">
      <c r="C81" s="7"/>
      <c r="G81" s="11"/>
      <c r="H81" s="3"/>
      <c r="I81" s="3"/>
      <c r="J81" s="18"/>
      <c r="K81" s="18"/>
      <c r="L81" s="18"/>
      <c r="M81" s="18"/>
    </row>
    <row r="82" spans="3:76"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결과종합_지방산</vt:lpstr>
      <vt:lpstr>콜레스테롤</vt:lpstr>
      <vt:lpstr>결과종합_세라마이드</vt:lpstr>
      <vt:lpstr>결과종합_Cer 8종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주경미/분석인증 Lab/KYUNGMI JOO</cp:lastModifiedBy>
  <dcterms:created xsi:type="dcterms:W3CDTF">2016-10-26T02:22:47Z</dcterms:created>
  <dcterms:modified xsi:type="dcterms:W3CDTF">2026-03-30T04:35:16Z</dcterms:modified>
</cp:coreProperties>
</file>