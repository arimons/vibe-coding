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ocuments\엑셀계산\BY26년 분석\건식\Cicca B5\"/>
    </mc:Choice>
  </mc:AlternateContent>
  <xr:revisionPtr revIDLastSave="0" documentId="13_ncr:1_{36DA8C04-5F31-4946-8423-4BFEED557E99}" xr6:coauthVersionLast="47" xr6:coauthVersionMax="47" xr10:uidLastSave="{00000000-0000-0000-0000-000000000000}"/>
  <bookViews>
    <workbookView xWindow="-120" yWindow="-120" windowWidth="29040" windowHeight="15720" xr2:uid="{1822DB79-DBC1-448F-A529-6B239A1A8A4B}"/>
  </bookViews>
  <sheets>
    <sheet name="NP_C16" sheetId="7" r:id="rId1"/>
    <sheet name="NP_C18" sheetId="8" r:id="rId2"/>
    <sheet name="NP_C20" sheetId="9" r:id="rId3"/>
    <sheet name="NP_C22" sheetId="10" r:id="rId4"/>
    <sheet name="NP_C24" sheetId="11" r:id="rId5"/>
    <sheet name="NP_C25" sheetId="12" r:id="rId6"/>
    <sheet name="NP_C26" sheetId="13" r:id="rId7"/>
    <sheet name="NP_C28" sheetId="14" r:id="rId8"/>
    <sheet name="NP_C30" sheetId="15" r:id="rId9"/>
    <sheet name="AH_C16" sheetId="16" r:id="rId10"/>
    <sheet name="AH_C18" sheetId="21" r:id="rId11"/>
    <sheet name="AH_C20" sheetId="22" r:id="rId12"/>
    <sheet name="AH_C22" sheetId="23" r:id="rId13"/>
    <sheet name="AH_C24" sheetId="24" r:id="rId14"/>
    <sheet name="AH_C25" sheetId="25" r:id="rId15"/>
    <sheet name="AH_C26" sheetId="26" r:id="rId16"/>
    <sheet name="AH_C28" sheetId="2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27" l="1" a="1"/>
  <c r="I9" i="27" s="1"/>
  <c r="J9" i="27" s="1"/>
  <c r="L9" i="27" s="1"/>
  <c r="I10" i="27" a="1"/>
  <c r="I10" i="27" s="1"/>
  <c r="J10" i="27" s="1"/>
  <c r="L10" i="27" s="1"/>
  <c r="I11" i="27" a="1"/>
  <c r="I11" i="27" s="1"/>
  <c r="J11" i="27" s="1"/>
  <c r="L11" i="27" s="1"/>
  <c r="I12" i="27" a="1"/>
  <c r="I12" i="27"/>
  <c r="J12" i="27" s="1"/>
  <c r="L12" i="27" s="1"/>
  <c r="I13" i="27" a="1"/>
  <c r="I13" i="27" s="1"/>
  <c r="J13" i="27" s="1"/>
  <c r="L13" i="27" s="1"/>
  <c r="I14" i="27" a="1"/>
  <c r="I14" i="27" s="1"/>
  <c r="J14" i="27" s="1"/>
  <c r="L14" i="27" s="1"/>
  <c r="I15" i="27" a="1"/>
  <c r="I15" i="27" s="1"/>
  <c r="J15" i="27" s="1"/>
  <c r="L15" i="27" s="1"/>
  <c r="I16" i="27" a="1"/>
  <c r="I16" i="27" s="1"/>
  <c r="J16" i="27" s="1"/>
  <c r="L16" i="27" s="1"/>
  <c r="I17" i="27" a="1"/>
  <c r="I17" i="27" s="1"/>
  <c r="J17" i="27" s="1"/>
  <c r="L17" i="27" s="1"/>
  <c r="I18" i="27" a="1"/>
  <c r="I18" i="27"/>
  <c r="J18" i="27" s="1"/>
  <c r="L18" i="27" s="1"/>
  <c r="I19" i="27" a="1"/>
  <c r="I19" i="27" s="1"/>
  <c r="J19" i="27" s="1"/>
  <c r="L19" i="27" s="1"/>
  <c r="I20" i="27" a="1"/>
  <c r="I20" i="27" s="1"/>
  <c r="J20" i="27" s="1"/>
  <c r="L20" i="27" s="1"/>
  <c r="I21" i="27" a="1"/>
  <c r="I21" i="27"/>
  <c r="I22" i="27" a="1"/>
  <c r="I22" i="27"/>
  <c r="J22" i="27" s="1"/>
  <c r="L22" i="27" s="1"/>
  <c r="I23" i="27" a="1"/>
  <c r="I23" i="27" s="1"/>
  <c r="J23" i="27" s="1"/>
  <c r="L23" i="27" s="1"/>
  <c r="I24" i="27" a="1"/>
  <c r="I24" i="27"/>
  <c r="J24" i="27" s="1"/>
  <c r="L24" i="27" s="1"/>
  <c r="I25" i="27" a="1"/>
  <c r="I25" i="27" s="1"/>
  <c r="J25" i="27" s="1"/>
  <c r="L25" i="27" s="1"/>
  <c r="I26" i="27" a="1"/>
  <c r="I26" i="27" s="1"/>
  <c r="J26" i="27" s="1"/>
  <c r="L26" i="27" s="1"/>
  <c r="I27" i="27" a="1"/>
  <c r="I27" i="27" s="1"/>
  <c r="J27" i="27" s="1"/>
  <c r="L27" i="27" s="1"/>
  <c r="I28" i="27" a="1"/>
  <c r="I28" i="27"/>
  <c r="I29" i="27" a="1"/>
  <c r="I29" i="27" s="1"/>
  <c r="J29" i="27" s="1"/>
  <c r="L29" i="27" s="1"/>
  <c r="I30" i="27" a="1"/>
  <c r="I30" i="27" s="1"/>
  <c r="J30" i="27" s="1"/>
  <c r="L30" i="27" s="1"/>
  <c r="I31" i="27" a="1"/>
  <c r="I31" i="27"/>
  <c r="J31" i="27" s="1"/>
  <c r="L31" i="27" s="1"/>
  <c r="I32" i="27" a="1"/>
  <c r="I32" i="27" s="1"/>
  <c r="J32" i="27" s="1"/>
  <c r="L32" i="27" s="1"/>
  <c r="I33" i="27" a="1"/>
  <c r="I33" i="27" s="1"/>
  <c r="J33" i="27" s="1"/>
  <c r="L33" i="27" s="1"/>
  <c r="I34" i="27" a="1"/>
  <c r="I34" i="27" s="1"/>
  <c r="J34" i="27" s="1"/>
  <c r="L34" i="27" s="1"/>
  <c r="I35" i="27" a="1"/>
  <c r="I35" i="27"/>
  <c r="J35" i="27" s="1"/>
  <c r="L35" i="27" s="1"/>
  <c r="I36" i="27" a="1"/>
  <c r="I36" i="27" s="1"/>
  <c r="J36" i="27" s="1"/>
  <c r="L36" i="27" s="1"/>
  <c r="I37" i="27" a="1"/>
  <c r="I37" i="27"/>
  <c r="J37" i="27" s="1"/>
  <c r="L37" i="27" s="1"/>
  <c r="I38" i="27" a="1"/>
  <c r="I38" i="27" s="1"/>
  <c r="J38" i="27" s="1"/>
  <c r="L38" i="27" s="1"/>
  <c r="I39" i="27" a="1"/>
  <c r="I39" i="27" s="1"/>
  <c r="J39" i="27" s="1"/>
  <c r="L39" i="27" s="1"/>
  <c r="I40" i="27" a="1"/>
  <c r="I40" i="27" s="1"/>
  <c r="J40" i="27" s="1"/>
  <c r="L40" i="27" s="1"/>
  <c r="I41" i="27" a="1"/>
  <c r="I41" i="27" s="1"/>
  <c r="J41" i="27" s="1"/>
  <c r="L41" i="27" s="1"/>
  <c r="I42" i="27" a="1"/>
  <c r="I42" i="27" s="1"/>
  <c r="J42" i="27" s="1"/>
  <c r="L42" i="27" s="1"/>
  <c r="I43" i="27" a="1"/>
  <c r="I43" i="27" s="1"/>
  <c r="J43" i="27" s="1"/>
  <c r="L43" i="27" s="1"/>
  <c r="I44" i="27" a="1"/>
  <c r="I44" i="27" s="1"/>
  <c r="J44" i="27" s="1"/>
  <c r="L44" i="27" s="1"/>
  <c r="I45" i="27" a="1"/>
  <c r="I45" i="27" s="1"/>
  <c r="J45" i="27" s="1"/>
  <c r="L45" i="27" s="1"/>
  <c r="I46" i="27" a="1"/>
  <c r="I46" i="27" s="1"/>
  <c r="J46" i="27" s="1"/>
  <c r="L46" i="27" s="1"/>
  <c r="I47" i="27" a="1"/>
  <c r="I47" i="27"/>
  <c r="J47" i="27" s="1"/>
  <c r="L47" i="27" s="1"/>
  <c r="I48" i="27" a="1"/>
  <c r="I48" i="27" s="1"/>
  <c r="J48" i="27" s="1"/>
  <c r="L48" i="27" s="1"/>
  <c r="I49" i="27" a="1"/>
  <c r="I49" i="27" s="1"/>
  <c r="J49" i="27" s="1"/>
  <c r="L49" i="27" s="1"/>
  <c r="I50" i="27" a="1"/>
  <c r="I50" i="27" s="1"/>
  <c r="J50" i="27" s="1"/>
  <c r="L50" i="27" s="1"/>
  <c r="I51" i="27" a="1"/>
  <c r="I51" i="27" s="1"/>
  <c r="J51" i="27" s="1"/>
  <c r="L51" i="27" s="1"/>
  <c r="I52" i="27" a="1"/>
  <c r="I52" i="27" s="1"/>
  <c r="J52" i="27" s="1"/>
  <c r="L52" i="27" s="1"/>
  <c r="I53" i="27" a="1"/>
  <c r="I53" i="27" s="1"/>
  <c r="J53" i="27" s="1"/>
  <c r="L53" i="27" s="1"/>
  <c r="I54" i="27" a="1"/>
  <c r="I54" i="27" s="1"/>
  <c r="J54" i="27" s="1"/>
  <c r="L54" i="27" s="1"/>
  <c r="I55" i="27" a="1"/>
  <c r="I55" i="27" s="1"/>
  <c r="J55" i="27" s="1"/>
  <c r="L55" i="27" s="1"/>
  <c r="I56" i="27" a="1"/>
  <c r="I56" i="27" s="1"/>
  <c r="J56" i="27" s="1"/>
  <c r="L56" i="27" s="1"/>
  <c r="I57" i="27" a="1"/>
  <c r="I57" i="27" s="1"/>
  <c r="J57" i="27" s="1"/>
  <c r="L57" i="27" s="1"/>
  <c r="I58" i="27" a="1"/>
  <c r="I58" i="27" s="1"/>
  <c r="J58" i="27" s="1"/>
  <c r="L58" i="27" s="1"/>
  <c r="I59" i="27" a="1"/>
  <c r="I59" i="27"/>
  <c r="J59" i="27" s="1"/>
  <c r="L59" i="27" s="1"/>
  <c r="I60" i="27" a="1"/>
  <c r="I60" i="27" s="1"/>
  <c r="J60" i="27" s="1"/>
  <c r="L60" i="27" s="1"/>
  <c r="I61" i="27" a="1"/>
  <c r="I61" i="27" s="1"/>
  <c r="J61" i="27" s="1"/>
  <c r="L61" i="27" s="1"/>
  <c r="I62" i="27" a="1"/>
  <c r="I62" i="27" s="1"/>
  <c r="J62" i="27" s="1"/>
  <c r="L62" i="27" s="1"/>
  <c r="I63" i="27" a="1"/>
  <c r="I63" i="27"/>
  <c r="I64" i="27" a="1"/>
  <c r="I64" i="27" s="1"/>
  <c r="J64" i="27" s="1"/>
  <c r="L64" i="27" s="1"/>
  <c r="I65" i="27" a="1"/>
  <c r="I65" i="27" s="1"/>
  <c r="J65" i="27" s="1"/>
  <c r="L65" i="27" s="1"/>
  <c r="I66" i="27" a="1"/>
  <c r="I66" i="27"/>
  <c r="J66" i="27" s="1"/>
  <c r="L66" i="27" s="1"/>
  <c r="I67" i="27" a="1"/>
  <c r="I67" i="27"/>
  <c r="J67" i="27" s="1"/>
  <c r="L67" i="27" s="1"/>
  <c r="I68" i="27" a="1"/>
  <c r="I68" i="27" s="1"/>
  <c r="J68" i="27" s="1"/>
  <c r="L68" i="27" s="1"/>
  <c r="I69" i="27" a="1"/>
  <c r="I69" i="27" s="1"/>
  <c r="J69" i="27" s="1"/>
  <c r="L69" i="27" s="1"/>
  <c r="I70" i="27" a="1"/>
  <c r="I70" i="27" s="1"/>
  <c r="J70" i="27" s="1"/>
  <c r="L70" i="27" s="1"/>
  <c r="I71" i="27" a="1"/>
  <c r="I71" i="27" s="1"/>
  <c r="J71" i="27" s="1"/>
  <c r="L71" i="27" s="1"/>
  <c r="I72" i="27" a="1"/>
  <c r="I72" i="27" s="1"/>
  <c r="J72" i="27" s="1"/>
  <c r="L72" i="27" s="1"/>
  <c r="I73" i="27" a="1"/>
  <c r="I73" i="27"/>
  <c r="J73" i="27" s="1"/>
  <c r="L73" i="27" s="1"/>
  <c r="I8" i="27" a="1"/>
  <c r="I8" i="27" s="1"/>
  <c r="J8" i="27" s="1"/>
  <c r="L8" i="27" s="1"/>
  <c r="I9" i="26" a="1"/>
  <c r="I9" i="26" s="1"/>
  <c r="J9" i="26" s="1"/>
  <c r="L9" i="26" s="1"/>
  <c r="I10" i="26" a="1"/>
  <c r="I10" i="26" s="1"/>
  <c r="J10" i="26" s="1"/>
  <c r="L10" i="26" s="1"/>
  <c r="I11" i="26" a="1"/>
  <c r="I11" i="26" s="1"/>
  <c r="J11" i="26" s="1"/>
  <c r="L11" i="26" s="1"/>
  <c r="I12" i="26" a="1"/>
  <c r="I12" i="26" s="1"/>
  <c r="J12" i="26" s="1"/>
  <c r="L12" i="26" s="1"/>
  <c r="I13" i="26" a="1"/>
  <c r="I13" i="26" s="1"/>
  <c r="J13" i="26" s="1"/>
  <c r="L13" i="26" s="1"/>
  <c r="I14" i="26" a="1"/>
  <c r="I14" i="26" s="1"/>
  <c r="J14" i="26" s="1"/>
  <c r="L14" i="26" s="1"/>
  <c r="I15" i="26" a="1"/>
  <c r="I15" i="26" s="1"/>
  <c r="J15" i="26" s="1"/>
  <c r="L15" i="26" s="1"/>
  <c r="I16" i="26" a="1"/>
  <c r="I16" i="26" s="1"/>
  <c r="J16" i="26" s="1"/>
  <c r="L16" i="26" s="1"/>
  <c r="I17" i="26" a="1"/>
  <c r="I17" i="26" s="1"/>
  <c r="J17" i="26" s="1"/>
  <c r="L17" i="26" s="1"/>
  <c r="I18" i="26" a="1"/>
  <c r="I18" i="26" s="1"/>
  <c r="J18" i="26" s="1"/>
  <c r="L18" i="26" s="1"/>
  <c r="I19" i="26" a="1"/>
  <c r="I19" i="26" s="1"/>
  <c r="J19" i="26" s="1"/>
  <c r="L19" i="26" s="1"/>
  <c r="I20" i="26" a="1"/>
  <c r="I20" i="26" s="1"/>
  <c r="J20" i="26" s="1"/>
  <c r="L20" i="26" s="1"/>
  <c r="I21" i="26" a="1"/>
  <c r="I21" i="26" s="1"/>
  <c r="J21" i="26" s="1"/>
  <c r="L21" i="26" s="1"/>
  <c r="I22" i="26" a="1"/>
  <c r="I22" i="26" s="1"/>
  <c r="J22" i="26" s="1"/>
  <c r="L22" i="26" s="1"/>
  <c r="I23" i="26" a="1"/>
  <c r="I23" i="26" s="1"/>
  <c r="J23" i="26" s="1"/>
  <c r="L23" i="26" s="1"/>
  <c r="I24" i="26" a="1"/>
  <c r="I24" i="26"/>
  <c r="J24" i="26" s="1"/>
  <c r="L24" i="26" s="1"/>
  <c r="I25" i="26" a="1"/>
  <c r="I25" i="26" s="1"/>
  <c r="J25" i="26" s="1"/>
  <c r="L25" i="26" s="1"/>
  <c r="I26" i="26" a="1"/>
  <c r="I26" i="26" s="1"/>
  <c r="J26" i="26" s="1"/>
  <c r="L26" i="26" s="1"/>
  <c r="I27" i="26" a="1"/>
  <c r="I27" i="26" s="1"/>
  <c r="J27" i="26" s="1"/>
  <c r="L27" i="26" s="1"/>
  <c r="I28" i="26" a="1"/>
  <c r="I28" i="26" s="1"/>
  <c r="J28" i="26" s="1"/>
  <c r="L28" i="26" s="1"/>
  <c r="I29" i="26" a="1"/>
  <c r="I29" i="26" s="1"/>
  <c r="J29" i="26" s="1"/>
  <c r="L29" i="26" s="1"/>
  <c r="I30" i="26" a="1"/>
  <c r="I30" i="26" s="1"/>
  <c r="J30" i="26" s="1"/>
  <c r="L30" i="26" s="1"/>
  <c r="I31" i="26" a="1"/>
  <c r="I31" i="26" s="1"/>
  <c r="J31" i="26" s="1"/>
  <c r="L31" i="26" s="1"/>
  <c r="I32" i="26" a="1"/>
  <c r="I32" i="26" s="1"/>
  <c r="J32" i="26" s="1"/>
  <c r="L32" i="26" s="1"/>
  <c r="I33" i="26" a="1"/>
  <c r="I33" i="26" s="1"/>
  <c r="J33" i="26" s="1"/>
  <c r="L33" i="26" s="1"/>
  <c r="I34" i="26" a="1"/>
  <c r="I34" i="26" s="1"/>
  <c r="J34" i="26" s="1"/>
  <c r="L34" i="26" s="1"/>
  <c r="I35" i="26" a="1"/>
  <c r="I35" i="26" s="1"/>
  <c r="J35" i="26" s="1"/>
  <c r="L35" i="26" s="1"/>
  <c r="I36" i="26" a="1"/>
  <c r="I36" i="26" s="1"/>
  <c r="J36" i="26" s="1"/>
  <c r="L36" i="26" s="1"/>
  <c r="I37" i="26" a="1"/>
  <c r="I37" i="26" s="1"/>
  <c r="J37" i="26" s="1"/>
  <c r="L37" i="26" s="1"/>
  <c r="I38" i="26" a="1"/>
  <c r="I38" i="26"/>
  <c r="J38" i="26" s="1"/>
  <c r="L38" i="26" s="1"/>
  <c r="I39" i="26" a="1"/>
  <c r="I39" i="26" s="1"/>
  <c r="J39" i="26" s="1"/>
  <c r="L39" i="26" s="1"/>
  <c r="I40" i="26" a="1"/>
  <c r="I40" i="26" s="1"/>
  <c r="J40" i="26" s="1"/>
  <c r="L40" i="26" s="1"/>
  <c r="I41" i="26" a="1"/>
  <c r="I41" i="26" s="1"/>
  <c r="J41" i="26" s="1"/>
  <c r="L41" i="26" s="1"/>
  <c r="I42" i="26" a="1"/>
  <c r="I42" i="26"/>
  <c r="I43" i="26" a="1"/>
  <c r="I43" i="26" s="1"/>
  <c r="J43" i="26" s="1"/>
  <c r="L43" i="26" s="1"/>
  <c r="I44" i="26" a="1"/>
  <c r="I44" i="26" s="1"/>
  <c r="J44" i="26" s="1"/>
  <c r="L44" i="26" s="1"/>
  <c r="I45" i="26" a="1"/>
  <c r="I45" i="26" s="1"/>
  <c r="J45" i="26" s="1"/>
  <c r="L45" i="26" s="1"/>
  <c r="I46" i="26" a="1"/>
  <c r="I46" i="26" s="1"/>
  <c r="J46" i="26" s="1"/>
  <c r="L46" i="26" s="1"/>
  <c r="I47" i="26" a="1"/>
  <c r="I47" i="26" s="1"/>
  <c r="J47" i="26" s="1"/>
  <c r="L47" i="26" s="1"/>
  <c r="I48" i="26" a="1"/>
  <c r="I48" i="26" s="1"/>
  <c r="J48" i="26" s="1"/>
  <c r="L48" i="26" s="1"/>
  <c r="I49" i="26" a="1"/>
  <c r="I49" i="26" s="1"/>
  <c r="J49" i="26" s="1"/>
  <c r="L49" i="26" s="1"/>
  <c r="I50" i="26" a="1"/>
  <c r="I50" i="26" s="1"/>
  <c r="J50" i="26" s="1"/>
  <c r="L50" i="26" s="1"/>
  <c r="I51" i="26" a="1"/>
  <c r="I51" i="26" s="1"/>
  <c r="J51" i="26" s="1"/>
  <c r="L51" i="26" s="1"/>
  <c r="I52" i="26" a="1"/>
  <c r="I52" i="26" s="1"/>
  <c r="J52" i="26" s="1"/>
  <c r="L52" i="26" s="1"/>
  <c r="I53" i="26" a="1"/>
  <c r="I53" i="26" s="1"/>
  <c r="J53" i="26" s="1"/>
  <c r="L53" i="26" s="1"/>
  <c r="I54" i="26" a="1"/>
  <c r="I54" i="26"/>
  <c r="J54" i="26" s="1"/>
  <c r="L54" i="26" s="1"/>
  <c r="I55" i="26" a="1"/>
  <c r="I55" i="26" s="1"/>
  <c r="J55" i="26" s="1"/>
  <c r="L55" i="26" s="1"/>
  <c r="I56" i="26" a="1"/>
  <c r="I56" i="26"/>
  <c r="J56" i="26" s="1"/>
  <c r="L56" i="26" s="1"/>
  <c r="I57" i="26" a="1"/>
  <c r="I57" i="26" s="1"/>
  <c r="J57" i="26" s="1"/>
  <c r="L57" i="26" s="1"/>
  <c r="I58" i="26" a="1"/>
  <c r="I58" i="26" s="1"/>
  <c r="J58" i="26" s="1"/>
  <c r="L58" i="26" s="1"/>
  <c r="I59" i="26" a="1"/>
  <c r="I59" i="26" s="1"/>
  <c r="J59" i="26" s="1"/>
  <c r="L59" i="26" s="1"/>
  <c r="I60" i="26" a="1"/>
  <c r="I60" i="26" s="1"/>
  <c r="J60" i="26" s="1"/>
  <c r="L60" i="26" s="1"/>
  <c r="I61" i="26" a="1"/>
  <c r="I61" i="26" s="1"/>
  <c r="J61" i="26" s="1"/>
  <c r="L61" i="26" s="1"/>
  <c r="I62" i="26" a="1"/>
  <c r="I62" i="26"/>
  <c r="J62" i="26" s="1"/>
  <c r="L62" i="26" s="1"/>
  <c r="I63" i="26" a="1"/>
  <c r="I63" i="26" s="1"/>
  <c r="J63" i="26" s="1"/>
  <c r="L63" i="26" s="1"/>
  <c r="I64" i="26" a="1"/>
  <c r="I64" i="26" s="1"/>
  <c r="J64" i="26" s="1"/>
  <c r="L64" i="26" s="1"/>
  <c r="I65" i="26" a="1"/>
  <c r="I65" i="26" s="1"/>
  <c r="J65" i="26" s="1"/>
  <c r="L65" i="26" s="1"/>
  <c r="I66" i="26" a="1"/>
  <c r="I66" i="26" s="1"/>
  <c r="J66" i="26" s="1"/>
  <c r="L66" i="26" s="1"/>
  <c r="I67" i="26" a="1"/>
  <c r="I67" i="26" s="1"/>
  <c r="J67" i="26" s="1"/>
  <c r="L67" i="26" s="1"/>
  <c r="I68" i="26" a="1"/>
  <c r="I68" i="26" s="1"/>
  <c r="J68" i="26" s="1"/>
  <c r="L68" i="26" s="1"/>
  <c r="I69" i="26" a="1"/>
  <c r="I69" i="26" s="1"/>
  <c r="J69" i="26" s="1"/>
  <c r="L69" i="26" s="1"/>
  <c r="I70" i="26" a="1"/>
  <c r="I70" i="26" s="1"/>
  <c r="J70" i="26" s="1"/>
  <c r="L70" i="26" s="1"/>
  <c r="I71" i="26" a="1"/>
  <c r="I71" i="26" s="1"/>
  <c r="J71" i="26" s="1"/>
  <c r="L71" i="26" s="1"/>
  <c r="I72" i="26" a="1"/>
  <c r="I72" i="26"/>
  <c r="J72" i="26" s="1"/>
  <c r="L72" i="26" s="1"/>
  <c r="I73" i="26" a="1"/>
  <c r="I73" i="26" s="1"/>
  <c r="J73" i="26" s="1"/>
  <c r="L73" i="26" s="1"/>
  <c r="I8" i="26" a="1"/>
  <c r="I8" i="26" s="1"/>
  <c r="J8" i="26" s="1"/>
  <c r="L8" i="26" s="1"/>
  <c r="I9" i="25" a="1"/>
  <c r="I9" i="25" s="1"/>
  <c r="J9" i="25" s="1"/>
  <c r="L9" i="25" s="1"/>
  <c r="I10" i="25" a="1"/>
  <c r="I10" i="25" s="1"/>
  <c r="J10" i="25" s="1"/>
  <c r="L10" i="25" s="1"/>
  <c r="I11" i="25" a="1"/>
  <c r="I11" i="25" s="1"/>
  <c r="J11" i="25" s="1"/>
  <c r="L11" i="25" s="1"/>
  <c r="I12" i="25" a="1"/>
  <c r="I12" i="25" s="1"/>
  <c r="J12" i="25" s="1"/>
  <c r="L12" i="25" s="1"/>
  <c r="I13" i="25" a="1"/>
  <c r="I13" i="25" s="1"/>
  <c r="J13" i="25" s="1"/>
  <c r="L13" i="25" s="1"/>
  <c r="I14" i="25" a="1"/>
  <c r="I14" i="25" s="1"/>
  <c r="J14" i="25" s="1"/>
  <c r="L14" i="25" s="1"/>
  <c r="I15" i="25" a="1"/>
  <c r="I15" i="25" s="1"/>
  <c r="J15" i="25" s="1"/>
  <c r="L15" i="25" s="1"/>
  <c r="I16" i="25" a="1"/>
  <c r="I16" i="25" s="1"/>
  <c r="J16" i="25" s="1"/>
  <c r="L16" i="25" s="1"/>
  <c r="I17" i="25" a="1"/>
  <c r="I17" i="25" s="1"/>
  <c r="J17" i="25" s="1"/>
  <c r="L17" i="25" s="1"/>
  <c r="I18" i="25" a="1"/>
  <c r="I18" i="25" s="1"/>
  <c r="J18" i="25" s="1"/>
  <c r="L18" i="25" s="1"/>
  <c r="I19" i="25" a="1"/>
  <c r="I19" i="25" s="1"/>
  <c r="J19" i="25" s="1"/>
  <c r="L19" i="25" s="1"/>
  <c r="I20" i="25" a="1"/>
  <c r="I20" i="25" s="1"/>
  <c r="J20" i="25" s="1"/>
  <c r="L20" i="25" s="1"/>
  <c r="I21" i="25" a="1"/>
  <c r="I21" i="25" s="1"/>
  <c r="J21" i="25" s="1"/>
  <c r="L21" i="25" s="1"/>
  <c r="I22" i="25" a="1"/>
  <c r="I22" i="25" s="1"/>
  <c r="J22" i="25" s="1"/>
  <c r="L22" i="25" s="1"/>
  <c r="I23" i="25" a="1"/>
  <c r="I23" i="25" s="1"/>
  <c r="J23" i="25" s="1"/>
  <c r="L23" i="25" s="1"/>
  <c r="I24" i="25" a="1"/>
  <c r="I24" i="25" s="1"/>
  <c r="J24" i="25" s="1"/>
  <c r="L24" i="25" s="1"/>
  <c r="I25" i="25" a="1"/>
  <c r="I25" i="25" s="1"/>
  <c r="J25" i="25" s="1"/>
  <c r="L25" i="25" s="1"/>
  <c r="I26" i="25" a="1"/>
  <c r="I26" i="25" s="1"/>
  <c r="J26" i="25" s="1"/>
  <c r="L26" i="25" s="1"/>
  <c r="I27" i="25" a="1"/>
  <c r="I27" i="25" s="1"/>
  <c r="J27" i="25" s="1"/>
  <c r="L27" i="25" s="1"/>
  <c r="I28" i="25" a="1"/>
  <c r="I28" i="25" s="1"/>
  <c r="J28" i="25" s="1"/>
  <c r="L28" i="25" s="1"/>
  <c r="I29" i="25" a="1"/>
  <c r="I29" i="25" s="1"/>
  <c r="J29" i="25" s="1"/>
  <c r="L29" i="25" s="1"/>
  <c r="I30" i="25" a="1"/>
  <c r="I30" i="25" s="1"/>
  <c r="J30" i="25" s="1"/>
  <c r="L30" i="25" s="1"/>
  <c r="I31" i="25" a="1"/>
  <c r="I31" i="25" s="1"/>
  <c r="J31" i="25" s="1"/>
  <c r="L31" i="25" s="1"/>
  <c r="I32" i="25" a="1"/>
  <c r="I32" i="25"/>
  <c r="J32" i="25" s="1"/>
  <c r="L32" i="25" s="1"/>
  <c r="I33" i="25" a="1"/>
  <c r="I33" i="25" s="1"/>
  <c r="J33" i="25" s="1"/>
  <c r="L33" i="25" s="1"/>
  <c r="I34" i="25" a="1"/>
  <c r="I34" i="25" s="1"/>
  <c r="J34" i="25" s="1"/>
  <c r="L34" i="25" s="1"/>
  <c r="I35" i="25" a="1"/>
  <c r="I35" i="25" s="1"/>
  <c r="J35" i="25" s="1"/>
  <c r="L35" i="25" s="1"/>
  <c r="I36" i="25" a="1"/>
  <c r="I36" i="25" s="1"/>
  <c r="J36" i="25" s="1"/>
  <c r="L36" i="25" s="1"/>
  <c r="I37" i="25" a="1"/>
  <c r="I37" i="25" s="1"/>
  <c r="J37" i="25" s="1"/>
  <c r="L37" i="25" s="1"/>
  <c r="I38" i="25" a="1"/>
  <c r="I38" i="25" s="1"/>
  <c r="J38" i="25" s="1"/>
  <c r="L38" i="25" s="1"/>
  <c r="I39" i="25" a="1"/>
  <c r="I39" i="25" s="1"/>
  <c r="J39" i="25" s="1"/>
  <c r="L39" i="25" s="1"/>
  <c r="I40" i="25" a="1"/>
  <c r="I40" i="25" s="1"/>
  <c r="J40" i="25" s="1"/>
  <c r="L40" i="25" s="1"/>
  <c r="I41" i="25" a="1"/>
  <c r="I41" i="25"/>
  <c r="J41" i="25" s="1"/>
  <c r="L41" i="25" s="1"/>
  <c r="I42" i="25" a="1"/>
  <c r="I42" i="25" s="1"/>
  <c r="J42" i="25" s="1"/>
  <c r="L42" i="25" s="1"/>
  <c r="I43" i="25" a="1"/>
  <c r="I43" i="25" s="1"/>
  <c r="J43" i="25" s="1"/>
  <c r="L43" i="25" s="1"/>
  <c r="I44" i="25" a="1"/>
  <c r="I44" i="25"/>
  <c r="J44" i="25" s="1"/>
  <c r="L44" i="25" s="1"/>
  <c r="I45" i="25" a="1"/>
  <c r="I45" i="25" s="1"/>
  <c r="J45" i="25" s="1"/>
  <c r="L45" i="25" s="1"/>
  <c r="I46" i="25" a="1"/>
  <c r="I46" i="25" s="1"/>
  <c r="J46" i="25" s="1"/>
  <c r="L46" i="25" s="1"/>
  <c r="I47" i="25" a="1"/>
  <c r="I47" i="25" s="1"/>
  <c r="J47" i="25" s="1"/>
  <c r="L47" i="25" s="1"/>
  <c r="I48" i="25" a="1"/>
  <c r="I48" i="25"/>
  <c r="J48" i="25" s="1"/>
  <c r="L48" i="25" s="1"/>
  <c r="I49" i="25" a="1"/>
  <c r="I49" i="25" s="1"/>
  <c r="J49" i="25" s="1"/>
  <c r="L49" i="25" s="1"/>
  <c r="I50" i="25" a="1"/>
  <c r="I50" i="25"/>
  <c r="J50" i="25" s="1"/>
  <c r="L50" i="25" s="1"/>
  <c r="I51" i="25" a="1"/>
  <c r="I51" i="25" s="1"/>
  <c r="J51" i="25" s="1"/>
  <c r="L51" i="25" s="1"/>
  <c r="I52" i="25" a="1"/>
  <c r="I52" i="25" s="1"/>
  <c r="J52" i="25" s="1"/>
  <c r="L52" i="25" s="1"/>
  <c r="I53" i="25" a="1"/>
  <c r="I53" i="25" s="1"/>
  <c r="J53" i="25" s="1"/>
  <c r="L53" i="25" s="1"/>
  <c r="I54" i="25" a="1"/>
  <c r="I54" i="25" s="1"/>
  <c r="J54" i="25" s="1"/>
  <c r="L54" i="25" s="1"/>
  <c r="I55" i="25" a="1"/>
  <c r="I55" i="25" s="1"/>
  <c r="J55" i="25" s="1"/>
  <c r="L55" i="25" s="1"/>
  <c r="I56" i="25" a="1"/>
  <c r="I56" i="25" s="1"/>
  <c r="J56" i="25" s="1"/>
  <c r="L56" i="25" s="1"/>
  <c r="I57" i="25" a="1"/>
  <c r="I57" i="25" s="1"/>
  <c r="J57" i="25" s="1"/>
  <c r="L57" i="25" s="1"/>
  <c r="I58" i="25" a="1"/>
  <c r="I58" i="25" s="1"/>
  <c r="J58" i="25" s="1"/>
  <c r="L58" i="25" s="1"/>
  <c r="I59" i="25" a="1"/>
  <c r="I59" i="25" s="1"/>
  <c r="J59" i="25" s="1"/>
  <c r="L59" i="25" s="1"/>
  <c r="I60" i="25" a="1"/>
  <c r="I60" i="25" s="1"/>
  <c r="J60" i="25" s="1"/>
  <c r="L60" i="25" s="1"/>
  <c r="I61" i="25" a="1"/>
  <c r="I61" i="25" s="1"/>
  <c r="J61" i="25" s="1"/>
  <c r="L61" i="25" s="1"/>
  <c r="I62" i="25" a="1"/>
  <c r="I62" i="25"/>
  <c r="J62" i="25" s="1"/>
  <c r="L62" i="25" s="1"/>
  <c r="I63" i="25" a="1"/>
  <c r="I63" i="25" s="1"/>
  <c r="J63" i="25" s="1"/>
  <c r="L63" i="25" s="1"/>
  <c r="I64" i="25" a="1"/>
  <c r="I64" i="25" s="1"/>
  <c r="J64" i="25" s="1"/>
  <c r="L64" i="25" s="1"/>
  <c r="I65" i="25" a="1"/>
  <c r="I65" i="25" s="1"/>
  <c r="J65" i="25" s="1"/>
  <c r="L65" i="25" s="1"/>
  <c r="I66" i="25" a="1"/>
  <c r="I66" i="25" s="1"/>
  <c r="J66" i="25" s="1"/>
  <c r="L66" i="25" s="1"/>
  <c r="I67" i="25" a="1"/>
  <c r="I67" i="25" s="1"/>
  <c r="J67" i="25" s="1"/>
  <c r="L67" i="25" s="1"/>
  <c r="I68" i="25" a="1"/>
  <c r="I68" i="25" s="1"/>
  <c r="J68" i="25" s="1"/>
  <c r="L68" i="25" s="1"/>
  <c r="I69" i="25" a="1"/>
  <c r="I69" i="25" s="1"/>
  <c r="J69" i="25" s="1"/>
  <c r="L69" i="25" s="1"/>
  <c r="I70" i="25" a="1"/>
  <c r="I70" i="25"/>
  <c r="J70" i="25" s="1"/>
  <c r="L70" i="25" s="1"/>
  <c r="I71" i="25" a="1"/>
  <c r="I71" i="25" s="1"/>
  <c r="J71" i="25" s="1"/>
  <c r="L71" i="25" s="1"/>
  <c r="I72" i="25" a="1"/>
  <c r="I72" i="25" s="1"/>
  <c r="J72" i="25" s="1"/>
  <c r="L72" i="25" s="1"/>
  <c r="I73" i="25" a="1"/>
  <c r="I73" i="25" s="1"/>
  <c r="J73" i="25" s="1"/>
  <c r="L73" i="25" s="1"/>
  <c r="I8" i="25" a="1"/>
  <c r="I8" i="25" s="1"/>
  <c r="J8" i="25" s="1"/>
  <c r="L8" i="25" s="1"/>
  <c r="I9" i="24" a="1"/>
  <c r="I9" i="24" s="1"/>
  <c r="J9" i="24" s="1"/>
  <c r="L9" i="24" s="1"/>
  <c r="I10" i="24" a="1"/>
  <c r="I10" i="24" s="1"/>
  <c r="J10" i="24" s="1"/>
  <c r="L10" i="24" s="1"/>
  <c r="I11" i="24" a="1"/>
  <c r="I11" i="24"/>
  <c r="J11" i="24" s="1"/>
  <c r="L11" i="24" s="1"/>
  <c r="I12" i="24" a="1"/>
  <c r="I12" i="24" s="1"/>
  <c r="J12" i="24" s="1"/>
  <c r="L12" i="24" s="1"/>
  <c r="I13" i="24" a="1"/>
  <c r="I13" i="24" s="1"/>
  <c r="J13" i="24" s="1"/>
  <c r="L13" i="24" s="1"/>
  <c r="I14" i="24" a="1"/>
  <c r="I14" i="24"/>
  <c r="J14" i="24" s="1"/>
  <c r="L14" i="24" s="1"/>
  <c r="I15" i="24" a="1"/>
  <c r="I15" i="24" s="1"/>
  <c r="J15" i="24" s="1"/>
  <c r="L15" i="24" s="1"/>
  <c r="I16" i="24" a="1"/>
  <c r="I16" i="24" s="1"/>
  <c r="J16" i="24" s="1"/>
  <c r="L16" i="24" s="1"/>
  <c r="I17" i="24" a="1"/>
  <c r="I17" i="24"/>
  <c r="J17" i="24" s="1"/>
  <c r="L17" i="24" s="1"/>
  <c r="I18" i="24" a="1"/>
  <c r="I18" i="24"/>
  <c r="J18" i="24" s="1"/>
  <c r="L18" i="24" s="1"/>
  <c r="I19" i="24" a="1"/>
  <c r="I19" i="24" s="1"/>
  <c r="J19" i="24" s="1"/>
  <c r="L19" i="24" s="1"/>
  <c r="I20" i="24" a="1"/>
  <c r="I20" i="24" s="1"/>
  <c r="J20" i="24" s="1"/>
  <c r="L20" i="24" s="1"/>
  <c r="I21" i="24" a="1"/>
  <c r="I21" i="24" s="1"/>
  <c r="J21" i="24" s="1"/>
  <c r="L21" i="24" s="1"/>
  <c r="I22" i="24" a="1"/>
  <c r="I22" i="24" s="1"/>
  <c r="J22" i="24" s="1"/>
  <c r="L22" i="24" s="1"/>
  <c r="I23" i="24" a="1"/>
  <c r="I23" i="24"/>
  <c r="J23" i="24" s="1"/>
  <c r="L23" i="24" s="1"/>
  <c r="I24" i="24" a="1"/>
  <c r="I24" i="24"/>
  <c r="J24" i="24" s="1"/>
  <c r="L24" i="24" s="1"/>
  <c r="I25" i="24" a="1"/>
  <c r="I25" i="24"/>
  <c r="J25" i="24" s="1"/>
  <c r="L25" i="24" s="1"/>
  <c r="I26" i="24" a="1"/>
  <c r="I26" i="24" s="1"/>
  <c r="J26" i="24" s="1"/>
  <c r="L26" i="24" s="1"/>
  <c r="I27" i="24" a="1"/>
  <c r="I27" i="24" s="1"/>
  <c r="J27" i="24" s="1"/>
  <c r="L27" i="24" s="1"/>
  <c r="I28" i="24" a="1"/>
  <c r="I28" i="24" s="1"/>
  <c r="J28" i="24" s="1"/>
  <c r="L28" i="24" s="1"/>
  <c r="I29" i="24" a="1"/>
  <c r="I29" i="24"/>
  <c r="J29" i="24" s="1"/>
  <c r="L29" i="24" s="1"/>
  <c r="I30" i="24" a="1"/>
  <c r="I30" i="24"/>
  <c r="J30" i="24" s="1"/>
  <c r="L30" i="24" s="1"/>
  <c r="I31" i="24" a="1"/>
  <c r="I31" i="24"/>
  <c r="J31" i="24" s="1"/>
  <c r="L31" i="24" s="1"/>
  <c r="I32" i="24" a="1"/>
  <c r="I32" i="24"/>
  <c r="J32" i="24" s="1"/>
  <c r="L32" i="24" s="1"/>
  <c r="I33" i="24" a="1"/>
  <c r="I33" i="24" s="1"/>
  <c r="J33" i="24" s="1"/>
  <c r="L33" i="24" s="1"/>
  <c r="I34" i="24" a="1"/>
  <c r="I34" i="24" s="1"/>
  <c r="J34" i="24" s="1"/>
  <c r="L34" i="24" s="1"/>
  <c r="I35" i="24" a="1"/>
  <c r="I35" i="24" s="1"/>
  <c r="J35" i="24" s="1"/>
  <c r="L35" i="24" s="1"/>
  <c r="I36" i="24" a="1"/>
  <c r="I36" i="24"/>
  <c r="J36" i="24" s="1"/>
  <c r="L36" i="24" s="1"/>
  <c r="I37" i="24" a="1"/>
  <c r="I37" i="24"/>
  <c r="J37" i="24" s="1"/>
  <c r="L37" i="24" s="1"/>
  <c r="I38" i="24" a="1"/>
  <c r="I38" i="24"/>
  <c r="J38" i="24" s="1"/>
  <c r="L38" i="24" s="1"/>
  <c r="I39" i="24" a="1"/>
  <c r="I39" i="24" s="1"/>
  <c r="J39" i="24" s="1"/>
  <c r="L39" i="24" s="1"/>
  <c r="I40" i="24" a="1"/>
  <c r="I40" i="24" s="1"/>
  <c r="J40" i="24" s="1"/>
  <c r="L40" i="24" s="1"/>
  <c r="I41" i="24" a="1"/>
  <c r="I41" i="24" s="1"/>
  <c r="J41" i="24" s="1"/>
  <c r="L41" i="24" s="1"/>
  <c r="I42" i="24" a="1"/>
  <c r="I42" i="24" s="1"/>
  <c r="J42" i="24" s="1"/>
  <c r="L42" i="24" s="1"/>
  <c r="I43" i="24" a="1"/>
  <c r="I43" i="24" s="1"/>
  <c r="J43" i="24" s="1"/>
  <c r="L43" i="24" s="1"/>
  <c r="I44" i="24" a="1"/>
  <c r="I44" i="24" s="1"/>
  <c r="J44" i="24" s="1"/>
  <c r="L44" i="24" s="1"/>
  <c r="I45" i="24" a="1"/>
  <c r="I45" i="24" s="1"/>
  <c r="J45" i="24" s="1"/>
  <c r="L45" i="24" s="1"/>
  <c r="I46" i="24" a="1"/>
  <c r="I46" i="24" s="1"/>
  <c r="J46" i="24" s="1"/>
  <c r="L46" i="24" s="1"/>
  <c r="I47" i="24" a="1"/>
  <c r="I47" i="24"/>
  <c r="J47" i="24" s="1"/>
  <c r="L47" i="24" s="1"/>
  <c r="I48" i="24" a="1"/>
  <c r="I48" i="24"/>
  <c r="J48" i="24" s="1"/>
  <c r="L48" i="24" s="1"/>
  <c r="I49" i="24" a="1"/>
  <c r="I49" i="24" s="1"/>
  <c r="J49" i="24" s="1"/>
  <c r="L49" i="24" s="1"/>
  <c r="I50" i="24" a="1"/>
  <c r="I50" i="24" s="1"/>
  <c r="J50" i="24" s="1"/>
  <c r="L50" i="24" s="1"/>
  <c r="I51" i="24" a="1"/>
  <c r="I51" i="24" s="1"/>
  <c r="J51" i="24" s="1"/>
  <c r="L51" i="24" s="1"/>
  <c r="I52" i="24" a="1"/>
  <c r="I52" i="24" s="1"/>
  <c r="J52" i="24" s="1"/>
  <c r="L52" i="24" s="1"/>
  <c r="I53" i="24" a="1"/>
  <c r="I53" i="24"/>
  <c r="J53" i="24" s="1"/>
  <c r="L53" i="24" s="1"/>
  <c r="I54" i="24" a="1"/>
  <c r="I54" i="24"/>
  <c r="J54" i="24" s="1"/>
  <c r="L54" i="24" s="1"/>
  <c r="I55" i="24" a="1"/>
  <c r="I55" i="24" s="1"/>
  <c r="J55" i="24" s="1"/>
  <c r="L55" i="24" s="1"/>
  <c r="I56" i="24" a="1"/>
  <c r="I56" i="24"/>
  <c r="J56" i="24" s="1"/>
  <c r="L56" i="24" s="1"/>
  <c r="I57" i="24" a="1"/>
  <c r="I57" i="24" s="1"/>
  <c r="J57" i="24" s="1"/>
  <c r="L57" i="24" s="1"/>
  <c r="I58" i="24" a="1"/>
  <c r="I58" i="24" s="1"/>
  <c r="J58" i="24" s="1"/>
  <c r="L58" i="24" s="1"/>
  <c r="I59" i="24" a="1"/>
  <c r="I59" i="24"/>
  <c r="J59" i="24" s="1"/>
  <c r="L59" i="24" s="1"/>
  <c r="I60" i="24" a="1"/>
  <c r="I60" i="24" s="1"/>
  <c r="J60" i="24" s="1"/>
  <c r="L60" i="24" s="1"/>
  <c r="I61" i="24" a="1"/>
  <c r="I61" i="24" s="1"/>
  <c r="J61" i="24" s="1"/>
  <c r="L61" i="24" s="1"/>
  <c r="I62" i="24" a="1"/>
  <c r="I62" i="24"/>
  <c r="J62" i="24" s="1"/>
  <c r="L62" i="24" s="1"/>
  <c r="I63" i="24" a="1"/>
  <c r="I63" i="24" s="1"/>
  <c r="J63" i="24" s="1"/>
  <c r="L63" i="24" s="1"/>
  <c r="I64" i="24" a="1"/>
  <c r="I64" i="24" s="1"/>
  <c r="J64" i="24" s="1"/>
  <c r="L64" i="24" s="1"/>
  <c r="I65" i="24" a="1"/>
  <c r="I65" i="24" s="1"/>
  <c r="J65" i="24" s="1"/>
  <c r="L65" i="24" s="1"/>
  <c r="I66" i="24" a="1"/>
  <c r="I66" i="24" s="1"/>
  <c r="J66" i="24" s="1"/>
  <c r="L66" i="24" s="1"/>
  <c r="I67" i="24" a="1"/>
  <c r="I67" i="24" s="1"/>
  <c r="J67" i="24" s="1"/>
  <c r="L67" i="24" s="1"/>
  <c r="I68" i="24" a="1"/>
  <c r="I68" i="24" s="1"/>
  <c r="J68" i="24" s="1"/>
  <c r="L68" i="24" s="1"/>
  <c r="I69" i="24" a="1"/>
  <c r="I69" i="24" s="1"/>
  <c r="J69" i="24" s="1"/>
  <c r="L69" i="24" s="1"/>
  <c r="I70" i="24" a="1"/>
  <c r="I70" i="24" s="1"/>
  <c r="J70" i="24" s="1"/>
  <c r="L70" i="24" s="1"/>
  <c r="I71" i="24" a="1"/>
  <c r="I71" i="24"/>
  <c r="J71" i="24" s="1"/>
  <c r="L71" i="24" s="1"/>
  <c r="I72" i="24" a="1"/>
  <c r="I72" i="24"/>
  <c r="J72" i="24" s="1"/>
  <c r="L72" i="24" s="1"/>
  <c r="I73" i="24" a="1"/>
  <c r="I73" i="24" s="1"/>
  <c r="J73" i="24" s="1"/>
  <c r="L73" i="24" s="1"/>
  <c r="I8" i="24" a="1"/>
  <c r="I8" i="24" s="1"/>
  <c r="J8" i="24" s="1"/>
  <c r="L8" i="24" s="1"/>
  <c r="I9" i="16" a="1"/>
  <c r="I9" i="16" s="1"/>
  <c r="J9" i="16" s="1"/>
  <c r="L9" i="16" s="1"/>
  <c r="I10" i="16" a="1"/>
  <c r="I10" i="16" s="1"/>
  <c r="J10" i="16" s="1"/>
  <c r="L10" i="16" s="1"/>
  <c r="I11" i="16" a="1"/>
  <c r="I11" i="16" s="1"/>
  <c r="J11" i="16" s="1"/>
  <c r="L11" i="16" s="1"/>
  <c r="I12" i="16" a="1"/>
  <c r="I12" i="16"/>
  <c r="J12" i="16" s="1"/>
  <c r="L12" i="16" s="1"/>
  <c r="I13" i="16" a="1"/>
  <c r="I13" i="16"/>
  <c r="I14" i="16" a="1"/>
  <c r="I14" i="16"/>
  <c r="J14" i="16" s="1"/>
  <c r="L14" i="16" s="1"/>
  <c r="I15" i="16" a="1"/>
  <c r="I15" i="16" s="1"/>
  <c r="J15" i="16" s="1"/>
  <c r="L15" i="16" s="1"/>
  <c r="I16" i="16" a="1"/>
  <c r="I16" i="16" s="1"/>
  <c r="J16" i="16" s="1"/>
  <c r="L16" i="16" s="1"/>
  <c r="I17" i="16" a="1"/>
  <c r="I17" i="16" s="1"/>
  <c r="J17" i="16" s="1"/>
  <c r="L17" i="16" s="1"/>
  <c r="I18" i="16" a="1"/>
  <c r="I18" i="16" s="1"/>
  <c r="J18" i="16" s="1"/>
  <c r="L18" i="16" s="1"/>
  <c r="I19" i="16" a="1"/>
  <c r="I19" i="16"/>
  <c r="J19" i="16" s="1"/>
  <c r="L19" i="16" s="1"/>
  <c r="I20" i="16" a="1"/>
  <c r="I20" i="16"/>
  <c r="J20" i="16" s="1"/>
  <c r="L20" i="16" s="1"/>
  <c r="I21" i="16" a="1"/>
  <c r="I21" i="16" s="1"/>
  <c r="J21" i="16" s="1"/>
  <c r="L21" i="16" s="1"/>
  <c r="I22" i="16" a="1"/>
  <c r="I22" i="16" s="1"/>
  <c r="J22" i="16" s="1"/>
  <c r="L22" i="16" s="1"/>
  <c r="I23" i="16" a="1"/>
  <c r="I23" i="16" s="1"/>
  <c r="J23" i="16" s="1"/>
  <c r="L23" i="16" s="1"/>
  <c r="I24" i="16" a="1"/>
  <c r="I24" i="16" s="1"/>
  <c r="J24" i="16" s="1"/>
  <c r="L24" i="16" s="1"/>
  <c r="I25" i="16" a="1"/>
  <c r="I25" i="16" s="1"/>
  <c r="J25" i="16" s="1"/>
  <c r="L25" i="16" s="1"/>
  <c r="I26" i="16" a="1"/>
  <c r="I26" i="16"/>
  <c r="J26" i="16" s="1"/>
  <c r="L26" i="16" s="1"/>
  <c r="I27" i="16" a="1"/>
  <c r="I27" i="16" s="1"/>
  <c r="J27" i="16" s="1"/>
  <c r="L27" i="16" s="1"/>
  <c r="I28" i="16" a="1"/>
  <c r="I28" i="16" s="1"/>
  <c r="J28" i="16" s="1"/>
  <c r="L28" i="16" s="1"/>
  <c r="I29" i="16" a="1"/>
  <c r="I29" i="16" s="1"/>
  <c r="J29" i="16" s="1"/>
  <c r="L29" i="16" s="1"/>
  <c r="I30" i="16" a="1"/>
  <c r="I30" i="16" s="1"/>
  <c r="J30" i="16" s="1"/>
  <c r="L30" i="16" s="1"/>
  <c r="I31" i="16" a="1"/>
  <c r="I31" i="16" s="1"/>
  <c r="J31" i="16" s="1"/>
  <c r="L31" i="16" s="1"/>
  <c r="I32" i="16" a="1"/>
  <c r="I32" i="16" s="1"/>
  <c r="J32" i="16" s="1"/>
  <c r="L32" i="16" s="1"/>
  <c r="I33" i="16" a="1"/>
  <c r="I33" i="16" s="1"/>
  <c r="J33" i="16" s="1"/>
  <c r="L33" i="16" s="1"/>
  <c r="I34" i="16" a="1"/>
  <c r="I34" i="16" s="1"/>
  <c r="J34" i="16" s="1"/>
  <c r="L34" i="16" s="1"/>
  <c r="I35" i="16" a="1"/>
  <c r="I35" i="16"/>
  <c r="J35" i="16" s="1"/>
  <c r="L35" i="16" s="1"/>
  <c r="I36" i="16" a="1"/>
  <c r="I36" i="16"/>
  <c r="J36" i="16" s="1"/>
  <c r="L36" i="16" s="1"/>
  <c r="I37" i="16" a="1"/>
  <c r="I37" i="16" s="1"/>
  <c r="J37" i="16" s="1"/>
  <c r="L37" i="16" s="1"/>
  <c r="I38" i="16" a="1"/>
  <c r="I38" i="16" s="1"/>
  <c r="J38" i="16" s="1"/>
  <c r="L38" i="16" s="1"/>
  <c r="I39" i="16" a="1"/>
  <c r="I39" i="16" s="1"/>
  <c r="J39" i="16" s="1"/>
  <c r="L39" i="16" s="1"/>
  <c r="I40" i="16" a="1"/>
  <c r="I40" i="16" s="1"/>
  <c r="J40" i="16" s="1"/>
  <c r="L40" i="16" s="1"/>
  <c r="I41" i="16" a="1"/>
  <c r="I41" i="16"/>
  <c r="I42" i="16" a="1"/>
  <c r="I42" i="16"/>
  <c r="J42" i="16" s="1"/>
  <c r="L42" i="16" s="1"/>
  <c r="I43" i="16" a="1"/>
  <c r="I43" i="16" s="1"/>
  <c r="J43" i="16" s="1"/>
  <c r="L43" i="16" s="1"/>
  <c r="I44" i="16" a="1"/>
  <c r="I44" i="16"/>
  <c r="J44" i="16" s="1"/>
  <c r="L44" i="16" s="1"/>
  <c r="I45" i="16" a="1"/>
  <c r="I45" i="16" s="1"/>
  <c r="J45" i="16" s="1"/>
  <c r="L45" i="16" s="1"/>
  <c r="I46" i="16" a="1"/>
  <c r="I46" i="16" s="1"/>
  <c r="J46" i="16" s="1"/>
  <c r="L46" i="16" s="1"/>
  <c r="I47" i="16" a="1"/>
  <c r="I47" i="16" s="1"/>
  <c r="J47" i="16" s="1"/>
  <c r="L47" i="16" s="1"/>
  <c r="I48" i="16" a="1"/>
  <c r="I48" i="16" s="1"/>
  <c r="J48" i="16" s="1"/>
  <c r="L48" i="16" s="1"/>
  <c r="I49" i="16" a="1"/>
  <c r="I49" i="16" s="1"/>
  <c r="J49" i="16" s="1"/>
  <c r="L49" i="16" s="1"/>
  <c r="I50" i="16" a="1"/>
  <c r="I50" i="16"/>
  <c r="J50" i="16" s="1"/>
  <c r="L50" i="16" s="1"/>
  <c r="I51" i="16" a="1"/>
  <c r="I51" i="16" s="1"/>
  <c r="J51" i="16" s="1"/>
  <c r="L51" i="16" s="1"/>
  <c r="I52" i="16" a="1"/>
  <c r="I52" i="16" s="1"/>
  <c r="J52" i="16" s="1"/>
  <c r="L52" i="16" s="1"/>
  <c r="I53" i="16" a="1"/>
  <c r="I53" i="16" s="1"/>
  <c r="J53" i="16" s="1"/>
  <c r="L53" i="16" s="1"/>
  <c r="I54" i="16" a="1"/>
  <c r="I54" i="16"/>
  <c r="J54" i="16" s="1"/>
  <c r="L54" i="16" s="1"/>
  <c r="I55" i="16" a="1"/>
  <c r="I55" i="16" s="1"/>
  <c r="J55" i="16" s="1"/>
  <c r="L55" i="16" s="1"/>
  <c r="I56" i="16" a="1"/>
  <c r="I56" i="16" s="1"/>
  <c r="J56" i="16" s="1"/>
  <c r="L56" i="16" s="1"/>
  <c r="I57" i="16" a="1"/>
  <c r="I57" i="16" s="1"/>
  <c r="J57" i="16" s="1"/>
  <c r="L57" i="16" s="1"/>
  <c r="I58" i="16" a="1"/>
  <c r="I58" i="16" s="1"/>
  <c r="J58" i="16" s="1"/>
  <c r="L58" i="16" s="1"/>
  <c r="I59" i="16" a="1"/>
  <c r="I59" i="16"/>
  <c r="J59" i="16" s="1"/>
  <c r="L59" i="16" s="1"/>
  <c r="I60" i="16" a="1"/>
  <c r="I60" i="16"/>
  <c r="J60" i="16" s="1"/>
  <c r="L60" i="16" s="1"/>
  <c r="I61" i="16" a="1"/>
  <c r="I61" i="16" s="1"/>
  <c r="J61" i="16" s="1"/>
  <c r="L61" i="16" s="1"/>
  <c r="I62" i="16" a="1"/>
  <c r="I62" i="16"/>
  <c r="J62" i="16" s="1"/>
  <c r="L62" i="16" s="1"/>
  <c r="I63" i="16" a="1"/>
  <c r="I63" i="16" s="1"/>
  <c r="J63" i="16" s="1"/>
  <c r="L63" i="16" s="1"/>
  <c r="I64" i="16" a="1"/>
  <c r="I64" i="16" s="1"/>
  <c r="J64" i="16" s="1"/>
  <c r="L64" i="16" s="1"/>
  <c r="I65" i="16" a="1"/>
  <c r="I65" i="16"/>
  <c r="I66" i="16" a="1"/>
  <c r="I66" i="16"/>
  <c r="J66" i="16" s="1"/>
  <c r="L66" i="16" s="1"/>
  <c r="I67" i="16" a="1"/>
  <c r="I67" i="16" s="1"/>
  <c r="J67" i="16" s="1"/>
  <c r="L67" i="16" s="1"/>
  <c r="I68" i="16" a="1"/>
  <c r="I68" i="16"/>
  <c r="J68" i="16" s="1"/>
  <c r="L68" i="16" s="1"/>
  <c r="I69" i="16" a="1"/>
  <c r="I69" i="16" s="1"/>
  <c r="J69" i="16" s="1"/>
  <c r="L69" i="16" s="1"/>
  <c r="I70" i="16" a="1"/>
  <c r="I70" i="16" s="1"/>
  <c r="J70" i="16" s="1"/>
  <c r="L70" i="16" s="1"/>
  <c r="I71" i="16" a="1"/>
  <c r="I71" i="16" s="1"/>
  <c r="J71" i="16" s="1"/>
  <c r="L71" i="16" s="1"/>
  <c r="I72" i="16" a="1"/>
  <c r="I72" i="16" s="1"/>
  <c r="J72" i="16" s="1"/>
  <c r="L72" i="16" s="1"/>
  <c r="I73" i="16" a="1"/>
  <c r="I73" i="16" s="1"/>
  <c r="J73" i="16" s="1"/>
  <c r="L73" i="16" s="1"/>
  <c r="I8" i="16" a="1"/>
  <c r="I8" i="16"/>
  <c r="J8" i="16" s="1"/>
  <c r="L8" i="16" s="1"/>
  <c r="I73" i="15"/>
  <c r="I72" i="15"/>
  <c r="I71" i="15"/>
  <c r="I70" i="15"/>
  <c r="I69" i="15"/>
  <c r="I68" i="15"/>
  <c r="I67" i="15"/>
  <c r="I66" i="15"/>
  <c r="J66" i="15" s="1"/>
  <c r="L66" i="15" s="1"/>
  <c r="I65" i="15"/>
  <c r="J65" i="15" s="1"/>
  <c r="L65" i="15" s="1"/>
  <c r="I64" i="15"/>
  <c r="J64" i="15" s="1"/>
  <c r="L64" i="15" s="1"/>
  <c r="I63" i="15"/>
  <c r="J63" i="15" s="1"/>
  <c r="L63" i="15" s="1"/>
  <c r="I62" i="15"/>
  <c r="J62" i="15" s="1"/>
  <c r="L62" i="15" s="1"/>
  <c r="I61" i="15"/>
  <c r="I60" i="15"/>
  <c r="I59" i="15"/>
  <c r="I58" i="15"/>
  <c r="I57" i="15"/>
  <c r="I56" i="15"/>
  <c r="I55" i="15"/>
  <c r="I54" i="15"/>
  <c r="I53" i="15"/>
  <c r="I52" i="15"/>
  <c r="J52" i="15" s="1"/>
  <c r="L52" i="15" s="1"/>
  <c r="I51" i="15"/>
  <c r="J51" i="15" s="1"/>
  <c r="L51" i="15" s="1"/>
  <c r="I50" i="15"/>
  <c r="J50" i="15" s="1"/>
  <c r="L50" i="15" s="1"/>
  <c r="I49" i="15"/>
  <c r="I48" i="15"/>
  <c r="I47" i="15"/>
  <c r="I46" i="15"/>
  <c r="I45" i="15"/>
  <c r="I44" i="15"/>
  <c r="J44" i="15" s="1"/>
  <c r="L44" i="15" s="1"/>
  <c r="I43" i="15"/>
  <c r="I42" i="15"/>
  <c r="J42" i="15" s="1"/>
  <c r="L42" i="15" s="1"/>
  <c r="I41" i="15"/>
  <c r="J41" i="15" s="1"/>
  <c r="L41" i="15" s="1"/>
  <c r="I40" i="15"/>
  <c r="J40" i="15" s="1"/>
  <c r="L40" i="15" s="1"/>
  <c r="I39" i="15"/>
  <c r="J39" i="15" s="1"/>
  <c r="L39" i="15" s="1"/>
  <c r="I38" i="15"/>
  <c r="J38" i="15" s="1"/>
  <c r="L38" i="15" s="1"/>
  <c r="I37" i="15"/>
  <c r="I36" i="15"/>
  <c r="I35" i="15"/>
  <c r="I34" i="15"/>
  <c r="I33" i="15"/>
  <c r="I32" i="15"/>
  <c r="J32" i="15" s="1"/>
  <c r="L32" i="15" s="1"/>
  <c r="I31" i="15"/>
  <c r="I30" i="15"/>
  <c r="J30" i="15" s="1"/>
  <c r="L30" i="15" s="1"/>
  <c r="I29" i="15"/>
  <c r="J29" i="15" s="1"/>
  <c r="L29" i="15" s="1"/>
  <c r="I28" i="15"/>
  <c r="J28" i="15" s="1"/>
  <c r="L28" i="15" s="1"/>
  <c r="I27" i="15"/>
  <c r="J27" i="15" s="1"/>
  <c r="L27" i="15" s="1"/>
  <c r="I26" i="15"/>
  <c r="J26" i="15" s="1"/>
  <c r="L26" i="15" s="1"/>
  <c r="I25" i="15"/>
  <c r="I24" i="15"/>
  <c r="I23" i="15"/>
  <c r="I22" i="15"/>
  <c r="I21" i="15"/>
  <c r="I20" i="15"/>
  <c r="I19" i="15"/>
  <c r="I18" i="15"/>
  <c r="J18" i="15" s="1"/>
  <c r="L18" i="15" s="1"/>
  <c r="I17" i="15"/>
  <c r="J17" i="15" s="1"/>
  <c r="L17" i="15" s="1"/>
  <c r="I16" i="15"/>
  <c r="J16" i="15" s="1"/>
  <c r="L16" i="15" s="1"/>
  <c r="I15" i="15"/>
  <c r="J15" i="15" s="1"/>
  <c r="L15" i="15" s="1"/>
  <c r="I14" i="15"/>
  <c r="J14" i="15" s="1"/>
  <c r="L14" i="15" s="1"/>
  <c r="I13" i="15"/>
  <c r="I12" i="15"/>
  <c r="I11" i="15"/>
  <c r="I10" i="15"/>
  <c r="I9" i="15"/>
  <c r="I8" i="15"/>
  <c r="I9" i="14" a="1"/>
  <c r="I9" i="14" s="1"/>
  <c r="J9" i="14" s="1"/>
  <c r="L9" i="14" s="1"/>
  <c r="I10" i="14" a="1"/>
  <c r="I10" i="14"/>
  <c r="J10" i="14" s="1"/>
  <c r="L10" i="14" s="1"/>
  <c r="I11" i="14" a="1"/>
  <c r="I11" i="14" s="1"/>
  <c r="J11" i="14" s="1"/>
  <c r="L11" i="14" s="1"/>
  <c r="I12" i="14" a="1"/>
  <c r="I12" i="14" s="1"/>
  <c r="J12" i="14" s="1"/>
  <c r="L12" i="14" s="1"/>
  <c r="I13" i="14" a="1"/>
  <c r="I13" i="14" s="1"/>
  <c r="J13" i="14" s="1"/>
  <c r="L13" i="14" s="1"/>
  <c r="I14" i="14" a="1"/>
  <c r="I14" i="14" s="1"/>
  <c r="J14" i="14" s="1"/>
  <c r="L14" i="14" s="1"/>
  <c r="I15" i="14" a="1"/>
  <c r="I15" i="14" s="1"/>
  <c r="J15" i="14" s="1"/>
  <c r="L15" i="14" s="1"/>
  <c r="I16" i="14" a="1"/>
  <c r="I16" i="14"/>
  <c r="J16" i="14" s="1"/>
  <c r="L16" i="14" s="1"/>
  <c r="I17" i="14" a="1"/>
  <c r="I17" i="14"/>
  <c r="I18" i="14" a="1"/>
  <c r="I18" i="14"/>
  <c r="J18" i="14" s="1"/>
  <c r="L18" i="14" s="1"/>
  <c r="I19" i="14" a="1"/>
  <c r="I19" i="14"/>
  <c r="J19" i="14" s="1"/>
  <c r="L19" i="14" s="1"/>
  <c r="I20" i="14" a="1"/>
  <c r="I20" i="14"/>
  <c r="J20" i="14" s="1"/>
  <c r="L20" i="14" s="1"/>
  <c r="I21" i="14" a="1"/>
  <c r="I21" i="14" s="1"/>
  <c r="J21" i="14" s="1"/>
  <c r="L21" i="14" s="1"/>
  <c r="I22" i="14" a="1"/>
  <c r="I22" i="14" s="1"/>
  <c r="J22" i="14" s="1"/>
  <c r="L22" i="14" s="1"/>
  <c r="I23" i="14" a="1"/>
  <c r="I23" i="14"/>
  <c r="J23" i="14" s="1"/>
  <c r="L23" i="14" s="1"/>
  <c r="I24" i="14" a="1"/>
  <c r="I24" i="14" s="1"/>
  <c r="J24" i="14" s="1"/>
  <c r="L24" i="14" s="1"/>
  <c r="I25" i="14" a="1"/>
  <c r="I25" i="14" s="1"/>
  <c r="J25" i="14" s="1"/>
  <c r="L25" i="14" s="1"/>
  <c r="I26" i="14" a="1"/>
  <c r="I26" i="14" s="1"/>
  <c r="J26" i="14" s="1"/>
  <c r="L26" i="14" s="1"/>
  <c r="I27" i="14" a="1"/>
  <c r="I27" i="14" s="1"/>
  <c r="J27" i="14" s="1"/>
  <c r="L27" i="14" s="1"/>
  <c r="I28" i="14" a="1"/>
  <c r="I28" i="14"/>
  <c r="I29" i="14" a="1"/>
  <c r="I29" i="14"/>
  <c r="J29" i="14" s="1"/>
  <c r="L29" i="14" s="1"/>
  <c r="I30" i="14" a="1"/>
  <c r="I30" i="14"/>
  <c r="J30" i="14" s="1"/>
  <c r="L30" i="14" s="1"/>
  <c r="I31" i="14" a="1"/>
  <c r="I31" i="14"/>
  <c r="J31" i="14" s="1"/>
  <c r="L31" i="14" s="1"/>
  <c r="I32" i="14" a="1"/>
  <c r="I32" i="14"/>
  <c r="J32" i="14" s="1"/>
  <c r="L32" i="14" s="1"/>
  <c r="I33" i="14" a="1"/>
  <c r="I33" i="14" s="1"/>
  <c r="J33" i="14" s="1"/>
  <c r="L33" i="14" s="1"/>
  <c r="I34" i="14" a="1"/>
  <c r="I34" i="14" s="1"/>
  <c r="J34" i="14" s="1"/>
  <c r="L34" i="14" s="1"/>
  <c r="I35" i="14" a="1"/>
  <c r="I35" i="14" s="1"/>
  <c r="J35" i="14" s="1"/>
  <c r="L35" i="14" s="1"/>
  <c r="I36" i="14" a="1"/>
  <c r="I36" i="14"/>
  <c r="J36" i="14" s="1"/>
  <c r="L36" i="14" s="1"/>
  <c r="I37" i="14" a="1"/>
  <c r="I37" i="14" s="1"/>
  <c r="J37" i="14" s="1"/>
  <c r="L37" i="14" s="1"/>
  <c r="I38" i="14" a="1"/>
  <c r="I38" i="14" s="1"/>
  <c r="J38" i="14" s="1"/>
  <c r="L38" i="14" s="1"/>
  <c r="I39" i="14" a="1"/>
  <c r="I39" i="14" s="1"/>
  <c r="J39" i="14" s="1"/>
  <c r="L39" i="14" s="1"/>
  <c r="I40" i="14" a="1"/>
  <c r="I40" i="14"/>
  <c r="I41" i="14" a="1"/>
  <c r="I41" i="14"/>
  <c r="I42" i="14" a="1"/>
  <c r="I42" i="14"/>
  <c r="J42" i="14" s="1"/>
  <c r="L42" i="14" s="1"/>
  <c r="I43" i="14" a="1"/>
  <c r="I43" i="14"/>
  <c r="J43" i="14" s="1"/>
  <c r="L43" i="14" s="1"/>
  <c r="I44" i="14" a="1"/>
  <c r="I44" i="14"/>
  <c r="J44" i="14" s="1"/>
  <c r="L44" i="14" s="1"/>
  <c r="I45" i="14" a="1"/>
  <c r="I45" i="14" s="1"/>
  <c r="J45" i="14" s="1"/>
  <c r="L45" i="14" s="1"/>
  <c r="I46" i="14" a="1"/>
  <c r="I46" i="14" s="1"/>
  <c r="J46" i="14" s="1"/>
  <c r="L46" i="14" s="1"/>
  <c r="I47" i="14" a="1"/>
  <c r="I47" i="14" s="1"/>
  <c r="J47" i="14" s="1"/>
  <c r="L47" i="14" s="1"/>
  <c r="I48" i="14" a="1"/>
  <c r="I48" i="14" s="1"/>
  <c r="J48" i="14" s="1"/>
  <c r="L48" i="14" s="1"/>
  <c r="I49" i="14" a="1"/>
  <c r="I49" i="14"/>
  <c r="J49" i="14" s="1"/>
  <c r="L49" i="14" s="1"/>
  <c r="I50" i="14" a="1"/>
  <c r="I50" i="14" s="1"/>
  <c r="J50" i="14" s="1"/>
  <c r="L50" i="14" s="1"/>
  <c r="I51" i="14" a="1"/>
  <c r="I51" i="14" s="1"/>
  <c r="J51" i="14" s="1"/>
  <c r="L51" i="14" s="1"/>
  <c r="I52" i="14" a="1"/>
  <c r="I52" i="14"/>
  <c r="I53" i="14" a="1"/>
  <c r="I53" i="14" s="1"/>
  <c r="J53" i="14" s="1"/>
  <c r="L53" i="14" s="1"/>
  <c r="I54" i="14" a="1"/>
  <c r="I54" i="14"/>
  <c r="J54" i="14" s="1"/>
  <c r="L54" i="14" s="1"/>
  <c r="I55" i="14" a="1"/>
  <c r="I55" i="14"/>
  <c r="J55" i="14" s="1"/>
  <c r="L55" i="14" s="1"/>
  <c r="I56" i="14" a="1"/>
  <c r="I56" i="14"/>
  <c r="J56" i="14" s="1"/>
  <c r="L56" i="14" s="1"/>
  <c r="I57" i="14" a="1"/>
  <c r="I57" i="14" s="1"/>
  <c r="J57" i="14" s="1"/>
  <c r="L57" i="14" s="1"/>
  <c r="I58" i="14" a="1"/>
  <c r="I58" i="14" s="1"/>
  <c r="J58" i="14" s="1"/>
  <c r="L58" i="14" s="1"/>
  <c r="I59" i="14" a="1"/>
  <c r="I59" i="14"/>
  <c r="J59" i="14" s="1"/>
  <c r="L59" i="14" s="1"/>
  <c r="I60" i="14" a="1"/>
  <c r="I60" i="14" s="1"/>
  <c r="J60" i="14" s="1"/>
  <c r="L60" i="14" s="1"/>
  <c r="I61" i="14" a="1"/>
  <c r="I61" i="14" s="1"/>
  <c r="J61" i="14" s="1"/>
  <c r="L61" i="14" s="1"/>
  <c r="I62" i="14" a="1"/>
  <c r="I62" i="14"/>
  <c r="J62" i="14" s="1"/>
  <c r="L62" i="14" s="1"/>
  <c r="I63" i="14" a="1"/>
  <c r="I63" i="14" s="1"/>
  <c r="J63" i="14" s="1"/>
  <c r="L63" i="14" s="1"/>
  <c r="I64" i="14" a="1"/>
  <c r="I64" i="14"/>
  <c r="I65" i="14" a="1"/>
  <c r="I65" i="14"/>
  <c r="I66" i="14" a="1"/>
  <c r="I66" i="14" s="1"/>
  <c r="J66" i="14" s="1"/>
  <c r="L66" i="14" s="1"/>
  <c r="I67" i="14" a="1"/>
  <c r="I67" i="14"/>
  <c r="J67" i="14" s="1"/>
  <c r="L67" i="14" s="1"/>
  <c r="I68" i="14" a="1"/>
  <c r="I68" i="14"/>
  <c r="J68" i="14" s="1"/>
  <c r="L68" i="14" s="1"/>
  <c r="I69" i="14" a="1"/>
  <c r="I69" i="14" s="1"/>
  <c r="J69" i="14" s="1"/>
  <c r="L69" i="14" s="1"/>
  <c r="I70" i="14" a="1"/>
  <c r="I70" i="14" s="1"/>
  <c r="J70" i="14" s="1"/>
  <c r="L70" i="14" s="1"/>
  <c r="I71" i="14" a="1"/>
  <c r="I71" i="14" s="1"/>
  <c r="J71" i="14" s="1"/>
  <c r="L71" i="14" s="1"/>
  <c r="I72" i="14" a="1"/>
  <c r="I72" i="14"/>
  <c r="J72" i="14" s="1"/>
  <c r="L72" i="14" s="1"/>
  <c r="I73" i="14" a="1"/>
  <c r="I73" i="14" s="1"/>
  <c r="J73" i="14" s="1"/>
  <c r="L73" i="14" s="1"/>
  <c r="I8" i="14" a="1"/>
  <c r="I8" i="14" s="1"/>
  <c r="J8" i="14" s="1"/>
  <c r="L8" i="14" s="1"/>
  <c r="I73" i="13" a="1"/>
  <c r="I73" i="13" s="1"/>
  <c r="J73" i="13" s="1"/>
  <c r="L73" i="13" s="1"/>
  <c r="I72" i="13" a="1"/>
  <c r="I72" i="13" s="1"/>
  <c r="J72" i="13" s="1"/>
  <c r="L72" i="13" s="1"/>
  <c r="I71" i="13" a="1"/>
  <c r="I71" i="13" s="1"/>
  <c r="J71" i="13" s="1"/>
  <c r="L71" i="13" s="1"/>
  <c r="I70" i="13" a="1"/>
  <c r="I70" i="13" s="1"/>
  <c r="J70" i="13" s="1"/>
  <c r="L70" i="13" s="1"/>
  <c r="I69" i="13" a="1"/>
  <c r="I69" i="13" s="1"/>
  <c r="J69" i="13" s="1"/>
  <c r="L69" i="13" s="1"/>
  <c r="I68" i="13" a="1"/>
  <c r="I68" i="13" s="1"/>
  <c r="J68" i="13" s="1"/>
  <c r="L68" i="13" s="1"/>
  <c r="I67" i="13" a="1"/>
  <c r="I67" i="13" s="1"/>
  <c r="J67" i="13" s="1"/>
  <c r="L67" i="13" s="1"/>
  <c r="I66" i="13" a="1"/>
  <c r="I66" i="13" s="1"/>
  <c r="J66" i="13" s="1"/>
  <c r="L66" i="13" s="1"/>
  <c r="I65" i="13"/>
  <c r="J65" i="13" s="1"/>
  <c r="L65" i="13" s="1"/>
  <c r="I65" i="13" a="1"/>
  <c r="I64" i="13" a="1"/>
  <c r="I64" i="13" s="1"/>
  <c r="J64" i="13" s="1"/>
  <c r="L64" i="13" s="1"/>
  <c r="I63" i="13" a="1"/>
  <c r="I63" i="13" s="1"/>
  <c r="J63" i="13" s="1"/>
  <c r="L63" i="13" s="1"/>
  <c r="I62" i="13" a="1"/>
  <c r="I62" i="13" s="1"/>
  <c r="J62" i="13" s="1"/>
  <c r="L62" i="13" s="1"/>
  <c r="I61" i="13" a="1"/>
  <c r="I61" i="13" s="1"/>
  <c r="J61" i="13" s="1"/>
  <c r="L61" i="13" s="1"/>
  <c r="I60" i="13" a="1"/>
  <c r="I60" i="13" s="1"/>
  <c r="J60" i="13" s="1"/>
  <c r="L60" i="13" s="1"/>
  <c r="I59" i="13" a="1"/>
  <c r="I59" i="13" s="1"/>
  <c r="J59" i="13" s="1"/>
  <c r="L59" i="13" s="1"/>
  <c r="I58" i="13" a="1"/>
  <c r="I58" i="13" s="1"/>
  <c r="J58" i="13" s="1"/>
  <c r="L58" i="13" s="1"/>
  <c r="I57" i="13" a="1"/>
  <c r="I57" i="13" s="1"/>
  <c r="J57" i="13" s="1"/>
  <c r="L57" i="13" s="1"/>
  <c r="I56" i="13" a="1"/>
  <c r="I56" i="13" s="1"/>
  <c r="J56" i="13" s="1"/>
  <c r="L56" i="13" s="1"/>
  <c r="I55" i="13" a="1"/>
  <c r="I55" i="13" s="1"/>
  <c r="J55" i="13" s="1"/>
  <c r="L55" i="13" s="1"/>
  <c r="I54" i="13" a="1"/>
  <c r="I54" i="13" s="1"/>
  <c r="J54" i="13" s="1"/>
  <c r="L54" i="13" s="1"/>
  <c r="I53" i="13" a="1"/>
  <c r="I53" i="13" s="1"/>
  <c r="J53" i="13" s="1"/>
  <c r="L53" i="13" s="1"/>
  <c r="I52" i="13" a="1"/>
  <c r="I52" i="13" s="1"/>
  <c r="J52" i="13" s="1"/>
  <c r="L52" i="13" s="1"/>
  <c r="I51" i="13" a="1"/>
  <c r="I51" i="13" s="1"/>
  <c r="J51" i="13" s="1"/>
  <c r="L51" i="13" s="1"/>
  <c r="I50" i="13" a="1"/>
  <c r="I50" i="13" s="1"/>
  <c r="J50" i="13" s="1"/>
  <c r="L50" i="13" s="1"/>
  <c r="I49" i="13" a="1"/>
  <c r="I49" i="13" s="1"/>
  <c r="J49" i="13" s="1"/>
  <c r="L49" i="13" s="1"/>
  <c r="I48" i="13" a="1"/>
  <c r="I48" i="13" s="1"/>
  <c r="J48" i="13" s="1"/>
  <c r="L48" i="13" s="1"/>
  <c r="I47" i="13" a="1"/>
  <c r="I47" i="13" s="1"/>
  <c r="J47" i="13" s="1"/>
  <c r="L47" i="13" s="1"/>
  <c r="I46" i="13" a="1"/>
  <c r="I46" i="13" s="1"/>
  <c r="J46" i="13" s="1"/>
  <c r="L46" i="13" s="1"/>
  <c r="I45" i="13" a="1"/>
  <c r="I45" i="13" s="1"/>
  <c r="J45" i="13" s="1"/>
  <c r="L45" i="13" s="1"/>
  <c r="I44" i="13" a="1"/>
  <c r="I44" i="13" s="1"/>
  <c r="J44" i="13" s="1"/>
  <c r="L44" i="13" s="1"/>
  <c r="I43" i="13" a="1"/>
  <c r="I43" i="13" s="1"/>
  <c r="J43" i="13" s="1"/>
  <c r="L43" i="13" s="1"/>
  <c r="I42" i="13" a="1"/>
  <c r="I42" i="13" s="1"/>
  <c r="J42" i="13" s="1"/>
  <c r="L42" i="13" s="1"/>
  <c r="I41" i="13" a="1"/>
  <c r="I41" i="13" s="1"/>
  <c r="J41" i="13" s="1"/>
  <c r="L41" i="13" s="1"/>
  <c r="I40" i="13" a="1"/>
  <c r="I40" i="13" s="1"/>
  <c r="J40" i="13" s="1"/>
  <c r="L40" i="13" s="1"/>
  <c r="I39" i="13" a="1"/>
  <c r="I39" i="13" s="1"/>
  <c r="J39" i="13" s="1"/>
  <c r="L39" i="13" s="1"/>
  <c r="I38" i="13" a="1"/>
  <c r="I38" i="13" s="1"/>
  <c r="J38" i="13" s="1"/>
  <c r="L38" i="13" s="1"/>
  <c r="I37" i="13" a="1"/>
  <c r="I37" i="13" s="1"/>
  <c r="J37" i="13" s="1"/>
  <c r="L37" i="13" s="1"/>
  <c r="I36" i="13" a="1"/>
  <c r="I36" i="13" s="1"/>
  <c r="J36" i="13" s="1"/>
  <c r="L36" i="13" s="1"/>
  <c r="I35" i="13" a="1"/>
  <c r="I35" i="13" s="1"/>
  <c r="J35" i="13" s="1"/>
  <c r="L35" i="13" s="1"/>
  <c r="I34" i="13" a="1"/>
  <c r="I34" i="13" s="1"/>
  <c r="J34" i="13" s="1"/>
  <c r="L34" i="13" s="1"/>
  <c r="I33" i="13" a="1"/>
  <c r="I33" i="13" s="1"/>
  <c r="J33" i="13" s="1"/>
  <c r="L33" i="13" s="1"/>
  <c r="I32" i="13" a="1"/>
  <c r="I32" i="13" s="1"/>
  <c r="J32" i="13" s="1"/>
  <c r="L32" i="13" s="1"/>
  <c r="I31" i="13" a="1"/>
  <c r="I31" i="13" s="1"/>
  <c r="J31" i="13" s="1"/>
  <c r="L31" i="13" s="1"/>
  <c r="I30" i="13" a="1"/>
  <c r="I30" i="13" s="1"/>
  <c r="J30" i="13" s="1"/>
  <c r="L30" i="13" s="1"/>
  <c r="I29" i="13" a="1"/>
  <c r="I29" i="13" s="1"/>
  <c r="J29" i="13" s="1"/>
  <c r="L29" i="13" s="1"/>
  <c r="I28" i="13" a="1"/>
  <c r="I28" i="13" s="1"/>
  <c r="J28" i="13" s="1"/>
  <c r="L28" i="13" s="1"/>
  <c r="I27" i="13" a="1"/>
  <c r="I27" i="13" s="1"/>
  <c r="J27" i="13" s="1"/>
  <c r="L27" i="13" s="1"/>
  <c r="I26" i="13" a="1"/>
  <c r="I26" i="13" s="1"/>
  <c r="J26" i="13" s="1"/>
  <c r="L26" i="13" s="1"/>
  <c r="I25" i="13" a="1"/>
  <c r="I25" i="13" s="1"/>
  <c r="J25" i="13" s="1"/>
  <c r="L25" i="13" s="1"/>
  <c r="I24" i="13" a="1"/>
  <c r="I24" i="13" s="1"/>
  <c r="J24" i="13" s="1"/>
  <c r="L24" i="13" s="1"/>
  <c r="I23" i="13" a="1"/>
  <c r="I23" i="13" s="1"/>
  <c r="J23" i="13" s="1"/>
  <c r="L23" i="13" s="1"/>
  <c r="I22" i="13" a="1"/>
  <c r="I22" i="13" s="1"/>
  <c r="J22" i="13" s="1"/>
  <c r="L22" i="13" s="1"/>
  <c r="I21" i="13" a="1"/>
  <c r="I21" i="13" s="1"/>
  <c r="J21" i="13" s="1"/>
  <c r="L21" i="13" s="1"/>
  <c r="I20" i="13" a="1"/>
  <c r="I20" i="13" s="1"/>
  <c r="J20" i="13" s="1"/>
  <c r="L20" i="13" s="1"/>
  <c r="I19" i="13" a="1"/>
  <c r="I19" i="13" s="1"/>
  <c r="J19" i="13" s="1"/>
  <c r="L19" i="13" s="1"/>
  <c r="I18" i="13" a="1"/>
  <c r="I18" i="13" s="1"/>
  <c r="J18" i="13" s="1"/>
  <c r="L18" i="13" s="1"/>
  <c r="I17" i="13" a="1"/>
  <c r="I17" i="13" s="1"/>
  <c r="J17" i="13" s="1"/>
  <c r="L17" i="13" s="1"/>
  <c r="I16" i="13" a="1"/>
  <c r="I16" i="13" s="1"/>
  <c r="J16" i="13" s="1"/>
  <c r="L16" i="13" s="1"/>
  <c r="I15" i="13" a="1"/>
  <c r="I15" i="13" s="1"/>
  <c r="J15" i="13" s="1"/>
  <c r="L15" i="13" s="1"/>
  <c r="I14" i="13" a="1"/>
  <c r="I14" i="13" s="1"/>
  <c r="J14" i="13" s="1"/>
  <c r="L14" i="13" s="1"/>
  <c r="I13" i="13" a="1"/>
  <c r="I13" i="13" s="1"/>
  <c r="J13" i="13" s="1"/>
  <c r="L13" i="13" s="1"/>
  <c r="I12" i="13" a="1"/>
  <c r="I12" i="13" s="1"/>
  <c r="J12" i="13" s="1"/>
  <c r="L12" i="13" s="1"/>
  <c r="I11" i="13" a="1"/>
  <c r="I11" i="13" s="1"/>
  <c r="J11" i="13" s="1"/>
  <c r="L11" i="13" s="1"/>
  <c r="I10" i="13" a="1"/>
  <c r="I10" i="13" s="1"/>
  <c r="J10" i="13" s="1"/>
  <c r="L10" i="13" s="1"/>
  <c r="I9" i="13" a="1"/>
  <c r="I9" i="13" s="1"/>
  <c r="J9" i="13" s="1"/>
  <c r="L9" i="13" s="1"/>
  <c r="I8" i="13" a="1"/>
  <c r="I8" i="13" s="1"/>
  <c r="J8" i="13" s="1"/>
  <c r="L8" i="13" s="1"/>
  <c r="I73" i="12" a="1"/>
  <c r="I73" i="12" s="1"/>
  <c r="J73" i="12" s="1"/>
  <c r="L73" i="12" s="1"/>
  <c r="I72" i="12" a="1"/>
  <c r="I72" i="12" s="1"/>
  <c r="J72" i="12" s="1"/>
  <c r="L72" i="12" s="1"/>
  <c r="I71" i="12" a="1"/>
  <c r="I71" i="12" s="1"/>
  <c r="J71" i="12" s="1"/>
  <c r="L71" i="12" s="1"/>
  <c r="I70" i="12" a="1"/>
  <c r="I70" i="12" s="1"/>
  <c r="J70" i="12" s="1"/>
  <c r="L70" i="12" s="1"/>
  <c r="I69" i="12" a="1"/>
  <c r="I69" i="12" s="1"/>
  <c r="J69" i="12" s="1"/>
  <c r="L69" i="12" s="1"/>
  <c r="I68" i="12" a="1"/>
  <c r="I68" i="12" s="1"/>
  <c r="J68" i="12" s="1"/>
  <c r="L68" i="12" s="1"/>
  <c r="I67" i="12" a="1"/>
  <c r="I67" i="12" s="1"/>
  <c r="J67" i="12" s="1"/>
  <c r="L67" i="12" s="1"/>
  <c r="I66" i="12"/>
  <c r="J66" i="12" s="1"/>
  <c r="L66" i="12" s="1"/>
  <c r="I66" i="12" a="1"/>
  <c r="I65" i="12" a="1"/>
  <c r="I65" i="12" s="1"/>
  <c r="J65" i="12" s="1"/>
  <c r="L65" i="12" s="1"/>
  <c r="I64" i="12" a="1"/>
  <c r="I64" i="12" s="1"/>
  <c r="J64" i="12" s="1"/>
  <c r="L64" i="12" s="1"/>
  <c r="I63" i="12" a="1"/>
  <c r="I63" i="12" s="1"/>
  <c r="J63" i="12" s="1"/>
  <c r="L63" i="12" s="1"/>
  <c r="I62" i="12" a="1"/>
  <c r="I62" i="12" s="1"/>
  <c r="J62" i="12" s="1"/>
  <c r="L62" i="12" s="1"/>
  <c r="I61" i="12" a="1"/>
  <c r="I61" i="12" s="1"/>
  <c r="J61" i="12" s="1"/>
  <c r="L61" i="12" s="1"/>
  <c r="I60" i="12" a="1"/>
  <c r="I60" i="12" s="1"/>
  <c r="J60" i="12" s="1"/>
  <c r="L60" i="12" s="1"/>
  <c r="I59" i="12" a="1"/>
  <c r="I59" i="12" s="1"/>
  <c r="J59" i="12" s="1"/>
  <c r="L59" i="12" s="1"/>
  <c r="I58" i="12" a="1"/>
  <c r="I58" i="12" s="1"/>
  <c r="J58" i="12" s="1"/>
  <c r="L58" i="12" s="1"/>
  <c r="I57" i="12" a="1"/>
  <c r="I57" i="12" s="1"/>
  <c r="J57" i="12" s="1"/>
  <c r="L57" i="12" s="1"/>
  <c r="I56" i="12" a="1"/>
  <c r="I56" i="12" s="1"/>
  <c r="J56" i="12" s="1"/>
  <c r="L56" i="12" s="1"/>
  <c r="I55" i="12" a="1"/>
  <c r="I55" i="12" s="1"/>
  <c r="J55" i="12" s="1"/>
  <c r="L55" i="12" s="1"/>
  <c r="I54" i="12" a="1"/>
  <c r="I54" i="12" s="1"/>
  <c r="J54" i="12" s="1"/>
  <c r="L54" i="12" s="1"/>
  <c r="I53" i="12" a="1"/>
  <c r="I53" i="12" s="1"/>
  <c r="J53" i="12" s="1"/>
  <c r="L53" i="12" s="1"/>
  <c r="I52" i="12" a="1"/>
  <c r="I52" i="12" s="1"/>
  <c r="J52" i="12" s="1"/>
  <c r="L52" i="12" s="1"/>
  <c r="I51" i="12" a="1"/>
  <c r="I51" i="12" s="1"/>
  <c r="J51" i="12" s="1"/>
  <c r="L51" i="12" s="1"/>
  <c r="I50" i="12" a="1"/>
  <c r="I50" i="12" s="1"/>
  <c r="J50" i="12" s="1"/>
  <c r="L50" i="12" s="1"/>
  <c r="I49" i="12" a="1"/>
  <c r="I49" i="12" s="1"/>
  <c r="J49" i="12" s="1"/>
  <c r="L49" i="12" s="1"/>
  <c r="I48" i="12"/>
  <c r="I48" i="12" a="1"/>
  <c r="I47" i="12" a="1"/>
  <c r="I47" i="12" s="1"/>
  <c r="J47" i="12" s="1"/>
  <c r="L47" i="12" s="1"/>
  <c r="I46" i="12" a="1"/>
  <c r="I46" i="12" s="1"/>
  <c r="J46" i="12" s="1"/>
  <c r="L46" i="12" s="1"/>
  <c r="I45" i="12" a="1"/>
  <c r="I45" i="12" s="1"/>
  <c r="J45" i="12" s="1"/>
  <c r="L45" i="12" s="1"/>
  <c r="I44" i="12" a="1"/>
  <c r="I44" i="12" s="1"/>
  <c r="J44" i="12" s="1"/>
  <c r="L44" i="12" s="1"/>
  <c r="I43" i="12" a="1"/>
  <c r="I43" i="12" s="1"/>
  <c r="J43" i="12" s="1"/>
  <c r="L43" i="12" s="1"/>
  <c r="I42" i="12"/>
  <c r="J42" i="12" s="1"/>
  <c r="L42" i="12" s="1"/>
  <c r="I42" i="12" a="1"/>
  <c r="I41" i="12" a="1"/>
  <c r="I41" i="12" s="1"/>
  <c r="J41" i="12" s="1"/>
  <c r="L41" i="12" s="1"/>
  <c r="I40" i="12" a="1"/>
  <c r="I40" i="12" s="1"/>
  <c r="J40" i="12" s="1"/>
  <c r="L40" i="12" s="1"/>
  <c r="I39" i="12" a="1"/>
  <c r="I39" i="12" s="1"/>
  <c r="J39" i="12" s="1"/>
  <c r="L39" i="12" s="1"/>
  <c r="I38" i="12" a="1"/>
  <c r="I38" i="12" s="1"/>
  <c r="J38" i="12" s="1"/>
  <c r="L38" i="12" s="1"/>
  <c r="I37" i="12" a="1"/>
  <c r="I37" i="12" s="1"/>
  <c r="J37" i="12" s="1"/>
  <c r="L37" i="12" s="1"/>
  <c r="I36" i="12" a="1"/>
  <c r="I36" i="12" s="1"/>
  <c r="J36" i="12" s="1"/>
  <c r="L36" i="12" s="1"/>
  <c r="I35" i="12" a="1"/>
  <c r="I35" i="12" s="1"/>
  <c r="J35" i="12" s="1"/>
  <c r="L35" i="12" s="1"/>
  <c r="I34" i="12" a="1"/>
  <c r="I34" i="12" s="1"/>
  <c r="J34" i="12" s="1"/>
  <c r="L34" i="12" s="1"/>
  <c r="I33" i="12" a="1"/>
  <c r="I33" i="12" s="1"/>
  <c r="J33" i="12" s="1"/>
  <c r="L33" i="12" s="1"/>
  <c r="I32" i="12" a="1"/>
  <c r="I32" i="12" s="1"/>
  <c r="J32" i="12" s="1"/>
  <c r="L32" i="12" s="1"/>
  <c r="I31" i="12" a="1"/>
  <c r="I31" i="12" s="1"/>
  <c r="J31" i="12" s="1"/>
  <c r="L31" i="12" s="1"/>
  <c r="I30" i="12"/>
  <c r="J30" i="12" s="1"/>
  <c r="L30" i="12" s="1"/>
  <c r="I30" i="12" a="1"/>
  <c r="I29" i="12" a="1"/>
  <c r="I29" i="12" s="1"/>
  <c r="J29" i="12" s="1"/>
  <c r="L29" i="12" s="1"/>
  <c r="I28" i="12" a="1"/>
  <c r="I28" i="12" s="1"/>
  <c r="J28" i="12" s="1"/>
  <c r="L28" i="12" s="1"/>
  <c r="I27" i="12" a="1"/>
  <c r="I27" i="12" s="1"/>
  <c r="J27" i="12" s="1"/>
  <c r="L27" i="12" s="1"/>
  <c r="I26" i="12" a="1"/>
  <c r="I26" i="12" s="1"/>
  <c r="J26" i="12" s="1"/>
  <c r="L26" i="12" s="1"/>
  <c r="I25" i="12" a="1"/>
  <c r="I25" i="12" s="1"/>
  <c r="J25" i="12" s="1"/>
  <c r="L25" i="12" s="1"/>
  <c r="I24" i="12" a="1"/>
  <c r="I24" i="12" s="1"/>
  <c r="J24" i="12" s="1"/>
  <c r="L24" i="12" s="1"/>
  <c r="I23" i="12" a="1"/>
  <c r="I23" i="12" s="1"/>
  <c r="J23" i="12" s="1"/>
  <c r="L23" i="12" s="1"/>
  <c r="I22" i="12" a="1"/>
  <c r="I22" i="12" s="1"/>
  <c r="J22" i="12" s="1"/>
  <c r="L22" i="12" s="1"/>
  <c r="I21" i="12" a="1"/>
  <c r="I21" i="12" s="1"/>
  <c r="J21" i="12" s="1"/>
  <c r="L21" i="12" s="1"/>
  <c r="I20" i="12" a="1"/>
  <c r="I20" i="12" s="1"/>
  <c r="J20" i="12" s="1"/>
  <c r="L20" i="12" s="1"/>
  <c r="I19" i="12" a="1"/>
  <c r="I19" i="12" s="1"/>
  <c r="J19" i="12" s="1"/>
  <c r="L19" i="12" s="1"/>
  <c r="I18" i="12"/>
  <c r="J18" i="12" s="1"/>
  <c r="L18" i="12" s="1"/>
  <c r="I18" i="12" a="1"/>
  <c r="I17" i="12" a="1"/>
  <c r="I17" i="12" s="1"/>
  <c r="J17" i="12" s="1"/>
  <c r="L17" i="12" s="1"/>
  <c r="I16" i="12" a="1"/>
  <c r="I16" i="12" s="1"/>
  <c r="J16" i="12" s="1"/>
  <c r="L16" i="12" s="1"/>
  <c r="I15" i="12" a="1"/>
  <c r="I15" i="12" s="1"/>
  <c r="J15" i="12" s="1"/>
  <c r="L15" i="12" s="1"/>
  <c r="I14" i="12" a="1"/>
  <c r="I14" i="12" s="1"/>
  <c r="J14" i="12" s="1"/>
  <c r="L14" i="12" s="1"/>
  <c r="I13" i="12" a="1"/>
  <c r="I13" i="12" s="1"/>
  <c r="J13" i="12" s="1"/>
  <c r="L13" i="12" s="1"/>
  <c r="I12" i="12" a="1"/>
  <c r="I12" i="12" s="1"/>
  <c r="J12" i="12" s="1"/>
  <c r="L12" i="12" s="1"/>
  <c r="I11" i="12" a="1"/>
  <c r="I11" i="12" s="1"/>
  <c r="J11" i="12" s="1"/>
  <c r="L11" i="12" s="1"/>
  <c r="I10" i="12" a="1"/>
  <c r="I10" i="12" s="1"/>
  <c r="J10" i="12" s="1"/>
  <c r="L10" i="12" s="1"/>
  <c r="I9" i="12" a="1"/>
  <c r="I9" i="12" s="1"/>
  <c r="J9" i="12" s="1"/>
  <c r="L9" i="12" s="1"/>
  <c r="I8" i="12" a="1"/>
  <c r="I8" i="12" s="1"/>
  <c r="J8" i="12" s="1"/>
  <c r="L8" i="12" s="1"/>
  <c r="I9" i="11" a="1"/>
  <c r="I9" i="11" s="1"/>
  <c r="J9" i="11" s="1"/>
  <c r="L9" i="11" s="1"/>
  <c r="I10" i="11" a="1"/>
  <c r="I10" i="11" s="1"/>
  <c r="J10" i="11" s="1"/>
  <c r="L10" i="11" s="1"/>
  <c r="I11" i="11" a="1"/>
  <c r="I11" i="11"/>
  <c r="J11" i="11" s="1"/>
  <c r="L11" i="11" s="1"/>
  <c r="I12" i="11" a="1"/>
  <c r="I12" i="11" s="1"/>
  <c r="J12" i="11" s="1"/>
  <c r="L12" i="11" s="1"/>
  <c r="I13" i="11" a="1"/>
  <c r="I13" i="11" s="1"/>
  <c r="J13" i="11" s="1"/>
  <c r="L13" i="11" s="1"/>
  <c r="I14" i="11" a="1"/>
  <c r="I14" i="11"/>
  <c r="J14" i="11" s="1"/>
  <c r="L14" i="11" s="1"/>
  <c r="I15" i="11" a="1"/>
  <c r="I15" i="11" s="1"/>
  <c r="J15" i="11" s="1"/>
  <c r="L15" i="11" s="1"/>
  <c r="I16" i="11" a="1"/>
  <c r="I16" i="11" s="1"/>
  <c r="J16" i="11" s="1"/>
  <c r="L16" i="11" s="1"/>
  <c r="I17" i="11" a="1"/>
  <c r="I17" i="11" s="1"/>
  <c r="J17" i="11" s="1"/>
  <c r="L17" i="11" s="1"/>
  <c r="I18" i="11" a="1"/>
  <c r="I18" i="11"/>
  <c r="J18" i="11" s="1"/>
  <c r="L18" i="11" s="1"/>
  <c r="I19" i="11" a="1"/>
  <c r="I19" i="11" s="1"/>
  <c r="J19" i="11" s="1"/>
  <c r="L19" i="11" s="1"/>
  <c r="I20" i="11" a="1"/>
  <c r="I20" i="11" s="1"/>
  <c r="J20" i="11" s="1"/>
  <c r="L20" i="11" s="1"/>
  <c r="I21" i="11" a="1"/>
  <c r="I21" i="11" s="1"/>
  <c r="J21" i="11" s="1"/>
  <c r="L21" i="11" s="1"/>
  <c r="I22" i="11" a="1"/>
  <c r="I22" i="11" s="1"/>
  <c r="J22" i="11" s="1"/>
  <c r="L22" i="11" s="1"/>
  <c r="I23" i="11" a="1"/>
  <c r="I23" i="11" s="1"/>
  <c r="J23" i="11" s="1"/>
  <c r="L23" i="11" s="1"/>
  <c r="I24" i="11" a="1"/>
  <c r="I24" i="11" s="1"/>
  <c r="J24" i="11" s="1"/>
  <c r="L24" i="11" s="1"/>
  <c r="I25" i="11" a="1"/>
  <c r="I25" i="11"/>
  <c r="J25" i="11" s="1"/>
  <c r="L25" i="11" s="1"/>
  <c r="I26" i="11" a="1"/>
  <c r="I26" i="11" s="1"/>
  <c r="J26" i="11" s="1"/>
  <c r="L26" i="11" s="1"/>
  <c r="I27" i="11" a="1"/>
  <c r="I27" i="11" s="1"/>
  <c r="J27" i="11" s="1"/>
  <c r="L27" i="11" s="1"/>
  <c r="I28" i="11" a="1"/>
  <c r="I28" i="11" s="1"/>
  <c r="J28" i="11" s="1"/>
  <c r="L28" i="11" s="1"/>
  <c r="I29" i="11" a="1"/>
  <c r="I29" i="11"/>
  <c r="I30" i="11" a="1"/>
  <c r="I30" i="11" s="1"/>
  <c r="J30" i="11" s="1"/>
  <c r="L30" i="11" s="1"/>
  <c r="I31" i="11" a="1"/>
  <c r="I31" i="11" s="1"/>
  <c r="J31" i="11" s="1"/>
  <c r="L31" i="11" s="1"/>
  <c r="I32" i="11" a="1"/>
  <c r="I32" i="11"/>
  <c r="J32" i="11" s="1"/>
  <c r="L32" i="11" s="1"/>
  <c r="I33" i="11" a="1"/>
  <c r="I33" i="11" s="1"/>
  <c r="J33" i="11" s="1"/>
  <c r="L33" i="11" s="1"/>
  <c r="I34" i="11" a="1"/>
  <c r="I34" i="11" s="1"/>
  <c r="J34" i="11" s="1"/>
  <c r="L34" i="11" s="1"/>
  <c r="I35" i="11" a="1"/>
  <c r="I35" i="11" s="1"/>
  <c r="J35" i="11" s="1"/>
  <c r="L35" i="11" s="1"/>
  <c r="I36" i="11" a="1"/>
  <c r="I36" i="11"/>
  <c r="J36" i="11" s="1"/>
  <c r="L36" i="11" s="1"/>
  <c r="I37" i="11" a="1"/>
  <c r="I37" i="11" s="1"/>
  <c r="J37" i="11" s="1"/>
  <c r="L37" i="11" s="1"/>
  <c r="I38" i="11" a="1"/>
  <c r="I38" i="11" s="1"/>
  <c r="J38" i="11" s="1"/>
  <c r="L38" i="11" s="1"/>
  <c r="I39" i="11" a="1"/>
  <c r="I39" i="11" s="1"/>
  <c r="J39" i="11" s="1"/>
  <c r="L39" i="11" s="1"/>
  <c r="I40" i="11" a="1"/>
  <c r="I40" i="11" s="1"/>
  <c r="J40" i="11" s="1"/>
  <c r="L40" i="11" s="1"/>
  <c r="I41" i="11" a="1"/>
  <c r="I41" i="11" s="1"/>
  <c r="J41" i="11" s="1"/>
  <c r="L41" i="11" s="1"/>
  <c r="I42" i="11" a="1"/>
  <c r="I42" i="11" s="1"/>
  <c r="J42" i="11" s="1"/>
  <c r="L42" i="11" s="1"/>
  <c r="I43" i="11" a="1"/>
  <c r="I43" i="11"/>
  <c r="J43" i="11" s="1"/>
  <c r="L43" i="11" s="1"/>
  <c r="I44" i="11" a="1"/>
  <c r="I44" i="11" s="1"/>
  <c r="J44" i="11" s="1"/>
  <c r="L44" i="11" s="1"/>
  <c r="I45" i="11" a="1"/>
  <c r="I45" i="11" s="1"/>
  <c r="J45" i="11" s="1"/>
  <c r="L45" i="11" s="1"/>
  <c r="I46" i="11" a="1"/>
  <c r="I46" i="11" s="1"/>
  <c r="J46" i="11" s="1"/>
  <c r="L46" i="11" s="1"/>
  <c r="I47" i="11" a="1"/>
  <c r="I47" i="11"/>
  <c r="J47" i="11" s="1"/>
  <c r="L47" i="11" s="1"/>
  <c r="I48" i="11" a="1"/>
  <c r="I48" i="11" s="1"/>
  <c r="J48" i="11" s="1"/>
  <c r="L48" i="11" s="1"/>
  <c r="I49" i="11" a="1"/>
  <c r="I49" i="11" s="1"/>
  <c r="J49" i="11" s="1"/>
  <c r="L49" i="11" s="1"/>
  <c r="I50" i="11" a="1"/>
  <c r="I50" i="11"/>
  <c r="J50" i="11" s="1"/>
  <c r="L50" i="11" s="1"/>
  <c r="I51" i="11" a="1"/>
  <c r="I51" i="11" s="1"/>
  <c r="J51" i="11" s="1"/>
  <c r="L51" i="11" s="1"/>
  <c r="I52" i="11" a="1"/>
  <c r="I52" i="11" s="1"/>
  <c r="J52" i="11" s="1"/>
  <c r="L52" i="11" s="1"/>
  <c r="I53" i="11" a="1"/>
  <c r="I53" i="11" s="1"/>
  <c r="J53" i="11" s="1"/>
  <c r="L53" i="11" s="1"/>
  <c r="I54" i="11" a="1"/>
  <c r="I54" i="11"/>
  <c r="J54" i="11" s="1"/>
  <c r="L54" i="11" s="1"/>
  <c r="I55" i="11" a="1"/>
  <c r="I55" i="11" s="1"/>
  <c r="J55" i="11" s="1"/>
  <c r="L55" i="11" s="1"/>
  <c r="I56" i="11" a="1"/>
  <c r="I56" i="11" s="1"/>
  <c r="J56" i="11" s="1"/>
  <c r="L56" i="11" s="1"/>
  <c r="I57" i="11" a="1"/>
  <c r="I57" i="11" s="1"/>
  <c r="J57" i="11" s="1"/>
  <c r="L57" i="11" s="1"/>
  <c r="I58" i="11" a="1"/>
  <c r="I58" i="11" s="1"/>
  <c r="J58" i="11" s="1"/>
  <c r="L58" i="11" s="1"/>
  <c r="I59" i="11" a="1"/>
  <c r="I59" i="11" s="1"/>
  <c r="J59" i="11" s="1"/>
  <c r="L59" i="11" s="1"/>
  <c r="I60" i="11" a="1"/>
  <c r="I60" i="11" s="1"/>
  <c r="J60" i="11" s="1"/>
  <c r="L60" i="11" s="1"/>
  <c r="I61" i="11" a="1"/>
  <c r="I61" i="11"/>
  <c r="J61" i="11" s="1"/>
  <c r="L61" i="11" s="1"/>
  <c r="I62" i="11" a="1"/>
  <c r="I62" i="11" s="1"/>
  <c r="J62" i="11" s="1"/>
  <c r="L62" i="11" s="1"/>
  <c r="I63" i="11" a="1"/>
  <c r="I63" i="11" s="1"/>
  <c r="J63" i="11" s="1"/>
  <c r="L63" i="11" s="1"/>
  <c r="I64" i="11" a="1"/>
  <c r="I64" i="11" s="1"/>
  <c r="J64" i="11" s="1"/>
  <c r="L64" i="11" s="1"/>
  <c r="I65" i="11" a="1"/>
  <c r="I65" i="11"/>
  <c r="I66" i="11" a="1"/>
  <c r="I66" i="11" s="1"/>
  <c r="J66" i="11" s="1"/>
  <c r="L66" i="11" s="1"/>
  <c r="I67" i="11" a="1"/>
  <c r="I67" i="11" s="1"/>
  <c r="J67" i="11" s="1"/>
  <c r="L67" i="11" s="1"/>
  <c r="I68" i="11" a="1"/>
  <c r="I68" i="11"/>
  <c r="J68" i="11" s="1"/>
  <c r="L68" i="11" s="1"/>
  <c r="I69" i="11" a="1"/>
  <c r="I69" i="11" s="1"/>
  <c r="J69" i="11" s="1"/>
  <c r="L69" i="11" s="1"/>
  <c r="I70" i="11" a="1"/>
  <c r="I70" i="11" s="1"/>
  <c r="J70" i="11" s="1"/>
  <c r="L70" i="11" s="1"/>
  <c r="I71" i="11" a="1"/>
  <c r="I71" i="11" s="1"/>
  <c r="J71" i="11" s="1"/>
  <c r="L71" i="11" s="1"/>
  <c r="I72" i="11" a="1"/>
  <c r="I72" i="11"/>
  <c r="J72" i="11" s="1"/>
  <c r="L72" i="11" s="1"/>
  <c r="I73" i="11" a="1"/>
  <c r="I73" i="11" s="1"/>
  <c r="J73" i="11" s="1"/>
  <c r="L73" i="11" s="1"/>
  <c r="I8" i="11" a="1"/>
  <c r="I8" i="11" s="1"/>
  <c r="J8" i="11" s="1"/>
  <c r="L8" i="11" s="1"/>
  <c r="I73" i="9"/>
  <c r="J73" i="9" s="1"/>
  <c r="L73" i="9" s="1"/>
  <c r="I72" i="9"/>
  <c r="I71" i="9"/>
  <c r="I70" i="9"/>
  <c r="J70" i="9" s="1"/>
  <c r="L70" i="9" s="1"/>
  <c r="I69" i="9"/>
  <c r="J69" i="9" s="1"/>
  <c r="L69" i="9" s="1"/>
  <c r="I68" i="9"/>
  <c r="I67" i="9"/>
  <c r="I66" i="9"/>
  <c r="J66" i="9" s="1"/>
  <c r="L66" i="9" s="1"/>
  <c r="I65" i="9"/>
  <c r="I64" i="9"/>
  <c r="I63" i="9"/>
  <c r="J63" i="9" s="1"/>
  <c r="L63" i="9" s="1"/>
  <c r="I62" i="9"/>
  <c r="J62" i="9" s="1"/>
  <c r="L62" i="9" s="1"/>
  <c r="I61" i="9"/>
  <c r="J61" i="9" s="1"/>
  <c r="L61" i="9" s="1"/>
  <c r="I60" i="9"/>
  <c r="I59" i="9"/>
  <c r="I58" i="9"/>
  <c r="J58" i="9" s="1"/>
  <c r="L58" i="9" s="1"/>
  <c r="I57" i="9"/>
  <c r="J57" i="9" s="1"/>
  <c r="L57" i="9" s="1"/>
  <c r="I56" i="9"/>
  <c r="I55" i="9"/>
  <c r="I54" i="9"/>
  <c r="J54" i="9" s="1"/>
  <c r="L54" i="9" s="1"/>
  <c r="I53" i="9"/>
  <c r="I52" i="9"/>
  <c r="I51" i="9"/>
  <c r="J51" i="9" s="1"/>
  <c r="L51" i="9" s="1"/>
  <c r="I50" i="9"/>
  <c r="J50" i="9" s="1"/>
  <c r="L50" i="9" s="1"/>
  <c r="I49" i="9"/>
  <c r="J49" i="9" s="1"/>
  <c r="L49" i="9" s="1"/>
  <c r="I48" i="9"/>
  <c r="I47" i="9"/>
  <c r="I46" i="9"/>
  <c r="J46" i="9" s="1"/>
  <c r="L46" i="9" s="1"/>
  <c r="I45" i="9"/>
  <c r="J45" i="9" s="1"/>
  <c r="L45" i="9" s="1"/>
  <c r="I44" i="9"/>
  <c r="I43" i="9"/>
  <c r="J43" i="9" s="1"/>
  <c r="L43" i="9" s="1"/>
  <c r="I42" i="9"/>
  <c r="J42" i="9" s="1"/>
  <c r="L42" i="9" s="1"/>
  <c r="I41" i="9"/>
  <c r="I40" i="9"/>
  <c r="I39" i="9"/>
  <c r="J39" i="9" s="1"/>
  <c r="L39" i="9" s="1"/>
  <c r="I38" i="9"/>
  <c r="J38" i="9" s="1"/>
  <c r="L38" i="9" s="1"/>
  <c r="I37" i="9"/>
  <c r="J37" i="9" s="1"/>
  <c r="L37" i="9" s="1"/>
  <c r="I36" i="9"/>
  <c r="I35" i="9"/>
  <c r="I34" i="9"/>
  <c r="J34" i="9" s="1"/>
  <c r="L34" i="9" s="1"/>
  <c r="I33" i="9"/>
  <c r="J33" i="9" s="1"/>
  <c r="L33" i="9" s="1"/>
  <c r="I32" i="9"/>
  <c r="J32" i="9" s="1"/>
  <c r="L32" i="9" s="1"/>
  <c r="I31" i="9"/>
  <c r="J31" i="9" s="1"/>
  <c r="L31" i="9" s="1"/>
  <c r="I30" i="9"/>
  <c r="J30" i="9" s="1"/>
  <c r="L30" i="9" s="1"/>
  <c r="I29" i="9"/>
  <c r="I28" i="9"/>
  <c r="I27" i="9"/>
  <c r="J27" i="9" s="1"/>
  <c r="L27" i="9" s="1"/>
  <c r="I26" i="9"/>
  <c r="J26" i="9" s="1"/>
  <c r="L26" i="9" s="1"/>
  <c r="I25" i="9"/>
  <c r="J25" i="9" s="1"/>
  <c r="L25" i="9" s="1"/>
  <c r="I24" i="9"/>
  <c r="I23" i="9"/>
  <c r="I22" i="9"/>
  <c r="J22" i="9" s="1"/>
  <c r="L22" i="9" s="1"/>
  <c r="I21" i="9"/>
  <c r="J21" i="9" s="1"/>
  <c r="L21" i="9" s="1"/>
  <c r="I20" i="9"/>
  <c r="J20" i="9" s="1"/>
  <c r="L20" i="9" s="1"/>
  <c r="I19" i="9"/>
  <c r="J19" i="9" s="1"/>
  <c r="L19" i="9" s="1"/>
  <c r="I18" i="9"/>
  <c r="J18" i="9" s="1"/>
  <c r="L18" i="9" s="1"/>
  <c r="I17" i="9"/>
  <c r="I16" i="9"/>
  <c r="I15" i="9"/>
  <c r="J15" i="9" s="1"/>
  <c r="L15" i="9" s="1"/>
  <c r="I14" i="9"/>
  <c r="J14" i="9" s="1"/>
  <c r="L14" i="9" s="1"/>
  <c r="I13" i="9"/>
  <c r="J13" i="9" s="1"/>
  <c r="L13" i="9" s="1"/>
  <c r="I12" i="9"/>
  <c r="I11" i="9"/>
  <c r="I10" i="9"/>
  <c r="J10" i="9" s="1"/>
  <c r="L10" i="9" s="1"/>
  <c r="I9" i="9"/>
  <c r="J9" i="9" s="1"/>
  <c r="L9" i="9" s="1"/>
  <c r="I8" i="9"/>
  <c r="J8" i="9" s="1"/>
  <c r="L8" i="9" s="1"/>
  <c r="I73" i="8"/>
  <c r="I72" i="8"/>
  <c r="I71" i="8"/>
  <c r="I70" i="8"/>
  <c r="I69" i="8"/>
  <c r="J69" i="8" s="1"/>
  <c r="L69" i="8" s="1"/>
  <c r="I68" i="8"/>
  <c r="J68" i="8" s="1"/>
  <c r="L68" i="8" s="1"/>
  <c r="I67" i="8"/>
  <c r="J67" i="8" s="1"/>
  <c r="L67" i="8" s="1"/>
  <c r="I66" i="8"/>
  <c r="J66" i="8" s="1"/>
  <c r="L66" i="8" s="1"/>
  <c r="I65" i="8"/>
  <c r="I64" i="8"/>
  <c r="J64" i="8" s="1"/>
  <c r="L64" i="8" s="1"/>
  <c r="I63" i="8"/>
  <c r="J63" i="8" s="1"/>
  <c r="L63" i="8" s="1"/>
  <c r="I62" i="8"/>
  <c r="J62" i="8" s="1"/>
  <c r="L62" i="8" s="1"/>
  <c r="I61" i="8"/>
  <c r="I60" i="8"/>
  <c r="I59" i="8"/>
  <c r="I58" i="8"/>
  <c r="I57" i="8"/>
  <c r="J57" i="8" s="1"/>
  <c r="L57" i="8" s="1"/>
  <c r="I56" i="8"/>
  <c r="J56" i="8" s="1"/>
  <c r="L56" i="8" s="1"/>
  <c r="I55" i="8"/>
  <c r="J55" i="8" s="1"/>
  <c r="L55" i="8" s="1"/>
  <c r="I54" i="8"/>
  <c r="J54" i="8" s="1"/>
  <c r="L54" i="8" s="1"/>
  <c r="I53" i="8"/>
  <c r="I52" i="8"/>
  <c r="J52" i="8" s="1"/>
  <c r="L52" i="8" s="1"/>
  <c r="I51" i="8"/>
  <c r="J51" i="8" s="1"/>
  <c r="L51" i="8" s="1"/>
  <c r="I50" i="8"/>
  <c r="J50" i="8" s="1"/>
  <c r="L50" i="8" s="1"/>
  <c r="I49" i="8"/>
  <c r="I48" i="8"/>
  <c r="I47" i="8"/>
  <c r="I46" i="8"/>
  <c r="I45" i="8"/>
  <c r="J45" i="8" s="1"/>
  <c r="L45" i="8" s="1"/>
  <c r="I44" i="8"/>
  <c r="J44" i="8" s="1"/>
  <c r="L44" i="8" s="1"/>
  <c r="I43" i="8"/>
  <c r="J43" i="8" s="1"/>
  <c r="L43" i="8" s="1"/>
  <c r="I42" i="8"/>
  <c r="J42" i="8" s="1"/>
  <c r="L42" i="8" s="1"/>
  <c r="I41" i="8"/>
  <c r="I40" i="8"/>
  <c r="J40" i="8" s="1"/>
  <c r="L40" i="8" s="1"/>
  <c r="I39" i="8"/>
  <c r="J39" i="8" s="1"/>
  <c r="L39" i="8" s="1"/>
  <c r="I38" i="8"/>
  <c r="J38" i="8" s="1"/>
  <c r="L38" i="8" s="1"/>
  <c r="I37" i="8"/>
  <c r="I36" i="8"/>
  <c r="I35" i="8"/>
  <c r="I34" i="8"/>
  <c r="I33" i="8"/>
  <c r="J33" i="8" s="1"/>
  <c r="L33" i="8" s="1"/>
  <c r="I32" i="8"/>
  <c r="J32" i="8" s="1"/>
  <c r="L32" i="8" s="1"/>
  <c r="I31" i="8"/>
  <c r="J31" i="8" s="1"/>
  <c r="L31" i="8" s="1"/>
  <c r="I30" i="8"/>
  <c r="J30" i="8" s="1"/>
  <c r="L30" i="8" s="1"/>
  <c r="I29" i="8"/>
  <c r="I28" i="8"/>
  <c r="J28" i="8" s="1"/>
  <c r="L28" i="8" s="1"/>
  <c r="I27" i="8"/>
  <c r="J27" i="8" s="1"/>
  <c r="L27" i="8" s="1"/>
  <c r="I26" i="8"/>
  <c r="J26" i="8" s="1"/>
  <c r="L26" i="8" s="1"/>
  <c r="I25" i="8"/>
  <c r="I24" i="8"/>
  <c r="I23" i="8"/>
  <c r="I22" i="8"/>
  <c r="I21" i="8"/>
  <c r="J21" i="8" s="1"/>
  <c r="L21" i="8" s="1"/>
  <c r="I20" i="8"/>
  <c r="J20" i="8" s="1"/>
  <c r="L20" i="8" s="1"/>
  <c r="I19" i="8"/>
  <c r="J19" i="8" s="1"/>
  <c r="L19" i="8" s="1"/>
  <c r="I18" i="8"/>
  <c r="J18" i="8" s="1"/>
  <c r="L18" i="8" s="1"/>
  <c r="I17" i="8"/>
  <c r="I16" i="8"/>
  <c r="J16" i="8" s="1"/>
  <c r="L16" i="8" s="1"/>
  <c r="I15" i="8"/>
  <c r="J15" i="8" s="1"/>
  <c r="L15" i="8" s="1"/>
  <c r="I14" i="8"/>
  <c r="J14" i="8" s="1"/>
  <c r="L14" i="8" s="1"/>
  <c r="I13" i="8"/>
  <c r="I12" i="8"/>
  <c r="I11" i="8"/>
  <c r="I10" i="8"/>
  <c r="I9" i="8"/>
  <c r="J9" i="8" s="1"/>
  <c r="L9" i="8" s="1"/>
  <c r="I8" i="8"/>
  <c r="J8" i="8" s="1"/>
  <c r="L8" i="8" s="1"/>
  <c r="I9" i="7"/>
  <c r="J9" i="7" s="1"/>
  <c r="L9" i="7" s="1"/>
  <c r="I10" i="7"/>
  <c r="J10" i="7" s="1"/>
  <c r="L10" i="7" s="1"/>
  <c r="I11" i="7"/>
  <c r="J11" i="7" s="1"/>
  <c r="L11" i="7" s="1"/>
  <c r="I12" i="7"/>
  <c r="I13" i="7"/>
  <c r="I14" i="7"/>
  <c r="I15" i="7"/>
  <c r="J15" i="7" s="1"/>
  <c r="L15" i="7" s="1"/>
  <c r="I16" i="7"/>
  <c r="J16" i="7" s="1"/>
  <c r="L16" i="7" s="1"/>
  <c r="I17" i="7"/>
  <c r="I18" i="7"/>
  <c r="J18" i="7" s="1"/>
  <c r="L18" i="7" s="1"/>
  <c r="I19" i="7"/>
  <c r="J19" i="7" s="1"/>
  <c r="L19" i="7" s="1"/>
  <c r="I20" i="7"/>
  <c r="J20" i="7" s="1"/>
  <c r="L20" i="7" s="1"/>
  <c r="I21" i="7"/>
  <c r="I22" i="7"/>
  <c r="J22" i="7" s="1"/>
  <c r="L22" i="7" s="1"/>
  <c r="I23" i="7"/>
  <c r="J23" i="7" s="1"/>
  <c r="L23" i="7" s="1"/>
  <c r="I24" i="7"/>
  <c r="I25" i="7"/>
  <c r="I26" i="7"/>
  <c r="I27" i="7"/>
  <c r="J27" i="7" s="1"/>
  <c r="L27" i="7" s="1"/>
  <c r="I28" i="7"/>
  <c r="J28" i="7" s="1"/>
  <c r="L28" i="7" s="1"/>
  <c r="I29" i="7"/>
  <c r="I30" i="7"/>
  <c r="J30" i="7" s="1"/>
  <c r="L30" i="7" s="1"/>
  <c r="I31" i="7"/>
  <c r="J31" i="7" s="1"/>
  <c r="L31" i="7" s="1"/>
  <c r="I32" i="7"/>
  <c r="J32" i="7" s="1"/>
  <c r="L32" i="7" s="1"/>
  <c r="I33" i="7"/>
  <c r="J33" i="7" s="1"/>
  <c r="L33" i="7" s="1"/>
  <c r="I34" i="7"/>
  <c r="J34" i="7" s="1"/>
  <c r="L34" i="7" s="1"/>
  <c r="I35" i="7"/>
  <c r="J35" i="7" s="1"/>
  <c r="L35" i="7" s="1"/>
  <c r="I36" i="7"/>
  <c r="I37" i="7"/>
  <c r="I38" i="7"/>
  <c r="I39" i="7"/>
  <c r="J39" i="7" s="1"/>
  <c r="L39" i="7" s="1"/>
  <c r="I40" i="7"/>
  <c r="J40" i="7" s="1"/>
  <c r="L40" i="7" s="1"/>
  <c r="I41" i="7"/>
  <c r="I42" i="7"/>
  <c r="J42" i="7" s="1"/>
  <c r="L42" i="7" s="1"/>
  <c r="I43" i="7"/>
  <c r="J43" i="7" s="1"/>
  <c r="L43" i="7" s="1"/>
  <c r="I44" i="7"/>
  <c r="J44" i="7" s="1"/>
  <c r="L44" i="7" s="1"/>
  <c r="I45" i="7"/>
  <c r="J45" i="7" s="1"/>
  <c r="L45" i="7" s="1"/>
  <c r="I46" i="7"/>
  <c r="J46" i="7" s="1"/>
  <c r="L46" i="7" s="1"/>
  <c r="I47" i="7"/>
  <c r="J47" i="7" s="1"/>
  <c r="L47" i="7" s="1"/>
  <c r="I48" i="7"/>
  <c r="I49" i="7"/>
  <c r="I50" i="7"/>
  <c r="I51" i="7"/>
  <c r="J51" i="7" s="1"/>
  <c r="L51" i="7" s="1"/>
  <c r="I52" i="7"/>
  <c r="J52" i="7" s="1"/>
  <c r="L52" i="7" s="1"/>
  <c r="I53" i="7"/>
  <c r="J53" i="7" s="1"/>
  <c r="L53" i="7" s="1"/>
  <c r="I54" i="7"/>
  <c r="J54" i="7" s="1"/>
  <c r="L54" i="7" s="1"/>
  <c r="I55" i="7"/>
  <c r="J55" i="7" s="1"/>
  <c r="L55" i="7" s="1"/>
  <c r="I56" i="7"/>
  <c r="J56" i="7" s="1"/>
  <c r="L56" i="7" s="1"/>
  <c r="I57" i="7"/>
  <c r="J57" i="7" s="1"/>
  <c r="L57" i="7" s="1"/>
  <c r="I58" i="7"/>
  <c r="J58" i="7" s="1"/>
  <c r="L58" i="7" s="1"/>
  <c r="I59" i="7"/>
  <c r="J59" i="7" s="1"/>
  <c r="L59" i="7" s="1"/>
  <c r="I60" i="7"/>
  <c r="I61" i="7"/>
  <c r="I62" i="7"/>
  <c r="I63" i="7"/>
  <c r="J63" i="7" s="1"/>
  <c r="L63" i="7" s="1"/>
  <c r="I64" i="7"/>
  <c r="J64" i="7" s="1"/>
  <c r="L64" i="7" s="1"/>
  <c r="I65" i="7"/>
  <c r="J65" i="7" s="1"/>
  <c r="L65" i="7" s="1"/>
  <c r="I66" i="7"/>
  <c r="J66" i="7" s="1"/>
  <c r="L66" i="7" s="1"/>
  <c r="I67" i="7"/>
  <c r="J67" i="7" s="1"/>
  <c r="L67" i="7" s="1"/>
  <c r="I68" i="7"/>
  <c r="I69" i="7"/>
  <c r="J69" i="7" s="1"/>
  <c r="L69" i="7" s="1"/>
  <c r="I70" i="7"/>
  <c r="J70" i="7" s="1"/>
  <c r="L70" i="7" s="1"/>
  <c r="I71" i="7"/>
  <c r="J71" i="7" s="1"/>
  <c r="L71" i="7" s="1"/>
  <c r="I72" i="7"/>
  <c r="I73" i="7"/>
  <c r="I8" i="7"/>
  <c r="J73" i="7"/>
  <c r="L73" i="7" s="1"/>
  <c r="J72" i="7"/>
  <c r="L72" i="7" s="1"/>
  <c r="J68" i="7"/>
  <c r="L68" i="7" s="1"/>
  <c r="J62" i="7"/>
  <c r="L62" i="7" s="1"/>
  <c r="J61" i="7"/>
  <c r="L61" i="7" s="1"/>
  <c r="J60" i="7"/>
  <c r="L60" i="7" s="1"/>
  <c r="J50" i="7"/>
  <c r="L50" i="7" s="1"/>
  <c r="J49" i="7"/>
  <c r="L49" i="7" s="1"/>
  <c r="J48" i="7"/>
  <c r="L48" i="7" s="1"/>
  <c r="J41" i="7"/>
  <c r="L41" i="7" s="1"/>
  <c r="J38" i="7"/>
  <c r="L38" i="7" s="1"/>
  <c r="J37" i="7"/>
  <c r="L37" i="7" s="1"/>
  <c r="J36" i="7"/>
  <c r="L36" i="7" s="1"/>
  <c r="J29" i="7"/>
  <c r="L29" i="7" s="1"/>
  <c r="J26" i="7"/>
  <c r="L26" i="7" s="1"/>
  <c r="J25" i="7"/>
  <c r="L25" i="7" s="1"/>
  <c r="J24" i="7"/>
  <c r="L24" i="7" s="1"/>
  <c r="J21" i="7"/>
  <c r="L21" i="7" s="1"/>
  <c r="J17" i="7"/>
  <c r="L17" i="7" s="1"/>
  <c r="J14" i="7"/>
  <c r="L14" i="7" s="1"/>
  <c r="J13" i="7"/>
  <c r="L13" i="7" s="1"/>
  <c r="J12" i="7"/>
  <c r="L12" i="7" s="1"/>
  <c r="J8" i="7"/>
  <c r="L8" i="7" s="1"/>
  <c r="J63" i="27"/>
  <c r="L63" i="27" s="1"/>
  <c r="J28" i="27"/>
  <c r="L28" i="27" s="1"/>
  <c r="J21" i="27"/>
  <c r="L21" i="27" s="1"/>
  <c r="J42" i="26"/>
  <c r="L42" i="26" s="1"/>
  <c r="I73" i="23" a="1"/>
  <c r="I73" i="23" s="1"/>
  <c r="J73" i="23" s="1"/>
  <c r="L73" i="23" s="1"/>
  <c r="I72" i="23" a="1"/>
  <c r="I72" i="23" s="1"/>
  <c r="J72" i="23" s="1"/>
  <c r="L72" i="23" s="1"/>
  <c r="I71" i="23" a="1"/>
  <c r="I71" i="23" s="1"/>
  <c r="J71" i="23" s="1"/>
  <c r="L71" i="23" s="1"/>
  <c r="I70" i="23" a="1"/>
  <c r="I70" i="23" s="1"/>
  <c r="J70" i="23" s="1"/>
  <c r="L70" i="23" s="1"/>
  <c r="I69" i="23" a="1"/>
  <c r="I69" i="23" s="1"/>
  <c r="J69" i="23" s="1"/>
  <c r="L69" i="23" s="1"/>
  <c r="I68" i="23" a="1"/>
  <c r="I68" i="23" s="1"/>
  <c r="J68" i="23" s="1"/>
  <c r="L68" i="23" s="1"/>
  <c r="I67" i="23" a="1"/>
  <c r="I67" i="23" s="1"/>
  <c r="J67" i="23" s="1"/>
  <c r="L67" i="23" s="1"/>
  <c r="I66" i="23" a="1"/>
  <c r="I66" i="23" s="1"/>
  <c r="J66" i="23" s="1"/>
  <c r="L66" i="23" s="1"/>
  <c r="I65" i="23" a="1"/>
  <c r="I65" i="23" s="1"/>
  <c r="J65" i="23" s="1"/>
  <c r="L65" i="23" s="1"/>
  <c r="I64" i="23" a="1"/>
  <c r="I64" i="23" s="1"/>
  <c r="J64" i="23" s="1"/>
  <c r="L64" i="23" s="1"/>
  <c r="I63" i="23" a="1"/>
  <c r="I63" i="23" s="1"/>
  <c r="J63" i="23" s="1"/>
  <c r="L63" i="23" s="1"/>
  <c r="I62" i="23" a="1"/>
  <c r="I62" i="23" s="1"/>
  <c r="J62" i="23" s="1"/>
  <c r="L62" i="23" s="1"/>
  <c r="I61" i="23" a="1"/>
  <c r="I61" i="23" s="1"/>
  <c r="J61" i="23" s="1"/>
  <c r="L61" i="23" s="1"/>
  <c r="I60" i="23" a="1"/>
  <c r="I60" i="23" s="1"/>
  <c r="J60" i="23" s="1"/>
  <c r="L60" i="23" s="1"/>
  <c r="I59" i="23"/>
  <c r="J59" i="23" s="1"/>
  <c r="L59" i="23" s="1"/>
  <c r="I59" i="23" a="1"/>
  <c r="I58" i="23" a="1"/>
  <c r="I58" i="23" s="1"/>
  <c r="J58" i="23" s="1"/>
  <c r="L58" i="23" s="1"/>
  <c r="I57" i="23" a="1"/>
  <c r="I57" i="23" s="1"/>
  <c r="J57" i="23" s="1"/>
  <c r="L57" i="23" s="1"/>
  <c r="I56" i="23" a="1"/>
  <c r="I56" i="23" s="1"/>
  <c r="J56" i="23" s="1"/>
  <c r="L56" i="23" s="1"/>
  <c r="I55" i="23" a="1"/>
  <c r="I55" i="23" s="1"/>
  <c r="J55" i="23" s="1"/>
  <c r="L55" i="23" s="1"/>
  <c r="I54" i="23" a="1"/>
  <c r="I54" i="23" s="1"/>
  <c r="J54" i="23" s="1"/>
  <c r="L54" i="23" s="1"/>
  <c r="I53" i="23" a="1"/>
  <c r="I53" i="23" s="1"/>
  <c r="J53" i="23" s="1"/>
  <c r="L53" i="23" s="1"/>
  <c r="I52" i="23" a="1"/>
  <c r="I52" i="23" s="1"/>
  <c r="J52" i="23" s="1"/>
  <c r="L52" i="23" s="1"/>
  <c r="I51" i="23" a="1"/>
  <c r="I51" i="23" s="1"/>
  <c r="J51" i="23" s="1"/>
  <c r="L51" i="23" s="1"/>
  <c r="I50" i="23" a="1"/>
  <c r="I50" i="23" s="1"/>
  <c r="J50" i="23" s="1"/>
  <c r="L50" i="23" s="1"/>
  <c r="I49" i="23" a="1"/>
  <c r="I49" i="23" s="1"/>
  <c r="J49" i="23" s="1"/>
  <c r="L49" i="23" s="1"/>
  <c r="I48" i="23" a="1"/>
  <c r="I48" i="23" s="1"/>
  <c r="J48" i="23" s="1"/>
  <c r="L48" i="23" s="1"/>
  <c r="I47" i="23" a="1"/>
  <c r="I47" i="23" s="1"/>
  <c r="J47" i="23" s="1"/>
  <c r="L47" i="23" s="1"/>
  <c r="I46" i="23" a="1"/>
  <c r="I46" i="23" s="1"/>
  <c r="J46" i="23" s="1"/>
  <c r="L46" i="23" s="1"/>
  <c r="I45" i="23" a="1"/>
  <c r="I45" i="23" s="1"/>
  <c r="J45" i="23" s="1"/>
  <c r="L45" i="23" s="1"/>
  <c r="I44" i="23" a="1"/>
  <c r="I44" i="23" s="1"/>
  <c r="J44" i="23" s="1"/>
  <c r="L44" i="23" s="1"/>
  <c r="I43" i="23" a="1"/>
  <c r="I43" i="23" s="1"/>
  <c r="J43" i="23" s="1"/>
  <c r="L43" i="23" s="1"/>
  <c r="I42" i="23" a="1"/>
  <c r="I42" i="23" s="1"/>
  <c r="J42" i="23" s="1"/>
  <c r="L42" i="23" s="1"/>
  <c r="I41" i="23"/>
  <c r="J41" i="23" s="1"/>
  <c r="L41" i="23" s="1"/>
  <c r="I41" i="23" a="1"/>
  <c r="I40" i="23" a="1"/>
  <c r="I40" i="23" s="1"/>
  <c r="J40" i="23" s="1"/>
  <c r="L40" i="23" s="1"/>
  <c r="I39" i="23" a="1"/>
  <c r="I39" i="23" s="1"/>
  <c r="J39" i="23" s="1"/>
  <c r="L39" i="23" s="1"/>
  <c r="I38" i="23" a="1"/>
  <c r="I38" i="23" s="1"/>
  <c r="J38" i="23" s="1"/>
  <c r="L38" i="23" s="1"/>
  <c r="I37" i="23" a="1"/>
  <c r="I37" i="23" s="1"/>
  <c r="J37" i="23" s="1"/>
  <c r="L37" i="23" s="1"/>
  <c r="I36" i="23" a="1"/>
  <c r="I36" i="23" s="1"/>
  <c r="J36" i="23" s="1"/>
  <c r="L36" i="23" s="1"/>
  <c r="I35" i="23" a="1"/>
  <c r="I35" i="23" s="1"/>
  <c r="J35" i="23" s="1"/>
  <c r="L35" i="23" s="1"/>
  <c r="I34" i="23" a="1"/>
  <c r="I34" i="23" s="1"/>
  <c r="J34" i="23" s="1"/>
  <c r="L34" i="23" s="1"/>
  <c r="I33" i="23" a="1"/>
  <c r="I33" i="23" s="1"/>
  <c r="J33" i="23" s="1"/>
  <c r="L33" i="23" s="1"/>
  <c r="I32" i="23" a="1"/>
  <c r="I32" i="23" s="1"/>
  <c r="J32" i="23" s="1"/>
  <c r="L32" i="23" s="1"/>
  <c r="I31" i="23" a="1"/>
  <c r="I31" i="23" s="1"/>
  <c r="J31" i="23" s="1"/>
  <c r="L31" i="23" s="1"/>
  <c r="I30" i="23" a="1"/>
  <c r="I30" i="23" s="1"/>
  <c r="J30" i="23" s="1"/>
  <c r="L30" i="23" s="1"/>
  <c r="I29" i="23" a="1"/>
  <c r="I29" i="23" s="1"/>
  <c r="J29" i="23" s="1"/>
  <c r="L29" i="23" s="1"/>
  <c r="I28" i="23" a="1"/>
  <c r="I28" i="23" s="1"/>
  <c r="J28" i="23" s="1"/>
  <c r="L28" i="23" s="1"/>
  <c r="I27" i="23" a="1"/>
  <c r="I27" i="23" s="1"/>
  <c r="J27" i="23" s="1"/>
  <c r="L27" i="23" s="1"/>
  <c r="I26" i="23" a="1"/>
  <c r="I26" i="23" s="1"/>
  <c r="J26" i="23" s="1"/>
  <c r="L26" i="23" s="1"/>
  <c r="I25" i="23" a="1"/>
  <c r="I25" i="23" s="1"/>
  <c r="J25" i="23" s="1"/>
  <c r="L25" i="23" s="1"/>
  <c r="I24" i="23" a="1"/>
  <c r="I24" i="23" s="1"/>
  <c r="J24" i="23" s="1"/>
  <c r="L24" i="23" s="1"/>
  <c r="I23" i="23" a="1"/>
  <c r="I23" i="23" s="1"/>
  <c r="J23" i="23" s="1"/>
  <c r="L23" i="23" s="1"/>
  <c r="I22" i="23" a="1"/>
  <c r="I22" i="23" s="1"/>
  <c r="J22" i="23" s="1"/>
  <c r="L22" i="23" s="1"/>
  <c r="I21" i="23" a="1"/>
  <c r="I21" i="23" s="1"/>
  <c r="J21" i="23" s="1"/>
  <c r="L21" i="23" s="1"/>
  <c r="I20" i="23"/>
  <c r="J20" i="23" s="1"/>
  <c r="L20" i="23" s="1"/>
  <c r="I20" i="23" a="1"/>
  <c r="I19" i="23" a="1"/>
  <c r="I19" i="23" s="1"/>
  <c r="J19" i="23" s="1"/>
  <c r="L19" i="23" s="1"/>
  <c r="I18" i="23" a="1"/>
  <c r="I18" i="23" s="1"/>
  <c r="J18" i="23" s="1"/>
  <c r="L18" i="23" s="1"/>
  <c r="I17" i="23" a="1"/>
  <c r="I17" i="23" s="1"/>
  <c r="J17" i="23" s="1"/>
  <c r="L17" i="23" s="1"/>
  <c r="I16" i="23" a="1"/>
  <c r="I16" i="23" s="1"/>
  <c r="J16" i="23" s="1"/>
  <c r="L16" i="23" s="1"/>
  <c r="I15" i="23" a="1"/>
  <c r="I15" i="23" s="1"/>
  <c r="J15" i="23" s="1"/>
  <c r="L15" i="23" s="1"/>
  <c r="I14" i="23" a="1"/>
  <c r="I14" i="23" s="1"/>
  <c r="J14" i="23" s="1"/>
  <c r="L14" i="23" s="1"/>
  <c r="I13" i="23" a="1"/>
  <c r="I13" i="23" s="1"/>
  <c r="J13" i="23" s="1"/>
  <c r="L13" i="23" s="1"/>
  <c r="I12" i="23" a="1"/>
  <c r="I12" i="23" s="1"/>
  <c r="J12" i="23" s="1"/>
  <c r="L12" i="23" s="1"/>
  <c r="I11" i="23" a="1"/>
  <c r="I11" i="23" s="1"/>
  <c r="J11" i="23" s="1"/>
  <c r="L11" i="23" s="1"/>
  <c r="I10" i="23" a="1"/>
  <c r="I10" i="23" s="1"/>
  <c r="J10" i="23" s="1"/>
  <c r="L10" i="23" s="1"/>
  <c r="I9" i="23" a="1"/>
  <c r="I9" i="23" s="1"/>
  <c r="J9" i="23" s="1"/>
  <c r="L9" i="23" s="1"/>
  <c r="I8" i="23" a="1"/>
  <c r="I8" i="23" s="1"/>
  <c r="J8" i="23" s="1"/>
  <c r="L8" i="23" s="1"/>
  <c r="I73" i="22" a="1"/>
  <c r="I73" i="22" s="1"/>
  <c r="J73" i="22" s="1"/>
  <c r="L73" i="22" s="1"/>
  <c r="I72" i="22" a="1"/>
  <c r="I72" i="22" s="1"/>
  <c r="J72" i="22" s="1"/>
  <c r="L72" i="22" s="1"/>
  <c r="I71" i="22" a="1"/>
  <c r="I71" i="22" s="1"/>
  <c r="J71" i="22" s="1"/>
  <c r="L71" i="22" s="1"/>
  <c r="I70" i="22" a="1"/>
  <c r="I70" i="22" s="1"/>
  <c r="J70" i="22" s="1"/>
  <c r="L70" i="22" s="1"/>
  <c r="I69" i="22" a="1"/>
  <c r="I69" i="22" s="1"/>
  <c r="J69" i="22" s="1"/>
  <c r="L69" i="22" s="1"/>
  <c r="I68" i="22" a="1"/>
  <c r="I68" i="22" s="1"/>
  <c r="J68" i="22" s="1"/>
  <c r="L68" i="22" s="1"/>
  <c r="I67" i="22" a="1"/>
  <c r="I67" i="22" s="1"/>
  <c r="J67" i="22" s="1"/>
  <c r="L67" i="22" s="1"/>
  <c r="I66" i="22" a="1"/>
  <c r="I66" i="22" s="1"/>
  <c r="J66" i="22" s="1"/>
  <c r="L66" i="22" s="1"/>
  <c r="I65" i="22" a="1"/>
  <c r="I65" i="22" s="1"/>
  <c r="J65" i="22" s="1"/>
  <c r="L65" i="22" s="1"/>
  <c r="I64" i="22" a="1"/>
  <c r="I64" i="22" s="1"/>
  <c r="J64" i="22" s="1"/>
  <c r="L64" i="22" s="1"/>
  <c r="I63" i="22" a="1"/>
  <c r="I63" i="22" s="1"/>
  <c r="J63" i="22" s="1"/>
  <c r="L63" i="22" s="1"/>
  <c r="I62" i="22" a="1"/>
  <c r="I62" i="22" s="1"/>
  <c r="J62" i="22" s="1"/>
  <c r="L62" i="22" s="1"/>
  <c r="I61" i="22" a="1"/>
  <c r="I61" i="22" s="1"/>
  <c r="J61" i="22" s="1"/>
  <c r="L61" i="22" s="1"/>
  <c r="I60" i="22" a="1"/>
  <c r="I60" i="22" s="1"/>
  <c r="J60" i="22" s="1"/>
  <c r="L60" i="22" s="1"/>
  <c r="I59" i="22" a="1"/>
  <c r="I59" i="22" s="1"/>
  <c r="J59" i="22" s="1"/>
  <c r="L59" i="22" s="1"/>
  <c r="I58" i="22" a="1"/>
  <c r="I58" i="22" s="1"/>
  <c r="J58" i="22" s="1"/>
  <c r="L58" i="22" s="1"/>
  <c r="I57" i="22" a="1"/>
  <c r="I57" i="22" s="1"/>
  <c r="J57" i="22" s="1"/>
  <c r="L57" i="22" s="1"/>
  <c r="I56" i="22" a="1"/>
  <c r="I56" i="22" s="1"/>
  <c r="J56" i="22" s="1"/>
  <c r="L56" i="22" s="1"/>
  <c r="I55" i="22" a="1"/>
  <c r="I55" i="22" s="1"/>
  <c r="J55" i="22" s="1"/>
  <c r="L55" i="22" s="1"/>
  <c r="I54" i="22" a="1"/>
  <c r="I54" i="22" s="1"/>
  <c r="J54" i="22" s="1"/>
  <c r="L54" i="22" s="1"/>
  <c r="I53" i="22" a="1"/>
  <c r="I53" i="22" s="1"/>
  <c r="J53" i="22" s="1"/>
  <c r="L53" i="22" s="1"/>
  <c r="I52" i="22" a="1"/>
  <c r="I52" i="22" s="1"/>
  <c r="J52" i="22" s="1"/>
  <c r="L52" i="22" s="1"/>
  <c r="I51" i="22" a="1"/>
  <c r="I51" i="22" s="1"/>
  <c r="J51" i="22" s="1"/>
  <c r="L51" i="22" s="1"/>
  <c r="I50" i="22" a="1"/>
  <c r="I50" i="22" s="1"/>
  <c r="J50" i="22" s="1"/>
  <c r="L50" i="22" s="1"/>
  <c r="I49" i="22" a="1"/>
  <c r="I49" i="22" s="1"/>
  <c r="J49" i="22" s="1"/>
  <c r="L49" i="22" s="1"/>
  <c r="I48" i="22" a="1"/>
  <c r="I48" i="22" s="1"/>
  <c r="J48" i="22" s="1"/>
  <c r="L48" i="22" s="1"/>
  <c r="I47" i="22" a="1"/>
  <c r="I47" i="22" s="1"/>
  <c r="J47" i="22" s="1"/>
  <c r="L47" i="22" s="1"/>
  <c r="I46" i="22" a="1"/>
  <c r="I46" i="22" s="1"/>
  <c r="J46" i="22" s="1"/>
  <c r="L46" i="22" s="1"/>
  <c r="I45" i="22" a="1"/>
  <c r="I45" i="22" s="1"/>
  <c r="J45" i="22" s="1"/>
  <c r="L45" i="22" s="1"/>
  <c r="I44" i="22" a="1"/>
  <c r="I44" i="22" s="1"/>
  <c r="J44" i="22" s="1"/>
  <c r="L44" i="22" s="1"/>
  <c r="I43" i="22" a="1"/>
  <c r="I43" i="22" s="1"/>
  <c r="J43" i="22" s="1"/>
  <c r="L43" i="22" s="1"/>
  <c r="I42" i="22" a="1"/>
  <c r="I42" i="22" s="1"/>
  <c r="J42" i="22" s="1"/>
  <c r="L42" i="22" s="1"/>
  <c r="I41" i="22" a="1"/>
  <c r="I41" i="22" s="1"/>
  <c r="J41" i="22" s="1"/>
  <c r="L41" i="22" s="1"/>
  <c r="I40" i="22" a="1"/>
  <c r="I40" i="22" s="1"/>
  <c r="J40" i="22" s="1"/>
  <c r="L40" i="22" s="1"/>
  <c r="I39" i="22" a="1"/>
  <c r="I39" i="22" s="1"/>
  <c r="J39" i="22" s="1"/>
  <c r="L39" i="22" s="1"/>
  <c r="I38" i="22" a="1"/>
  <c r="I38" i="22" s="1"/>
  <c r="J38" i="22" s="1"/>
  <c r="L38" i="22" s="1"/>
  <c r="I37" i="22" a="1"/>
  <c r="I37" i="22" s="1"/>
  <c r="J37" i="22" s="1"/>
  <c r="L37" i="22" s="1"/>
  <c r="I36" i="22" a="1"/>
  <c r="I36" i="22" s="1"/>
  <c r="J36" i="22" s="1"/>
  <c r="L36" i="22" s="1"/>
  <c r="I35" i="22" a="1"/>
  <c r="I35" i="22" s="1"/>
  <c r="J35" i="22" s="1"/>
  <c r="L35" i="22" s="1"/>
  <c r="I34" i="22" a="1"/>
  <c r="I34" i="22" s="1"/>
  <c r="J34" i="22" s="1"/>
  <c r="L34" i="22" s="1"/>
  <c r="I33" i="22" a="1"/>
  <c r="I33" i="22" s="1"/>
  <c r="J33" i="22" s="1"/>
  <c r="L33" i="22" s="1"/>
  <c r="I32" i="22" a="1"/>
  <c r="I32" i="22" s="1"/>
  <c r="J32" i="22" s="1"/>
  <c r="L32" i="22" s="1"/>
  <c r="I31" i="22" a="1"/>
  <c r="I31" i="22" s="1"/>
  <c r="J31" i="22" s="1"/>
  <c r="L31" i="22" s="1"/>
  <c r="I30" i="22" a="1"/>
  <c r="I30" i="22" s="1"/>
  <c r="J30" i="22" s="1"/>
  <c r="L30" i="22" s="1"/>
  <c r="I29" i="22" a="1"/>
  <c r="I29" i="22" s="1"/>
  <c r="J29" i="22" s="1"/>
  <c r="L29" i="22" s="1"/>
  <c r="I28" i="22" a="1"/>
  <c r="I28" i="22" s="1"/>
  <c r="J28" i="22" s="1"/>
  <c r="L28" i="22" s="1"/>
  <c r="I27" i="22" a="1"/>
  <c r="I27" i="22" s="1"/>
  <c r="J27" i="22" s="1"/>
  <c r="L27" i="22" s="1"/>
  <c r="I26" i="22" a="1"/>
  <c r="I26" i="22" s="1"/>
  <c r="J26" i="22" s="1"/>
  <c r="L26" i="22" s="1"/>
  <c r="I25" i="22" a="1"/>
  <c r="I25" i="22" s="1"/>
  <c r="J25" i="22" s="1"/>
  <c r="L25" i="22" s="1"/>
  <c r="I24" i="22" a="1"/>
  <c r="I24" i="22" s="1"/>
  <c r="J24" i="22" s="1"/>
  <c r="L24" i="22" s="1"/>
  <c r="I23" i="22" a="1"/>
  <c r="I23" i="22" s="1"/>
  <c r="J23" i="22" s="1"/>
  <c r="L23" i="22" s="1"/>
  <c r="I22" i="22" a="1"/>
  <c r="I22" i="22" s="1"/>
  <c r="J22" i="22" s="1"/>
  <c r="L22" i="22" s="1"/>
  <c r="I21" i="22" a="1"/>
  <c r="I21" i="22" s="1"/>
  <c r="J21" i="22" s="1"/>
  <c r="L21" i="22" s="1"/>
  <c r="I20" i="22" a="1"/>
  <c r="I20" i="22" s="1"/>
  <c r="J20" i="22" s="1"/>
  <c r="L20" i="22" s="1"/>
  <c r="I19" i="22" a="1"/>
  <c r="I19" i="22" s="1"/>
  <c r="J19" i="22" s="1"/>
  <c r="L19" i="22" s="1"/>
  <c r="I18" i="22" a="1"/>
  <c r="I18" i="22" s="1"/>
  <c r="J18" i="22" s="1"/>
  <c r="L18" i="22" s="1"/>
  <c r="I17" i="22" a="1"/>
  <c r="I17" i="22" s="1"/>
  <c r="J17" i="22" s="1"/>
  <c r="L17" i="22" s="1"/>
  <c r="I16" i="22" a="1"/>
  <c r="I16" i="22" s="1"/>
  <c r="J16" i="22" s="1"/>
  <c r="L16" i="22" s="1"/>
  <c r="I15" i="22" a="1"/>
  <c r="I15" i="22" s="1"/>
  <c r="J15" i="22" s="1"/>
  <c r="L15" i="22" s="1"/>
  <c r="I14" i="22" a="1"/>
  <c r="I14" i="22" s="1"/>
  <c r="J14" i="22" s="1"/>
  <c r="L14" i="22" s="1"/>
  <c r="I13" i="22" a="1"/>
  <c r="I13" i="22" s="1"/>
  <c r="J13" i="22" s="1"/>
  <c r="L13" i="22" s="1"/>
  <c r="I12" i="22" a="1"/>
  <c r="I12" i="22" s="1"/>
  <c r="J12" i="22" s="1"/>
  <c r="L12" i="22" s="1"/>
  <c r="I11" i="22" a="1"/>
  <c r="I11" i="22" s="1"/>
  <c r="J11" i="22" s="1"/>
  <c r="L11" i="22" s="1"/>
  <c r="I10" i="22" a="1"/>
  <c r="I10" i="22" s="1"/>
  <c r="J10" i="22" s="1"/>
  <c r="L10" i="22" s="1"/>
  <c r="I9" i="22" a="1"/>
  <c r="I9" i="22" s="1"/>
  <c r="J9" i="22" s="1"/>
  <c r="L9" i="22" s="1"/>
  <c r="I8" i="22" a="1"/>
  <c r="I8" i="22" s="1"/>
  <c r="J8" i="22" s="1"/>
  <c r="L8" i="22" s="1"/>
  <c r="I73" i="21" a="1"/>
  <c r="I73" i="21" s="1"/>
  <c r="J73" i="21" s="1"/>
  <c r="L73" i="21" s="1"/>
  <c r="I72" i="21" a="1"/>
  <c r="I72" i="21" s="1"/>
  <c r="J72" i="21" s="1"/>
  <c r="L72" i="21" s="1"/>
  <c r="I71" i="21" a="1"/>
  <c r="I71" i="21" s="1"/>
  <c r="J71" i="21" s="1"/>
  <c r="L71" i="21" s="1"/>
  <c r="I70" i="21" a="1"/>
  <c r="I70" i="21" s="1"/>
  <c r="J70" i="21" s="1"/>
  <c r="L70" i="21" s="1"/>
  <c r="I69" i="21" a="1"/>
  <c r="I69" i="21" s="1"/>
  <c r="J69" i="21" s="1"/>
  <c r="L69" i="21" s="1"/>
  <c r="I68" i="21" a="1"/>
  <c r="I68" i="21" s="1"/>
  <c r="J68" i="21" s="1"/>
  <c r="L68" i="21" s="1"/>
  <c r="I67" i="21" a="1"/>
  <c r="I67" i="21" s="1"/>
  <c r="J67" i="21" s="1"/>
  <c r="L67" i="21" s="1"/>
  <c r="I66" i="21" a="1"/>
  <c r="I66" i="21" s="1"/>
  <c r="J66" i="21" s="1"/>
  <c r="L66" i="21" s="1"/>
  <c r="I65" i="21" a="1"/>
  <c r="I65" i="21" s="1"/>
  <c r="J65" i="21" s="1"/>
  <c r="L65" i="21" s="1"/>
  <c r="I64" i="21" a="1"/>
  <c r="I64" i="21" s="1"/>
  <c r="J64" i="21" s="1"/>
  <c r="L64" i="21" s="1"/>
  <c r="I63" i="21" a="1"/>
  <c r="I63" i="21" s="1"/>
  <c r="J63" i="21" s="1"/>
  <c r="L63" i="21" s="1"/>
  <c r="I62" i="21" a="1"/>
  <c r="I62" i="21" s="1"/>
  <c r="J62" i="21" s="1"/>
  <c r="L62" i="21" s="1"/>
  <c r="I61" i="21" a="1"/>
  <c r="I61" i="21" s="1"/>
  <c r="J61" i="21" s="1"/>
  <c r="L61" i="21" s="1"/>
  <c r="I60" i="21" a="1"/>
  <c r="I60" i="21" s="1"/>
  <c r="J60" i="21" s="1"/>
  <c r="L60" i="21" s="1"/>
  <c r="I59" i="21" a="1"/>
  <c r="I59" i="21" s="1"/>
  <c r="J59" i="21" s="1"/>
  <c r="L59" i="21" s="1"/>
  <c r="I58" i="21" a="1"/>
  <c r="I58" i="21" s="1"/>
  <c r="J58" i="21" s="1"/>
  <c r="L58" i="21" s="1"/>
  <c r="I57" i="21" a="1"/>
  <c r="I57" i="21" s="1"/>
  <c r="J57" i="21" s="1"/>
  <c r="L57" i="21" s="1"/>
  <c r="I56" i="21" a="1"/>
  <c r="I56" i="21" s="1"/>
  <c r="J56" i="21" s="1"/>
  <c r="L56" i="21" s="1"/>
  <c r="I55" i="21" a="1"/>
  <c r="I55" i="21" s="1"/>
  <c r="J55" i="21" s="1"/>
  <c r="L55" i="21" s="1"/>
  <c r="I54" i="21" a="1"/>
  <c r="I54" i="21" s="1"/>
  <c r="J54" i="21" s="1"/>
  <c r="L54" i="21" s="1"/>
  <c r="I53" i="21" a="1"/>
  <c r="I53" i="21" s="1"/>
  <c r="J53" i="21" s="1"/>
  <c r="L53" i="21" s="1"/>
  <c r="I52" i="21" a="1"/>
  <c r="I52" i="21" s="1"/>
  <c r="J52" i="21" s="1"/>
  <c r="L52" i="21" s="1"/>
  <c r="I51" i="21" a="1"/>
  <c r="I51" i="21" s="1"/>
  <c r="J51" i="21" s="1"/>
  <c r="L51" i="21" s="1"/>
  <c r="I50" i="21" a="1"/>
  <c r="I50" i="21" s="1"/>
  <c r="J50" i="21" s="1"/>
  <c r="L50" i="21" s="1"/>
  <c r="I49" i="21" a="1"/>
  <c r="I49" i="21" s="1"/>
  <c r="J49" i="21" s="1"/>
  <c r="L49" i="21" s="1"/>
  <c r="I48" i="21" a="1"/>
  <c r="I48" i="21" s="1"/>
  <c r="J48" i="21" s="1"/>
  <c r="L48" i="21" s="1"/>
  <c r="I47" i="21" a="1"/>
  <c r="I47" i="21" s="1"/>
  <c r="J47" i="21" s="1"/>
  <c r="L47" i="21" s="1"/>
  <c r="I46" i="21" a="1"/>
  <c r="I46" i="21" s="1"/>
  <c r="J46" i="21" s="1"/>
  <c r="L46" i="21" s="1"/>
  <c r="I45" i="21" a="1"/>
  <c r="I45" i="21" s="1"/>
  <c r="J45" i="21" s="1"/>
  <c r="L45" i="21" s="1"/>
  <c r="I44" i="21" a="1"/>
  <c r="I44" i="21" s="1"/>
  <c r="J44" i="21" s="1"/>
  <c r="L44" i="21" s="1"/>
  <c r="I43" i="21" a="1"/>
  <c r="I43" i="21" s="1"/>
  <c r="J43" i="21" s="1"/>
  <c r="L43" i="21" s="1"/>
  <c r="I42" i="21" a="1"/>
  <c r="I42" i="21" s="1"/>
  <c r="J42" i="21" s="1"/>
  <c r="L42" i="21" s="1"/>
  <c r="I41" i="21" a="1"/>
  <c r="I41" i="21" s="1"/>
  <c r="J41" i="21" s="1"/>
  <c r="L41" i="21" s="1"/>
  <c r="I40" i="21" a="1"/>
  <c r="I40" i="21" s="1"/>
  <c r="J40" i="21" s="1"/>
  <c r="L40" i="21" s="1"/>
  <c r="I39" i="21" a="1"/>
  <c r="I39" i="21" s="1"/>
  <c r="J39" i="21" s="1"/>
  <c r="L39" i="21" s="1"/>
  <c r="I38" i="21" a="1"/>
  <c r="I38" i="21" s="1"/>
  <c r="J38" i="21" s="1"/>
  <c r="L38" i="21" s="1"/>
  <c r="I37" i="21" a="1"/>
  <c r="I37" i="21" s="1"/>
  <c r="J37" i="21" s="1"/>
  <c r="L37" i="21" s="1"/>
  <c r="I36" i="21" a="1"/>
  <c r="I36" i="21" s="1"/>
  <c r="J36" i="21" s="1"/>
  <c r="L36" i="21" s="1"/>
  <c r="I35" i="21" a="1"/>
  <c r="I35" i="21" s="1"/>
  <c r="J35" i="21" s="1"/>
  <c r="L35" i="21" s="1"/>
  <c r="I34" i="21" a="1"/>
  <c r="I34" i="21" s="1"/>
  <c r="J34" i="21" s="1"/>
  <c r="L34" i="21" s="1"/>
  <c r="I33" i="21" a="1"/>
  <c r="I33" i="21" s="1"/>
  <c r="J33" i="21" s="1"/>
  <c r="L33" i="21" s="1"/>
  <c r="I32" i="21" a="1"/>
  <c r="I32" i="21" s="1"/>
  <c r="J32" i="21" s="1"/>
  <c r="L32" i="21" s="1"/>
  <c r="I31" i="21" a="1"/>
  <c r="I31" i="21" s="1"/>
  <c r="J31" i="21" s="1"/>
  <c r="L31" i="21" s="1"/>
  <c r="I30" i="21" a="1"/>
  <c r="I30" i="21" s="1"/>
  <c r="J30" i="21" s="1"/>
  <c r="L30" i="21" s="1"/>
  <c r="I29" i="21" a="1"/>
  <c r="I29" i="21" s="1"/>
  <c r="J29" i="21" s="1"/>
  <c r="L29" i="21" s="1"/>
  <c r="I28" i="21" a="1"/>
  <c r="I28" i="21" s="1"/>
  <c r="J28" i="21" s="1"/>
  <c r="L28" i="21" s="1"/>
  <c r="I27" i="21" a="1"/>
  <c r="I27" i="21" s="1"/>
  <c r="J27" i="21" s="1"/>
  <c r="L27" i="21" s="1"/>
  <c r="I26" i="21" a="1"/>
  <c r="I26" i="21" s="1"/>
  <c r="J26" i="21" s="1"/>
  <c r="L26" i="21" s="1"/>
  <c r="I25" i="21" a="1"/>
  <c r="I25" i="21" s="1"/>
  <c r="J25" i="21" s="1"/>
  <c r="L25" i="21" s="1"/>
  <c r="I24" i="21" a="1"/>
  <c r="I24" i="21" s="1"/>
  <c r="J24" i="21" s="1"/>
  <c r="L24" i="21" s="1"/>
  <c r="I23" i="21" a="1"/>
  <c r="I23" i="21" s="1"/>
  <c r="J23" i="21" s="1"/>
  <c r="L23" i="21" s="1"/>
  <c r="I22" i="21" a="1"/>
  <c r="I22" i="21" s="1"/>
  <c r="J22" i="21" s="1"/>
  <c r="L22" i="21" s="1"/>
  <c r="I21" i="21" a="1"/>
  <c r="I21" i="21" s="1"/>
  <c r="J21" i="21" s="1"/>
  <c r="L21" i="21" s="1"/>
  <c r="I20" i="21" a="1"/>
  <c r="I20" i="21" s="1"/>
  <c r="J20" i="21" s="1"/>
  <c r="L20" i="21" s="1"/>
  <c r="I19" i="21" a="1"/>
  <c r="I19" i="21" s="1"/>
  <c r="J19" i="21" s="1"/>
  <c r="L19" i="21" s="1"/>
  <c r="I18" i="21" a="1"/>
  <c r="I18" i="21" s="1"/>
  <c r="J18" i="21" s="1"/>
  <c r="L18" i="21" s="1"/>
  <c r="I17" i="21" a="1"/>
  <c r="I17" i="21" s="1"/>
  <c r="J17" i="21" s="1"/>
  <c r="L17" i="21" s="1"/>
  <c r="I16" i="21" a="1"/>
  <c r="I16" i="21" s="1"/>
  <c r="J16" i="21" s="1"/>
  <c r="L16" i="21" s="1"/>
  <c r="I15" i="21" a="1"/>
  <c r="I15" i="21" s="1"/>
  <c r="J15" i="21" s="1"/>
  <c r="L15" i="21" s="1"/>
  <c r="I14" i="21" a="1"/>
  <c r="I14" i="21" s="1"/>
  <c r="J14" i="21" s="1"/>
  <c r="L14" i="21" s="1"/>
  <c r="I13" i="21" a="1"/>
  <c r="I13" i="21" s="1"/>
  <c r="J13" i="21" s="1"/>
  <c r="L13" i="21" s="1"/>
  <c r="I12" i="21" a="1"/>
  <c r="I12" i="21" s="1"/>
  <c r="J12" i="21" s="1"/>
  <c r="L12" i="21" s="1"/>
  <c r="I11" i="21"/>
  <c r="J11" i="21" s="1"/>
  <c r="L11" i="21" s="1"/>
  <c r="I11" i="21" a="1"/>
  <c r="I10" i="21" a="1"/>
  <c r="I10" i="21" s="1"/>
  <c r="J10" i="21" s="1"/>
  <c r="L10" i="21" s="1"/>
  <c r="I9" i="21" a="1"/>
  <c r="I9" i="21" s="1"/>
  <c r="J9" i="21" s="1"/>
  <c r="L9" i="21" s="1"/>
  <c r="I8" i="21" a="1"/>
  <c r="I8" i="21" s="1"/>
  <c r="J8" i="21" s="1"/>
  <c r="L8" i="21" s="1"/>
  <c r="J65" i="16"/>
  <c r="L65" i="16" s="1"/>
  <c r="J41" i="16"/>
  <c r="L41" i="16" s="1"/>
  <c r="J13" i="16"/>
  <c r="L13" i="16" s="1"/>
  <c r="J73" i="15"/>
  <c r="L73" i="15" s="1"/>
  <c r="J72" i="15"/>
  <c r="L72" i="15" s="1"/>
  <c r="J71" i="15"/>
  <c r="L71" i="15" s="1"/>
  <c r="J70" i="15"/>
  <c r="L70" i="15" s="1"/>
  <c r="J69" i="15"/>
  <c r="L69" i="15" s="1"/>
  <c r="J68" i="15"/>
  <c r="L68" i="15" s="1"/>
  <c r="J67" i="15"/>
  <c r="L67" i="15" s="1"/>
  <c r="J61" i="15"/>
  <c r="L61" i="15" s="1"/>
  <c r="J60" i="15"/>
  <c r="L60" i="15" s="1"/>
  <c r="J59" i="15"/>
  <c r="L59" i="15" s="1"/>
  <c r="J58" i="15"/>
  <c r="L58" i="15" s="1"/>
  <c r="J57" i="15"/>
  <c r="L57" i="15" s="1"/>
  <c r="J56" i="15"/>
  <c r="L56" i="15" s="1"/>
  <c r="J55" i="15"/>
  <c r="L55" i="15" s="1"/>
  <c r="J54" i="15"/>
  <c r="L54" i="15" s="1"/>
  <c r="J53" i="15"/>
  <c r="L53" i="15" s="1"/>
  <c r="J49" i="15"/>
  <c r="L49" i="15" s="1"/>
  <c r="J48" i="15"/>
  <c r="L48" i="15" s="1"/>
  <c r="J47" i="15"/>
  <c r="L47" i="15" s="1"/>
  <c r="J46" i="15"/>
  <c r="L46" i="15" s="1"/>
  <c r="J45" i="15"/>
  <c r="L45" i="15" s="1"/>
  <c r="J43" i="15"/>
  <c r="L43" i="15" s="1"/>
  <c r="J37" i="15"/>
  <c r="L37" i="15" s="1"/>
  <c r="J36" i="15"/>
  <c r="L36" i="15" s="1"/>
  <c r="J35" i="15"/>
  <c r="L35" i="15" s="1"/>
  <c r="J34" i="15"/>
  <c r="L34" i="15" s="1"/>
  <c r="J33" i="15"/>
  <c r="L33" i="15" s="1"/>
  <c r="J31" i="15"/>
  <c r="L31" i="15" s="1"/>
  <c r="J25" i="15"/>
  <c r="L25" i="15" s="1"/>
  <c r="J24" i="15"/>
  <c r="L24" i="15" s="1"/>
  <c r="J23" i="15"/>
  <c r="L23" i="15" s="1"/>
  <c r="J22" i="15"/>
  <c r="L22" i="15" s="1"/>
  <c r="J21" i="15"/>
  <c r="L21" i="15" s="1"/>
  <c r="J20" i="15"/>
  <c r="L20" i="15" s="1"/>
  <c r="J19" i="15"/>
  <c r="L19" i="15" s="1"/>
  <c r="J13" i="15"/>
  <c r="L13" i="15" s="1"/>
  <c r="J12" i="15"/>
  <c r="L12" i="15" s="1"/>
  <c r="J11" i="15"/>
  <c r="L11" i="15" s="1"/>
  <c r="J10" i="15"/>
  <c r="L10" i="15" s="1"/>
  <c r="J9" i="15"/>
  <c r="L9" i="15" s="1"/>
  <c r="J8" i="15"/>
  <c r="L8" i="15" s="1"/>
  <c r="J65" i="14"/>
  <c r="L65" i="14" s="1"/>
  <c r="J64" i="14"/>
  <c r="L64" i="14" s="1"/>
  <c r="J52" i="14"/>
  <c r="L52" i="14" s="1"/>
  <c r="J41" i="14"/>
  <c r="L41" i="14" s="1"/>
  <c r="J40" i="14"/>
  <c r="L40" i="14" s="1"/>
  <c r="J28" i="14"/>
  <c r="L28" i="14" s="1"/>
  <c r="J17" i="14"/>
  <c r="L17" i="14" s="1"/>
  <c r="J48" i="12"/>
  <c r="L48" i="12" s="1"/>
  <c r="J65" i="11"/>
  <c r="L65" i="11" s="1"/>
  <c r="J29" i="11"/>
  <c r="L29" i="11" s="1"/>
  <c r="I73" i="10" a="1"/>
  <c r="I73" i="10" s="1"/>
  <c r="J73" i="10" s="1"/>
  <c r="L73" i="10" s="1"/>
  <c r="I72" i="10" a="1"/>
  <c r="I72" i="10" s="1"/>
  <c r="J72" i="10" s="1"/>
  <c r="L72" i="10" s="1"/>
  <c r="I71" i="10" a="1"/>
  <c r="I71" i="10" s="1"/>
  <c r="J71" i="10" s="1"/>
  <c r="L71" i="10" s="1"/>
  <c r="I70" i="10" a="1"/>
  <c r="I70" i="10" s="1"/>
  <c r="J70" i="10" s="1"/>
  <c r="L70" i="10" s="1"/>
  <c r="I69" i="10" a="1"/>
  <c r="I69" i="10" s="1"/>
  <c r="J69" i="10" s="1"/>
  <c r="L69" i="10" s="1"/>
  <c r="I68" i="10" a="1"/>
  <c r="I68" i="10" s="1"/>
  <c r="J68" i="10" s="1"/>
  <c r="L68" i="10" s="1"/>
  <c r="I67" i="10" a="1"/>
  <c r="I67" i="10" s="1"/>
  <c r="J67" i="10" s="1"/>
  <c r="L67" i="10" s="1"/>
  <c r="I66" i="10" a="1"/>
  <c r="I66" i="10" s="1"/>
  <c r="J66" i="10" s="1"/>
  <c r="L66" i="10" s="1"/>
  <c r="I65" i="10" a="1"/>
  <c r="I65" i="10" s="1"/>
  <c r="J65" i="10" s="1"/>
  <c r="L65" i="10" s="1"/>
  <c r="I64" i="10" a="1"/>
  <c r="I64" i="10" s="1"/>
  <c r="J64" i="10" s="1"/>
  <c r="L64" i="10" s="1"/>
  <c r="I63" i="10" a="1"/>
  <c r="I63" i="10" s="1"/>
  <c r="J63" i="10" s="1"/>
  <c r="L63" i="10" s="1"/>
  <c r="I62" i="10" a="1"/>
  <c r="I62" i="10" s="1"/>
  <c r="J62" i="10" s="1"/>
  <c r="L62" i="10" s="1"/>
  <c r="I61" i="10" a="1"/>
  <c r="I61" i="10" s="1"/>
  <c r="J61" i="10" s="1"/>
  <c r="L61" i="10" s="1"/>
  <c r="I60" i="10" a="1"/>
  <c r="I60" i="10" s="1"/>
  <c r="J60" i="10" s="1"/>
  <c r="L60" i="10" s="1"/>
  <c r="I59" i="10" a="1"/>
  <c r="I59" i="10" s="1"/>
  <c r="J59" i="10" s="1"/>
  <c r="L59" i="10" s="1"/>
  <c r="I58" i="10" a="1"/>
  <c r="I58" i="10" s="1"/>
  <c r="J58" i="10" s="1"/>
  <c r="L58" i="10" s="1"/>
  <c r="I57" i="10" a="1"/>
  <c r="I57" i="10" s="1"/>
  <c r="J57" i="10" s="1"/>
  <c r="L57" i="10" s="1"/>
  <c r="I56" i="10" a="1"/>
  <c r="I56" i="10" s="1"/>
  <c r="J56" i="10" s="1"/>
  <c r="L56" i="10" s="1"/>
  <c r="I55" i="10" a="1"/>
  <c r="I55" i="10" s="1"/>
  <c r="J55" i="10" s="1"/>
  <c r="L55" i="10" s="1"/>
  <c r="I54" i="10" a="1"/>
  <c r="I54" i="10" s="1"/>
  <c r="J54" i="10" s="1"/>
  <c r="L54" i="10" s="1"/>
  <c r="I53" i="10" a="1"/>
  <c r="I53" i="10" s="1"/>
  <c r="J53" i="10" s="1"/>
  <c r="L53" i="10" s="1"/>
  <c r="I52" i="10" a="1"/>
  <c r="I52" i="10" s="1"/>
  <c r="J52" i="10" s="1"/>
  <c r="L52" i="10" s="1"/>
  <c r="I51" i="10" a="1"/>
  <c r="I51" i="10" s="1"/>
  <c r="J51" i="10" s="1"/>
  <c r="L51" i="10" s="1"/>
  <c r="I50" i="10" a="1"/>
  <c r="I50" i="10" s="1"/>
  <c r="J50" i="10" s="1"/>
  <c r="L50" i="10" s="1"/>
  <c r="I49" i="10" a="1"/>
  <c r="I49" i="10" s="1"/>
  <c r="J49" i="10" s="1"/>
  <c r="L49" i="10" s="1"/>
  <c r="I48" i="10" a="1"/>
  <c r="I48" i="10" s="1"/>
  <c r="J48" i="10" s="1"/>
  <c r="L48" i="10" s="1"/>
  <c r="I47" i="10" a="1"/>
  <c r="I47" i="10" s="1"/>
  <c r="J47" i="10" s="1"/>
  <c r="L47" i="10" s="1"/>
  <c r="I46" i="10" a="1"/>
  <c r="I46" i="10" s="1"/>
  <c r="J46" i="10" s="1"/>
  <c r="L46" i="10" s="1"/>
  <c r="I45" i="10" a="1"/>
  <c r="I45" i="10" s="1"/>
  <c r="J45" i="10" s="1"/>
  <c r="L45" i="10" s="1"/>
  <c r="I44" i="10" a="1"/>
  <c r="I44" i="10" s="1"/>
  <c r="J44" i="10" s="1"/>
  <c r="L44" i="10" s="1"/>
  <c r="I43" i="10" a="1"/>
  <c r="I43" i="10" s="1"/>
  <c r="J43" i="10" s="1"/>
  <c r="L43" i="10" s="1"/>
  <c r="I42" i="10" a="1"/>
  <c r="I42" i="10" s="1"/>
  <c r="J42" i="10" s="1"/>
  <c r="L42" i="10" s="1"/>
  <c r="I41" i="10" a="1"/>
  <c r="I41" i="10" s="1"/>
  <c r="J41" i="10" s="1"/>
  <c r="L41" i="10" s="1"/>
  <c r="I40" i="10" a="1"/>
  <c r="I40" i="10" s="1"/>
  <c r="J40" i="10" s="1"/>
  <c r="L40" i="10" s="1"/>
  <c r="I39" i="10" a="1"/>
  <c r="I39" i="10" s="1"/>
  <c r="J39" i="10" s="1"/>
  <c r="L39" i="10" s="1"/>
  <c r="I38" i="10" a="1"/>
  <c r="I38" i="10" s="1"/>
  <c r="J38" i="10" s="1"/>
  <c r="L38" i="10" s="1"/>
  <c r="I37" i="10" a="1"/>
  <c r="I37" i="10" s="1"/>
  <c r="J37" i="10" s="1"/>
  <c r="L37" i="10" s="1"/>
  <c r="I36" i="10" a="1"/>
  <c r="I36" i="10" s="1"/>
  <c r="J36" i="10" s="1"/>
  <c r="L36" i="10" s="1"/>
  <c r="I35" i="10" a="1"/>
  <c r="I35" i="10" s="1"/>
  <c r="J35" i="10" s="1"/>
  <c r="L35" i="10" s="1"/>
  <c r="I34" i="10" a="1"/>
  <c r="I34" i="10" s="1"/>
  <c r="J34" i="10" s="1"/>
  <c r="L34" i="10" s="1"/>
  <c r="I33" i="10" a="1"/>
  <c r="I33" i="10" s="1"/>
  <c r="J33" i="10" s="1"/>
  <c r="L33" i="10" s="1"/>
  <c r="I32" i="10" a="1"/>
  <c r="I32" i="10" s="1"/>
  <c r="J32" i="10" s="1"/>
  <c r="L32" i="10" s="1"/>
  <c r="I31" i="10" a="1"/>
  <c r="I31" i="10" s="1"/>
  <c r="J31" i="10" s="1"/>
  <c r="L31" i="10" s="1"/>
  <c r="I30" i="10" a="1"/>
  <c r="I30" i="10" s="1"/>
  <c r="J30" i="10" s="1"/>
  <c r="L30" i="10" s="1"/>
  <c r="I29" i="10" a="1"/>
  <c r="I29" i="10" s="1"/>
  <c r="J29" i="10" s="1"/>
  <c r="L29" i="10" s="1"/>
  <c r="I28" i="10" a="1"/>
  <c r="I28" i="10" s="1"/>
  <c r="J28" i="10" s="1"/>
  <c r="L28" i="10" s="1"/>
  <c r="I27" i="10" a="1"/>
  <c r="I27" i="10" s="1"/>
  <c r="J27" i="10" s="1"/>
  <c r="L27" i="10" s="1"/>
  <c r="I26" i="10" a="1"/>
  <c r="I26" i="10" s="1"/>
  <c r="J26" i="10" s="1"/>
  <c r="L26" i="10" s="1"/>
  <c r="I25" i="10" a="1"/>
  <c r="I25" i="10" s="1"/>
  <c r="J25" i="10" s="1"/>
  <c r="L25" i="10" s="1"/>
  <c r="I24" i="10" a="1"/>
  <c r="I24" i="10" s="1"/>
  <c r="J24" i="10" s="1"/>
  <c r="L24" i="10" s="1"/>
  <c r="I23" i="10" a="1"/>
  <c r="I23" i="10" s="1"/>
  <c r="J23" i="10" s="1"/>
  <c r="L23" i="10" s="1"/>
  <c r="I22" i="10" a="1"/>
  <c r="I22" i="10" s="1"/>
  <c r="J22" i="10" s="1"/>
  <c r="L22" i="10" s="1"/>
  <c r="I21" i="10" a="1"/>
  <c r="I21" i="10" s="1"/>
  <c r="J21" i="10" s="1"/>
  <c r="L21" i="10" s="1"/>
  <c r="I20" i="10" a="1"/>
  <c r="I20" i="10" s="1"/>
  <c r="J20" i="10" s="1"/>
  <c r="L20" i="10" s="1"/>
  <c r="I19" i="10" a="1"/>
  <c r="I19" i="10" s="1"/>
  <c r="J19" i="10" s="1"/>
  <c r="L19" i="10" s="1"/>
  <c r="I18" i="10" a="1"/>
  <c r="I18" i="10" s="1"/>
  <c r="J18" i="10" s="1"/>
  <c r="L18" i="10" s="1"/>
  <c r="I17" i="10" a="1"/>
  <c r="I17" i="10" s="1"/>
  <c r="J17" i="10" s="1"/>
  <c r="L17" i="10" s="1"/>
  <c r="I16" i="10" a="1"/>
  <c r="I16" i="10" s="1"/>
  <c r="J16" i="10" s="1"/>
  <c r="L16" i="10" s="1"/>
  <c r="I15" i="10" a="1"/>
  <c r="I15" i="10" s="1"/>
  <c r="J15" i="10" s="1"/>
  <c r="L15" i="10" s="1"/>
  <c r="I14" i="10" a="1"/>
  <c r="I14" i="10" s="1"/>
  <c r="J14" i="10" s="1"/>
  <c r="L14" i="10" s="1"/>
  <c r="I13" i="10" a="1"/>
  <c r="I13" i="10" s="1"/>
  <c r="J13" i="10" s="1"/>
  <c r="L13" i="10" s="1"/>
  <c r="I12" i="10" a="1"/>
  <c r="I12" i="10" s="1"/>
  <c r="J12" i="10" s="1"/>
  <c r="L12" i="10" s="1"/>
  <c r="I11" i="10" a="1"/>
  <c r="I11" i="10" s="1"/>
  <c r="J11" i="10" s="1"/>
  <c r="L11" i="10" s="1"/>
  <c r="I10" i="10" a="1"/>
  <c r="I10" i="10" s="1"/>
  <c r="J10" i="10" s="1"/>
  <c r="L10" i="10" s="1"/>
  <c r="I9" i="10" a="1"/>
  <c r="I9" i="10" s="1"/>
  <c r="J9" i="10" s="1"/>
  <c r="L9" i="10" s="1"/>
  <c r="I8" i="10" a="1"/>
  <c r="I8" i="10" s="1"/>
  <c r="J8" i="10" s="1"/>
  <c r="L8" i="10" s="1"/>
  <c r="J72" i="9"/>
  <c r="L72" i="9" s="1"/>
  <c r="J71" i="9"/>
  <c r="L71" i="9" s="1"/>
  <c r="J68" i="9"/>
  <c r="L68" i="9" s="1"/>
  <c r="J67" i="9"/>
  <c r="L67" i="9" s="1"/>
  <c r="J65" i="9"/>
  <c r="L65" i="9" s="1"/>
  <c r="J64" i="9"/>
  <c r="L64" i="9" s="1"/>
  <c r="J60" i="9"/>
  <c r="L60" i="9" s="1"/>
  <c r="J59" i="9"/>
  <c r="L59" i="9" s="1"/>
  <c r="J56" i="9"/>
  <c r="L56" i="9" s="1"/>
  <c r="J55" i="9"/>
  <c r="L55" i="9" s="1"/>
  <c r="J53" i="9"/>
  <c r="L53" i="9" s="1"/>
  <c r="J52" i="9"/>
  <c r="L52" i="9" s="1"/>
  <c r="J48" i="9"/>
  <c r="L48" i="9" s="1"/>
  <c r="J47" i="9"/>
  <c r="L47" i="9" s="1"/>
  <c r="J44" i="9"/>
  <c r="L44" i="9" s="1"/>
  <c r="J41" i="9"/>
  <c r="L41" i="9" s="1"/>
  <c r="J40" i="9"/>
  <c r="L40" i="9" s="1"/>
  <c r="J36" i="9"/>
  <c r="L36" i="9" s="1"/>
  <c r="J35" i="9"/>
  <c r="L35" i="9" s="1"/>
  <c r="J29" i="9"/>
  <c r="L29" i="9" s="1"/>
  <c r="J28" i="9"/>
  <c r="L28" i="9" s="1"/>
  <c r="J24" i="9"/>
  <c r="L24" i="9" s="1"/>
  <c r="J23" i="9"/>
  <c r="L23" i="9" s="1"/>
  <c r="J17" i="9"/>
  <c r="L17" i="9" s="1"/>
  <c r="J16" i="9"/>
  <c r="L16" i="9" s="1"/>
  <c r="J12" i="9"/>
  <c r="L12" i="9" s="1"/>
  <c r="J11" i="9"/>
  <c r="L11" i="9" s="1"/>
  <c r="J73" i="8"/>
  <c r="L73" i="8" s="1"/>
  <c r="J72" i="8"/>
  <c r="L72" i="8" s="1"/>
  <c r="J71" i="8"/>
  <c r="L71" i="8" s="1"/>
  <c r="J70" i="8"/>
  <c r="L70" i="8" s="1"/>
  <c r="J65" i="8"/>
  <c r="L65" i="8" s="1"/>
  <c r="J61" i="8"/>
  <c r="L61" i="8" s="1"/>
  <c r="J60" i="8"/>
  <c r="L60" i="8" s="1"/>
  <c r="J59" i="8"/>
  <c r="L59" i="8" s="1"/>
  <c r="J58" i="8"/>
  <c r="L58" i="8" s="1"/>
  <c r="J53" i="8"/>
  <c r="L53" i="8" s="1"/>
  <c r="J49" i="8"/>
  <c r="L49" i="8" s="1"/>
  <c r="J48" i="8"/>
  <c r="L48" i="8" s="1"/>
  <c r="J47" i="8"/>
  <c r="L47" i="8" s="1"/>
  <c r="J46" i="8"/>
  <c r="L46" i="8" s="1"/>
  <c r="J41" i="8"/>
  <c r="L41" i="8" s="1"/>
  <c r="J37" i="8"/>
  <c r="L37" i="8" s="1"/>
  <c r="J36" i="8"/>
  <c r="L36" i="8" s="1"/>
  <c r="J35" i="8"/>
  <c r="L35" i="8" s="1"/>
  <c r="J34" i="8"/>
  <c r="L34" i="8" s="1"/>
  <c r="J29" i="8"/>
  <c r="L29" i="8" s="1"/>
  <c r="J25" i="8"/>
  <c r="L25" i="8" s="1"/>
  <c r="J24" i="8"/>
  <c r="L24" i="8" s="1"/>
  <c r="J23" i="8"/>
  <c r="L23" i="8" s="1"/>
  <c r="J22" i="8"/>
  <c r="L22" i="8" s="1"/>
  <c r="J17" i="8"/>
  <c r="L17" i="8" s="1"/>
  <c r="J13" i="8"/>
  <c r="L13" i="8" s="1"/>
  <c r="J12" i="8"/>
  <c r="L12" i="8" s="1"/>
  <c r="J11" i="8"/>
  <c r="L11" i="8" s="1"/>
  <c r="J10" i="8"/>
  <c r="L10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<sst xmlns="http://schemas.openxmlformats.org/spreadsheetml/2006/main" count="5645" uniqueCount="295">
  <si>
    <t xml:space="preserve">Quantify Compound Summary Report </t>
  </si>
  <si>
    <t>Name</t>
  </si>
  <si>
    <t>Sample Text</t>
  </si>
  <si>
    <t>Type</t>
  </si>
  <si>
    <t>Vial</t>
  </si>
  <si>
    <t>Std. Conc</t>
  </si>
  <si>
    <t>RT</t>
  </si>
  <si>
    <t>Area</t>
  </si>
  <si>
    <t>Response</t>
  </si>
  <si>
    <t>ng/mL</t>
  </si>
  <si>
    <t>%Dev</t>
  </si>
  <si>
    <t>S/N</t>
  </si>
  <si>
    <t>Standard</t>
  </si>
  <si>
    <t>1:A,2</t>
  </si>
  <si>
    <t>1:A,3</t>
  </si>
  <si>
    <t>1:A,4</t>
  </si>
  <si>
    <t>1:A,5</t>
  </si>
  <si>
    <t>1:A,6</t>
  </si>
  <si>
    <t>1:A,7</t>
  </si>
  <si>
    <t>1:A,8</t>
  </si>
  <si>
    <t>1:B,1</t>
  </si>
  <si>
    <t>1:B,2</t>
  </si>
  <si>
    <t>Compound 30:  C16 Cer7(D9)[AH]</t>
  </si>
  <si>
    <t>Analyte</t>
  </si>
  <si>
    <t>1:B,3</t>
  </si>
  <si>
    <t>1:B,4</t>
  </si>
  <si>
    <t>1:B,5</t>
  </si>
  <si>
    <t>1:B,6</t>
  </si>
  <si>
    <t>1:B,7</t>
  </si>
  <si>
    <t>1:B,8</t>
  </si>
  <si>
    <t>1:C,1</t>
  </si>
  <si>
    <t>1:C,2</t>
  </si>
  <si>
    <t>1:C,3</t>
  </si>
  <si>
    <t>1:C,4</t>
  </si>
  <si>
    <t>1:C,5</t>
  </si>
  <si>
    <t>1:C,6</t>
  </si>
  <si>
    <t>1:C,7</t>
  </si>
  <si>
    <t>1:C,8</t>
  </si>
  <si>
    <t>1:D,1</t>
  </si>
  <si>
    <t>Cermix 17_1 ppb</t>
  </si>
  <si>
    <t>Cermix 17_2 ppb</t>
  </si>
  <si>
    <t>Cermix 17_5 ppb</t>
  </si>
  <si>
    <t>Cermix 17_10 ppb</t>
  </si>
  <si>
    <t>Cermix 17_20 ppb</t>
  </si>
  <si>
    <t>Cermix 17_50 ppb</t>
  </si>
  <si>
    <t>Cermix 17_100 ppb</t>
  </si>
  <si>
    <t>Cermix 17_200 ppb</t>
  </si>
  <si>
    <t>Cermix 17_500 ppb</t>
  </si>
  <si>
    <t>1:D,2</t>
  </si>
  <si>
    <t>1:D,3</t>
  </si>
  <si>
    <t>1:D,4</t>
  </si>
  <si>
    <t>1:D,5</t>
  </si>
  <si>
    <t>1:D,6</t>
  </si>
  <si>
    <t>Printed Wed Jun 18 14:12:37 2025</t>
  </si>
  <si>
    <t>CER STD_1_250618_001</t>
  </si>
  <si>
    <t>1:E,8</t>
  </si>
  <si>
    <t>CER STD_1_250618_002</t>
  </si>
  <si>
    <t>1:F,1</t>
  </si>
  <si>
    <t>CER STD_1_250618_003</t>
  </si>
  <si>
    <t>1:F,2</t>
  </si>
  <si>
    <t>CER STD_1_250618_004</t>
  </si>
  <si>
    <t>1:F,3</t>
  </si>
  <si>
    <t>CER STD_1_250618_005</t>
  </si>
  <si>
    <t>1:F,4</t>
  </si>
  <si>
    <t>CER STD_1_250618_006</t>
  </si>
  <si>
    <t>1:F,5</t>
  </si>
  <si>
    <t>CER STD_1_250618_007</t>
  </si>
  <si>
    <t>1:F,6</t>
  </si>
  <si>
    <t>CER STD_1_250618_008</t>
  </si>
  <si>
    <t>1:F,7</t>
  </si>
  <si>
    <t>CER STD_1_250618_009</t>
  </si>
  <si>
    <t>1:F,8</t>
  </si>
  <si>
    <t>1:D,7</t>
  </si>
  <si>
    <t>1:D,8</t>
  </si>
  <si>
    <t>1:E,1</t>
  </si>
  <si>
    <t>1:E,2</t>
  </si>
  <si>
    <t>1:E,3</t>
  </si>
  <si>
    <t>1:E,4</t>
  </si>
  <si>
    <t>Printed Thu Sep 11 09:09:52 2025</t>
  </si>
  <si>
    <t>Compound 26:  C16 Cer7(D9)[AH] (1)</t>
  </si>
  <si>
    <t>CER STD_1_250910_001</t>
  </si>
  <si>
    <t>CER STD_1_250910_002</t>
  </si>
  <si>
    <t>CER STD_1_250910_003</t>
  </si>
  <si>
    <t>CER STD_1_250910_004</t>
  </si>
  <si>
    <t>CER STD_1_250910_005</t>
  </si>
  <si>
    <t>CER STD_1_250910_006</t>
  </si>
  <si>
    <t>CER STD_1_250910_007</t>
  </si>
  <si>
    <t>CER STD_1_250910_008</t>
  </si>
  <si>
    <t>CER STD_1_250910_009</t>
  </si>
  <si>
    <t>Printed Thu Sep 11 10:31:19 2025</t>
  </si>
  <si>
    <t>Compound 56:  C18 Cer3[NP] (1)</t>
  </si>
  <si>
    <t>Printed Thu Sep 11 10:34:45 2025</t>
  </si>
  <si>
    <t>Compound 59:  C24 Cer3[NP] (1)</t>
  </si>
  <si>
    <t>Printed Thu Sep 11 11:19:09 2025</t>
  </si>
  <si>
    <t>Compound 31:  C16 Cer7[AH] (1)</t>
  </si>
  <si>
    <t>Cicca B5_SC_Cer_250910_001</t>
  </si>
  <si>
    <t>Cicca B5_SC_Cer_250910_002</t>
  </si>
  <si>
    <t>Cicca B5_SC_Cer_250910_003</t>
  </si>
  <si>
    <t>Cicca B5_SC_Cer_250910_004</t>
  </si>
  <si>
    <t>Cicca B5_SC_Cer_250910_005</t>
  </si>
  <si>
    <t>Cicca B5_SC_Cer_250910_006</t>
  </si>
  <si>
    <t>Cicca B5_SC_Cer_250910_007</t>
  </si>
  <si>
    <t>Cicca B5_SC_Cer_250910_008</t>
  </si>
  <si>
    <t>Cicca B5_SC_Cer_250910_009</t>
  </si>
  <si>
    <t>Cicca B5_SC_Cer_250910_010</t>
  </si>
  <si>
    <t>Cicca B5_SC_Cer_250910_011</t>
  </si>
  <si>
    <t>Cicca B5_SC_Cer_250910_012</t>
  </si>
  <si>
    <t>Cicca B5_SC_Cer_250910_013</t>
  </si>
  <si>
    <t>Cicca B5_SC_Cer_250910_014</t>
  </si>
  <si>
    <t>Cicca B5_SC_Cer_250910_015</t>
  </si>
  <si>
    <t>Cicca B5_SC_Cer_250910_016</t>
  </si>
  <si>
    <t>Cicca B5_SC_Cer_250910_017</t>
  </si>
  <si>
    <t>Cicca B5_SC_Cer_250910_018</t>
  </si>
  <si>
    <t>Cicca B5_SC_Cer_250910_019</t>
  </si>
  <si>
    <t>Cicca B5_SC_Cer_250910_020</t>
  </si>
  <si>
    <t>Cicca B5_SC_Cer_250910_021</t>
  </si>
  <si>
    <t>Cicca B5_SC_Cer_250910_022</t>
  </si>
  <si>
    <t>Cicca B5_SC_Cer_250910_023</t>
  </si>
  <si>
    <t>Cicca B5_SC_Cer_250910_024</t>
  </si>
  <si>
    <t>V1_S24</t>
  </si>
  <si>
    <t>Cicca B5_SC_Cer_250910_025</t>
  </si>
  <si>
    <t>V1_S25</t>
  </si>
  <si>
    <t>Cicca B5_SC_Cer_250910_026</t>
  </si>
  <si>
    <t>V1_S26</t>
  </si>
  <si>
    <t>Cicca B5_SC_Cer_250910_027</t>
  </si>
  <si>
    <t>V1_S27</t>
  </si>
  <si>
    <t>1:E,5</t>
  </si>
  <si>
    <t>Cicca B5_SC_Cer_250910_028</t>
  </si>
  <si>
    <t>V1_S28</t>
  </si>
  <si>
    <t>1:E,6</t>
  </si>
  <si>
    <t>Cicca B5_SC_Cer_250910_029</t>
  </si>
  <si>
    <t>V1_S29</t>
  </si>
  <si>
    <t>1:E,7</t>
  </si>
  <si>
    <t>Cicca B5_SC_Cer_250910_030</t>
  </si>
  <si>
    <t>V1_S30</t>
  </si>
  <si>
    <t>Cicca B5_SC_Cer_250910_031</t>
  </si>
  <si>
    <t>V1_S31</t>
  </si>
  <si>
    <t>Cicca B5_SC_Cer_250910_032</t>
  </si>
  <si>
    <t>V1_S32</t>
  </si>
  <si>
    <t>Cicca B5_SC_Cer_250910_033</t>
  </si>
  <si>
    <t>V1_S33</t>
  </si>
  <si>
    <t>Cicca B5_SC_Cer_250910_034</t>
  </si>
  <si>
    <t>V2_S1</t>
  </si>
  <si>
    <t>Cicca B5_SC_Cer_250910_035</t>
  </si>
  <si>
    <t>V2_S2</t>
  </si>
  <si>
    <t>Cicca B5_SC_Cer_250910_036</t>
  </si>
  <si>
    <t>V2_S3</t>
  </si>
  <si>
    <t>Cicca B5_SC_Cer_250910_037</t>
  </si>
  <si>
    <t>V2_S4</t>
  </si>
  <si>
    <t>Cicca B5_SC_Cer_250910_038</t>
  </si>
  <si>
    <t>V2_S5</t>
  </si>
  <si>
    <t>Cicca B5_SC_Cer_250910_039</t>
  </si>
  <si>
    <t>V2_S6</t>
  </si>
  <si>
    <t>2:A,1</t>
  </si>
  <si>
    <t>Cicca B5_SC_Cer_250910_040</t>
  </si>
  <si>
    <t>V2_S7</t>
  </si>
  <si>
    <t>2:A,2</t>
  </si>
  <si>
    <t>Cicca B5_SC_Cer_250910_041</t>
  </si>
  <si>
    <t>V2_S8</t>
  </si>
  <si>
    <t>2:A,3</t>
  </si>
  <si>
    <t>Cicca B5_SC_Cer_250910_042</t>
  </si>
  <si>
    <t>V2_S9</t>
  </si>
  <si>
    <t>2:A,4</t>
  </si>
  <si>
    <t>Cicca B5_SC_Cer_250910_043</t>
  </si>
  <si>
    <t>V2_S10</t>
  </si>
  <si>
    <t>2:A,5</t>
  </si>
  <si>
    <t>Cicca B5_SC_Cer_250910_044</t>
  </si>
  <si>
    <t>V2_S11</t>
  </si>
  <si>
    <t>2:A,6</t>
  </si>
  <si>
    <t>Cicca B5_SC_Cer_250910_045</t>
  </si>
  <si>
    <t>V2_S12</t>
  </si>
  <si>
    <t>2:A,7</t>
  </si>
  <si>
    <t>Cicca B5_SC_Cer_250910_046</t>
  </si>
  <si>
    <t>V2_S13</t>
  </si>
  <si>
    <t>2:A,8</t>
  </si>
  <si>
    <t>Cicca B5_SC_Cer_250910_047</t>
  </si>
  <si>
    <t>V2_S14</t>
  </si>
  <si>
    <t>2:B,1</t>
  </si>
  <si>
    <t>Cicca B5_SC_Cer_250910_048</t>
  </si>
  <si>
    <t>V2_S15</t>
  </si>
  <si>
    <t>2:B,2</t>
  </si>
  <si>
    <t>Cicca B5_SC_Cer_250910_049</t>
  </si>
  <si>
    <t>V2_S16</t>
  </si>
  <si>
    <t>2:B,3</t>
  </si>
  <si>
    <t>Cicca B5_SC_Cer_250910_050</t>
  </si>
  <si>
    <t>V2_S17</t>
  </si>
  <si>
    <t>2:B,4</t>
  </si>
  <si>
    <t>Cicca B5_SC_Cer_250910_051</t>
  </si>
  <si>
    <t>V2_S18</t>
  </si>
  <si>
    <t>2:B,5</t>
  </si>
  <si>
    <t>Cicca B5_SC_Cer_250910_052</t>
  </si>
  <si>
    <t>V2_S19</t>
  </si>
  <si>
    <t>2:B,6</t>
  </si>
  <si>
    <t>Cicca B5_SC_Cer_250910_053</t>
  </si>
  <si>
    <t>V2_S20</t>
  </si>
  <si>
    <t>2:B,7</t>
  </si>
  <si>
    <t>Cicca B5_SC_Cer_250910_054</t>
  </si>
  <si>
    <t>V2_S21</t>
  </si>
  <si>
    <t>2:B,8</t>
  </si>
  <si>
    <t>Cicca B5_SC_Cer_250910_055</t>
  </si>
  <si>
    <t>V2_S22</t>
  </si>
  <si>
    <t>2:C,1</t>
  </si>
  <si>
    <t>Cicca B5_SC_Cer_250910_056</t>
  </si>
  <si>
    <t>V2_S23</t>
  </si>
  <si>
    <t>2:C,2</t>
  </si>
  <si>
    <t>Cicca B5_SC_Cer_250910_057</t>
  </si>
  <si>
    <t>V2_S24</t>
  </si>
  <si>
    <t>2:C,3</t>
  </si>
  <si>
    <t>Cicca B5_SC_Cer_250910_058</t>
  </si>
  <si>
    <t>V2_S25</t>
  </si>
  <si>
    <t>2:C,4</t>
  </si>
  <si>
    <t>Cicca B5_SC_Cer_250910_059</t>
  </si>
  <si>
    <t>V2_S26</t>
  </si>
  <si>
    <t>2:C,5</t>
  </si>
  <si>
    <t>Cicca B5_SC_Cer_250910_060</t>
  </si>
  <si>
    <t>V2_S27</t>
  </si>
  <si>
    <t>2:C,6</t>
  </si>
  <si>
    <t>Cicca B5_SC_Cer_250910_061</t>
  </si>
  <si>
    <t>V2_S28</t>
  </si>
  <si>
    <t>2:C,7</t>
  </si>
  <si>
    <t>Cicca B5_SC_Cer_250910_062</t>
  </si>
  <si>
    <t>V2_S29</t>
  </si>
  <si>
    <t>2:C,8</t>
  </si>
  <si>
    <t>Cicca B5_SC_Cer_250910_063</t>
  </si>
  <si>
    <t>V2_S30</t>
  </si>
  <si>
    <t>2:D,1</t>
  </si>
  <si>
    <t>Cicca B5_SC_Cer_250910_064</t>
  </si>
  <si>
    <t>V2_S31</t>
  </si>
  <si>
    <t>2:D,2</t>
  </si>
  <si>
    <t>Cicca B5_SC_Cer_250910_065</t>
  </si>
  <si>
    <t>V2_S32</t>
  </si>
  <si>
    <t>2:D,3</t>
  </si>
  <si>
    <t>Cicca B5_SC_Cer_250910_066</t>
  </si>
  <si>
    <t>V2_S33</t>
  </si>
  <si>
    <t>2:D,4</t>
  </si>
  <si>
    <t>blk_250910_005</t>
  </si>
  <si>
    <t>blk</t>
  </si>
  <si>
    <t>Blank</t>
  </si>
  <si>
    <t>1:A,1</t>
  </si>
  <si>
    <t>Printed Thu Sep 11 11:19:22 2025</t>
  </si>
  <si>
    <t>Compound 32:  C18 Cer7[AH] (1)</t>
  </si>
  <si>
    <t>Printed Thu Sep 11 11:19:34 2025</t>
  </si>
  <si>
    <t>Compound 33:  C20 Cer7[AH] (1)</t>
  </si>
  <si>
    <t>Printed Thu Sep 11 11:19:46 2025</t>
  </si>
  <si>
    <t>Compound 34:  C22 Cer7[AH] (1)</t>
  </si>
  <si>
    <t>Printed Thu Sep 11 11:20:05 2025</t>
  </si>
  <si>
    <t>Compound 35:  C24 Cer7[AH] (1)</t>
  </si>
  <si>
    <t>Printed Thu Sep 11 11:20:17 2025</t>
  </si>
  <si>
    <t>Compound 36:  C25 Cer7[AH] (1)</t>
  </si>
  <si>
    <t>Printed Thu Sep 11 11:20:29 2025</t>
  </si>
  <si>
    <t>Compound 37:  C26 Cer7[AH] (1)</t>
  </si>
  <si>
    <t>Printed Thu Sep 11 11:20:41 2025</t>
  </si>
  <si>
    <t>Compound 38:  C28 Cer7[AH] (1)</t>
  </si>
  <si>
    <t>Printed Thu Sep 11 11:23:18 2025</t>
  </si>
  <si>
    <t>Compound 55:  C16 Cer3[NP] (1)</t>
  </si>
  <si>
    <t>Printed Thu Sep 11 11:23:30 2025</t>
  </si>
  <si>
    <t>Printed Thu Sep 11 11:23:49 2025</t>
  </si>
  <si>
    <t>Compound 57:  C20 Cer3[NP] (1)</t>
  </si>
  <si>
    <t>Printed Thu Sep 11 11:24:01 2025</t>
  </si>
  <si>
    <t>Compound 58:  C22 Cer3[NP] (1)</t>
  </si>
  <si>
    <t>Printed Thu Sep 11 11:24:11 2025</t>
  </si>
  <si>
    <t>Printed Thu Sep 11 11:24:23 2025</t>
  </si>
  <si>
    <t>Compound 60:  C25 Cer3[NP] (1)</t>
  </si>
  <si>
    <t>Printed Thu Sep 11 11:24:33 2025</t>
  </si>
  <si>
    <t>Compound 61:  C26 Cer3[NP] (1)</t>
  </si>
  <si>
    <t>Printed Thu Sep 11 11:24:44 2025</t>
  </si>
  <si>
    <t>Compound 62:  C28 Cer3[NP] (1)</t>
  </si>
  <si>
    <t>Printed Thu Sep 11 11:24:54 2025</t>
  </si>
  <si>
    <t>Compound 63:  C30 Cer3[NP] (1)</t>
  </si>
  <si>
    <t xml:space="preserve">희석배수 </t>
    <phoneticPr fontId="1" type="noConversion"/>
  </si>
  <si>
    <t>protein(mg/mL)</t>
    <phoneticPr fontId="1" type="noConversion"/>
  </si>
  <si>
    <t>ng/mg protein</t>
    <phoneticPr fontId="1" type="noConversion"/>
  </si>
  <si>
    <t>V1_S1</t>
  </si>
  <si>
    <t>V1_S2</t>
  </si>
  <si>
    <t>V1_S3</t>
  </si>
  <si>
    <t>V1_S4</t>
  </si>
  <si>
    <t>V1_S5</t>
  </si>
  <si>
    <t>V1_S6</t>
  </si>
  <si>
    <t>V1_S7</t>
  </si>
  <si>
    <t>V1_S8</t>
  </si>
  <si>
    <t>V1_S9</t>
  </si>
  <si>
    <t>V1_S10</t>
  </si>
  <si>
    <t>V1_S11</t>
  </si>
  <si>
    <t>V1_S12</t>
  </si>
  <si>
    <t>V1_S13</t>
  </si>
  <si>
    <t>V1_S14</t>
  </si>
  <si>
    <t>V1_S15</t>
  </si>
  <si>
    <t>V1_S16</t>
  </si>
  <si>
    <t>V1_S17</t>
  </si>
  <si>
    <t>V1_S18</t>
  </si>
  <si>
    <t>V1_S19</t>
  </si>
  <si>
    <t>V1_S20</t>
  </si>
  <si>
    <t>V1_S21</t>
  </si>
  <si>
    <t>V1_S22</t>
  </si>
  <si>
    <t>V1_S23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</si>
</sst>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B065-3E17-4D84-A319-B12234EFDFC3}">
  <dimension ref="A1:AB73"/>
  <sheetViews>
    <sheetView tabSelected="1" workbookViewId="0">
      <selection activeCell="O19" sqref="O19"/>
    </sheetView>
  </sheetViews>
  <sheetFormatPr defaultRowHeight="16.5" x14ac:dyDescent="0.3"/>
  <cols>
    <col min="2" max="2" width="27.625" bestFit="1" customWidth="1"/>
    <col min="12" max="12" width="14.375" bestFit="1" customWidth="1"/>
  </cols>
  <sheetData>
    <row r="1" spans="1:28" x14ac:dyDescent="0.3">
      <c r="A1" t="s">
        <v>0</v>
      </c>
      <c r="P1" t="s">
        <v>0</v>
      </c>
    </row>
    <row r="3" spans="1:28" x14ac:dyDescent="0.3">
      <c r="A3" t="s">
        <v>253</v>
      </c>
      <c r="P3" t="s">
        <v>89</v>
      </c>
    </row>
    <row r="5" spans="1:28" x14ac:dyDescent="0.3">
      <c r="A5" t="s">
        <v>254</v>
      </c>
      <c r="P5" t="s">
        <v>90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2.37</v>
      </c>
      <c r="G8">
        <v>1152</v>
      </c>
      <c r="H8">
        <v>1151.9280000000001</v>
      </c>
      <c r="I8">
        <f>$X$8*H8/$W$8</f>
        <v>0.4845571409341769</v>
      </c>
      <c r="J8">
        <f>I8/(2/0.2)*3</f>
        <v>0.14536714228025305</v>
      </c>
      <c r="K8">
        <v>0.14813140740266978</v>
      </c>
      <c r="L8" s="1">
        <f>J8/K8</f>
        <v>0.98133910174158712</v>
      </c>
      <c r="P8">
        <v>1</v>
      </c>
      <c r="Q8" t="s">
        <v>80</v>
      </c>
      <c r="R8" t="s">
        <v>39</v>
      </c>
      <c r="S8" t="s">
        <v>12</v>
      </c>
      <c r="T8" t="s">
        <v>13</v>
      </c>
      <c r="U8">
        <v>2.62</v>
      </c>
      <c r="V8">
        <v>2377</v>
      </c>
      <c r="W8">
        <v>2377.2800000000002</v>
      </c>
      <c r="X8">
        <v>1</v>
      </c>
      <c r="Y8">
        <v>1.0569999999999999</v>
      </c>
      <c r="Z8">
        <v>5.7</v>
      </c>
      <c r="AA8">
        <v>15</v>
      </c>
      <c r="AB8">
        <v>239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2.38</v>
      </c>
      <c r="G9">
        <v>1605</v>
      </c>
      <c r="H9">
        <v>1604.7909999999999</v>
      </c>
      <c r="I9">
        <f>$X$8*H9/$W$8</f>
        <v>0.67505342239870769</v>
      </c>
      <c r="J9">
        <f>I9/(2/0.2)*3</f>
        <v>0.20251602671961233</v>
      </c>
      <c r="K9">
        <v>0.11673675431760691</v>
      </c>
      <c r="L9" s="1">
        <f t="shared" ref="L9:L72" si="0">J9/K9</f>
        <v>1.7348094685639868</v>
      </c>
      <c r="P9">
        <v>2</v>
      </c>
      <c r="Q9" t="s">
        <v>81</v>
      </c>
      <c r="R9" t="s">
        <v>40</v>
      </c>
      <c r="S9" t="s">
        <v>12</v>
      </c>
      <c r="T9" t="s">
        <v>14</v>
      </c>
      <c r="U9">
        <v>2.63</v>
      </c>
      <c r="V9">
        <v>4621</v>
      </c>
      <c r="W9">
        <v>4621.3090000000002</v>
      </c>
      <c r="X9">
        <v>2</v>
      </c>
      <c r="Y9">
        <v>2.0609999999999999</v>
      </c>
      <c r="Z9">
        <v>3.1</v>
      </c>
      <c r="AA9">
        <v>39</v>
      </c>
      <c r="AB9">
        <v>141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2.38</v>
      </c>
      <c r="G10">
        <v>1915</v>
      </c>
      <c r="H10">
        <v>1915.29</v>
      </c>
      <c r="I10">
        <f>$X$8*H10/$W$8</f>
        <v>0.80566445685825805</v>
      </c>
      <c r="J10">
        <f>I10/(2/0.2)*3</f>
        <v>0.2416993370574774</v>
      </c>
      <c r="K10">
        <v>8.6147092337289247E-2</v>
      </c>
      <c r="L10" s="1">
        <f t="shared" si="0"/>
        <v>2.8056586763388238</v>
      </c>
      <c r="P10">
        <v>3</v>
      </c>
      <c r="Q10" t="s">
        <v>82</v>
      </c>
      <c r="R10" t="s">
        <v>41</v>
      </c>
      <c r="S10" t="s">
        <v>12</v>
      </c>
      <c r="T10" t="s">
        <v>15</v>
      </c>
      <c r="U10">
        <v>2.62</v>
      </c>
      <c r="V10">
        <v>10049</v>
      </c>
      <c r="W10">
        <v>10049.308999999999</v>
      </c>
      <c r="X10">
        <v>5</v>
      </c>
      <c r="Y10">
        <v>4.4889999999999999</v>
      </c>
      <c r="Z10">
        <v>-10.199999999999999</v>
      </c>
      <c r="AA10">
        <v>84</v>
      </c>
      <c r="AB10">
        <v>232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2.36</v>
      </c>
      <c r="G11">
        <v>1601</v>
      </c>
      <c r="H11">
        <v>1600.8030000000001</v>
      </c>
      <c r="I11">
        <f>$X$8*H11/$W$8</f>
        <v>0.67337587494952211</v>
      </c>
      <c r="J11">
        <f>I11/(2/0.2)*3</f>
        <v>0.20201276248485661</v>
      </c>
      <c r="K11">
        <v>8.9367056756270047E-2</v>
      </c>
      <c r="L11" s="1">
        <f t="shared" si="0"/>
        <v>2.2604835586764835</v>
      </c>
      <c r="P11">
        <v>4</v>
      </c>
      <c r="Q11" t="s">
        <v>83</v>
      </c>
      <c r="R11" t="s">
        <v>42</v>
      </c>
      <c r="S11" t="s">
        <v>12</v>
      </c>
      <c r="T11" t="s">
        <v>16</v>
      </c>
      <c r="U11">
        <v>2.62</v>
      </c>
      <c r="V11">
        <v>23145</v>
      </c>
      <c r="W11">
        <v>23144.546999999999</v>
      </c>
      <c r="X11">
        <v>10</v>
      </c>
      <c r="Y11">
        <v>10.347</v>
      </c>
      <c r="Z11">
        <v>3.5</v>
      </c>
      <c r="AA11">
        <v>391</v>
      </c>
      <c r="AB11">
        <v>311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2.38</v>
      </c>
      <c r="G12">
        <v>1794</v>
      </c>
      <c r="H12">
        <v>1793.646</v>
      </c>
      <c r="I12">
        <f>$X$8*H12/$W$8</f>
        <v>0.75449505317000931</v>
      </c>
      <c r="J12">
        <f>I12/(2/0.2)*3</f>
        <v>0.22634851595100278</v>
      </c>
      <c r="K12">
        <v>9.3392012279996037E-2</v>
      </c>
      <c r="L12" s="1">
        <f t="shared" si="0"/>
        <v>2.4236389218426249</v>
      </c>
      <c r="P12">
        <v>5</v>
      </c>
      <c r="Q12" t="s">
        <v>84</v>
      </c>
      <c r="R12" t="s">
        <v>43</v>
      </c>
      <c r="S12" t="s">
        <v>12</v>
      </c>
      <c r="T12" t="s">
        <v>17</v>
      </c>
      <c r="U12">
        <v>2.63</v>
      </c>
      <c r="V12">
        <v>45905</v>
      </c>
      <c r="W12">
        <v>45904.684000000001</v>
      </c>
      <c r="X12">
        <v>20</v>
      </c>
      <c r="Y12">
        <v>20.527000000000001</v>
      </c>
      <c r="Z12">
        <v>2.6</v>
      </c>
      <c r="AA12">
        <v>1053</v>
      </c>
      <c r="AB12">
        <v>1672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2.38</v>
      </c>
      <c r="G13">
        <v>1849</v>
      </c>
      <c r="H13">
        <v>1849.3520000000001</v>
      </c>
      <c r="I13">
        <f>$X$8*H13/$W$8</f>
        <v>0.77792771570870911</v>
      </c>
      <c r="J13">
        <f>I13/(2/0.2)*3</f>
        <v>0.23337831471261275</v>
      </c>
      <c r="K13">
        <v>0.18918595374467503</v>
      </c>
      <c r="L13" s="1">
        <f t="shared" si="0"/>
        <v>1.2335921884960848</v>
      </c>
      <c r="P13">
        <v>6</v>
      </c>
      <c r="Q13" t="s">
        <v>85</v>
      </c>
      <c r="R13" t="s">
        <v>44</v>
      </c>
      <c r="S13" t="s">
        <v>12</v>
      </c>
      <c r="T13" t="s">
        <v>18</v>
      </c>
      <c r="U13">
        <v>2.63</v>
      </c>
      <c r="V13">
        <v>102967</v>
      </c>
      <c r="W13">
        <v>102967.234</v>
      </c>
      <c r="X13">
        <v>50</v>
      </c>
      <c r="Y13">
        <v>46.042000000000002</v>
      </c>
      <c r="Z13">
        <v>-7.9</v>
      </c>
      <c r="AA13">
        <v>773</v>
      </c>
      <c r="AB13">
        <v>1705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2.38</v>
      </c>
      <c r="G14">
        <v>900</v>
      </c>
      <c r="H14">
        <v>899.60699999999997</v>
      </c>
      <c r="I14">
        <f>$X$8*H14/$W$8</f>
        <v>0.37841861286848832</v>
      </c>
      <c r="J14">
        <f>I14/(2/0.2)*3</f>
        <v>0.11352558386054651</v>
      </c>
      <c r="K14">
        <v>9.2587021175250833E-2</v>
      </c>
      <c r="L14" s="1">
        <f t="shared" si="0"/>
        <v>1.2261500847474365</v>
      </c>
      <c r="P14">
        <v>7</v>
      </c>
      <c r="Q14" t="s">
        <v>86</v>
      </c>
      <c r="R14" t="s">
        <v>45</v>
      </c>
      <c r="S14" t="s">
        <v>12</v>
      </c>
      <c r="T14" t="s">
        <v>19</v>
      </c>
      <c r="U14">
        <v>2.62</v>
      </c>
      <c r="V14">
        <v>229209</v>
      </c>
      <c r="W14">
        <v>229208.75</v>
      </c>
      <c r="X14">
        <v>100</v>
      </c>
      <c r="Y14">
        <v>102.449</v>
      </c>
      <c r="Z14">
        <v>2.4</v>
      </c>
      <c r="AA14">
        <v>1851</v>
      </c>
      <c r="AB14">
        <v>3378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2.38</v>
      </c>
      <c r="G15">
        <v>534</v>
      </c>
      <c r="H15">
        <v>533.93799999999999</v>
      </c>
      <c r="I15">
        <f>$X$8*H15/$W$8</f>
        <v>0.22460038363171353</v>
      </c>
      <c r="J15">
        <f>I15/(2/0.2)*3</f>
        <v>6.7380115089514053E-2</v>
      </c>
      <c r="K15">
        <v>0.14974138961216016</v>
      </c>
      <c r="L15" s="1">
        <f t="shared" si="0"/>
        <v>0.44997655801133468</v>
      </c>
      <c r="P15">
        <v>8</v>
      </c>
      <c r="Q15" t="s">
        <v>87</v>
      </c>
      <c r="R15" t="s">
        <v>46</v>
      </c>
      <c r="S15" t="s">
        <v>12</v>
      </c>
      <c r="T15" t="s">
        <v>20</v>
      </c>
      <c r="U15">
        <v>2.63</v>
      </c>
      <c r="V15">
        <v>452068</v>
      </c>
      <c r="W15">
        <v>452067.78100000002</v>
      </c>
      <c r="X15">
        <v>200</v>
      </c>
      <c r="Y15">
        <v>201.899</v>
      </c>
      <c r="Z15">
        <v>0.9</v>
      </c>
      <c r="AA15">
        <v>4509</v>
      </c>
      <c r="AB15">
        <v>2500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2.38</v>
      </c>
      <c r="G16">
        <v>1428</v>
      </c>
      <c r="H16">
        <v>1428.298</v>
      </c>
      <c r="I16">
        <f>$X$8*H16/$W$8</f>
        <v>0.60081185220083455</v>
      </c>
      <c r="J16">
        <f>I16/(2/0.2)*3</f>
        <v>0.18024355566025035</v>
      </c>
      <c r="K16">
        <v>0.19965083810636269</v>
      </c>
      <c r="L16" s="1">
        <f t="shared" si="0"/>
        <v>0.90279388441247999</v>
      </c>
      <c r="P16">
        <v>9</v>
      </c>
      <c r="Q16" t="s">
        <v>88</v>
      </c>
      <c r="R16" t="s">
        <v>47</v>
      </c>
      <c r="S16" t="s">
        <v>12</v>
      </c>
      <c r="T16" t="s">
        <v>21</v>
      </c>
      <c r="U16">
        <v>2.63</v>
      </c>
      <c r="V16">
        <v>1120337</v>
      </c>
      <c r="W16">
        <v>1120336.625</v>
      </c>
      <c r="X16">
        <v>500</v>
      </c>
      <c r="Y16">
        <v>499.12700000000001</v>
      </c>
      <c r="Z16">
        <v>-0.2</v>
      </c>
      <c r="AA16">
        <v>7897</v>
      </c>
      <c r="AB16">
        <v>23521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2.38</v>
      </c>
      <c r="G17">
        <v>3688</v>
      </c>
      <c r="H17">
        <v>3687.8890000000001</v>
      </c>
      <c r="I17">
        <f>$X$8*H17/$W$8</f>
        <v>1.5513061145510836</v>
      </c>
      <c r="J17">
        <f>I17/(2/0.2)*3</f>
        <v>0.46539183436532511</v>
      </c>
      <c r="K17">
        <v>0.22058060682973793</v>
      </c>
      <c r="L17" s="1">
        <f t="shared" si="0"/>
        <v>2.1098492793818107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2.38</v>
      </c>
      <c r="G18">
        <v>2158</v>
      </c>
      <c r="H18">
        <v>2157.7779999999998</v>
      </c>
      <c r="I18">
        <f>$X$8*H18/$W$8</f>
        <v>0.90766674518777746</v>
      </c>
      <c r="J18">
        <f>I18/(2/0.2)*3</f>
        <v>0.27230002355633326</v>
      </c>
      <c r="K18">
        <v>0.12720163867929454</v>
      </c>
      <c r="L18" s="1">
        <f t="shared" si="0"/>
        <v>2.1406958776912153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2.38</v>
      </c>
      <c r="G19">
        <v>1349</v>
      </c>
      <c r="H19">
        <v>1348.816</v>
      </c>
      <c r="I19">
        <f>$X$8*H19/$W$8</f>
        <v>0.56737784358594689</v>
      </c>
      <c r="J19">
        <f>I19/(2/0.2)*3</f>
        <v>0.17021335307578406</v>
      </c>
      <c r="K19">
        <v>0.1594012828691026</v>
      </c>
      <c r="L19" s="1">
        <f t="shared" si="0"/>
        <v>1.0678292546463388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2.38</v>
      </c>
      <c r="G20">
        <v>2702</v>
      </c>
      <c r="H20">
        <v>2702.1</v>
      </c>
      <c r="I20">
        <f>$X$8*H20/$W$8</f>
        <v>1.1366351460492663</v>
      </c>
      <c r="J20">
        <f>I20/(2/0.2)*3</f>
        <v>0.34099054381477989</v>
      </c>
      <c r="K20">
        <v>0.14491144298368897</v>
      </c>
      <c r="L20" s="1">
        <f t="shared" si="0"/>
        <v>2.3530960481372154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2.38</v>
      </c>
      <c r="G21">
        <v>1943</v>
      </c>
      <c r="H21">
        <v>1943.1610000000001</v>
      </c>
      <c r="I21">
        <f>$X$8*H21/$W$8</f>
        <v>0.81738835980616498</v>
      </c>
      <c r="J21">
        <f>I21/(2/0.2)*3</f>
        <v>0.24521650794184952</v>
      </c>
      <c r="K21">
        <v>0.24553533107683917</v>
      </c>
      <c r="L21" s="1">
        <f t="shared" si="0"/>
        <v>0.99870151829640408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2.38</v>
      </c>
      <c r="G22">
        <v>2180</v>
      </c>
      <c r="H22">
        <v>2180.0439999999999</v>
      </c>
      <c r="I22">
        <f>$X$8*H22/$W$8</f>
        <v>0.91703291156279432</v>
      </c>
      <c r="J22">
        <f>I22/(2/0.2)*3</f>
        <v>0.27510987346883831</v>
      </c>
      <c r="K22">
        <v>0.3002747261995129</v>
      </c>
      <c r="L22" s="1">
        <f t="shared" si="0"/>
        <v>0.91619390333252959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2.38</v>
      </c>
      <c r="G23">
        <v>932</v>
      </c>
      <c r="H23">
        <v>931.71199999999999</v>
      </c>
      <c r="I23">
        <f>$X$8*H23/$W$8</f>
        <v>0.39192354287252656</v>
      </c>
      <c r="J23">
        <f>I23/(2/0.2)*3</f>
        <v>0.11757706286175798</v>
      </c>
      <c r="K23">
        <v>0.17147614944028067</v>
      </c>
      <c r="L23" s="1">
        <f t="shared" si="0"/>
        <v>0.68567589863397349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2.38</v>
      </c>
      <c r="G24">
        <v>1929</v>
      </c>
      <c r="H24">
        <v>1929.288</v>
      </c>
      <c r="I24">
        <f>$X$8*H24/$W$8</f>
        <v>0.81155269888275672</v>
      </c>
      <c r="J24">
        <f>I24/(2/0.2)*3</f>
        <v>0.24346580966482703</v>
      </c>
      <c r="K24">
        <v>0.18113604269722305</v>
      </c>
      <c r="L24" s="1">
        <f t="shared" si="0"/>
        <v>1.3441047184175872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2.38</v>
      </c>
      <c r="G25">
        <v>5308</v>
      </c>
      <c r="H25">
        <v>5307.7870000000003</v>
      </c>
      <c r="I25">
        <f>$X$8*H25/$W$8</f>
        <v>2.2327142785031633</v>
      </c>
      <c r="J25">
        <f>I25/(2/0.2)*3</f>
        <v>0.66981428355094907</v>
      </c>
      <c r="K25">
        <v>8.2927127918308433E-2</v>
      </c>
      <c r="L25" s="1">
        <f t="shared" si="0"/>
        <v>8.0771431540566994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2.37</v>
      </c>
      <c r="G26">
        <v>1464</v>
      </c>
      <c r="H26">
        <v>1464.116</v>
      </c>
      <c r="I26">
        <f>$X$8*H26/$W$8</f>
        <v>0.61587865123165964</v>
      </c>
      <c r="J26">
        <f>I26/(2/0.2)*3</f>
        <v>0.18476359536949788</v>
      </c>
      <c r="K26">
        <v>0.11593176321286171</v>
      </c>
      <c r="L26" s="1">
        <f t="shared" si="0"/>
        <v>1.593727122309478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2.38</v>
      </c>
      <c r="G27">
        <v>4156</v>
      </c>
      <c r="H27">
        <v>4155.6220000000003</v>
      </c>
      <c r="I27">
        <f>$X$8*H27/$W$8</f>
        <v>1.7480574438013192</v>
      </c>
      <c r="J27">
        <f>I27/(2/0.2)*3</f>
        <v>0.52441723314039579</v>
      </c>
      <c r="K27">
        <v>0.17469611385926145</v>
      </c>
      <c r="L27" s="1">
        <f t="shared" si="0"/>
        <v>3.0018826495641249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2.38</v>
      </c>
      <c r="G28">
        <v>1386</v>
      </c>
      <c r="H28">
        <v>1386.4259999999999</v>
      </c>
      <c r="I28">
        <f>$X$8*H28/$W$8</f>
        <v>0.58319844528200293</v>
      </c>
      <c r="J28">
        <f>I28/(2/0.2)*3</f>
        <v>0.17495953358460087</v>
      </c>
      <c r="K28">
        <v>0.17952606048773259</v>
      </c>
      <c r="L28" s="1">
        <f t="shared" si="0"/>
        <v>0.974563431678245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2.37</v>
      </c>
      <c r="G29">
        <v>2514</v>
      </c>
      <c r="H29">
        <v>2514.415</v>
      </c>
      <c r="I29">
        <f>$X$8*H29/$W$8</f>
        <v>1.05768567438417</v>
      </c>
      <c r="J29">
        <f>I29/(2/0.2)*3</f>
        <v>0.31730570231525101</v>
      </c>
      <c r="K29">
        <v>0.19723586479212707</v>
      </c>
      <c r="L29" s="1">
        <f t="shared" si="0"/>
        <v>1.6087626996726443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2.38</v>
      </c>
      <c r="G30">
        <v>2733</v>
      </c>
      <c r="H30">
        <v>2732.7350000000001</v>
      </c>
      <c r="I30">
        <f>$X$8*H30/$W$8</f>
        <v>1.1495217223044825</v>
      </c>
      <c r="J30">
        <f>I30/(2/0.2)*3</f>
        <v>0.34485651669134476</v>
      </c>
      <c r="K30">
        <v>0.28417490410460888</v>
      </c>
      <c r="L30" s="1">
        <f t="shared" si="0"/>
        <v>1.2135361416868751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2.38</v>
      </c>
      <c r="G31">
        <v>1663</v>
      </c>
      <c r="H31">
        <v>1662.6610000000001</v>
      </c>
      <c r="I31">
        <f>$X$8*H31/$W$8</f>
        <v>0.69939636895948309</v>
      </c>
      <c r="J31">
        <f>I31/(2/0.2)*3</f>
        <v>0.20981891068784495</v>
      </c>
      <c r="K31">
        <v>0.17872106938298743</v>
      </c>
      <c r="L31" s="1">
        <f t="shared" si="0"/>
        <v>1.1740020995410279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2.38</v>
      </c>
      <c r="G32">
        <v>6568</v>
      </c>
      <c r="H32">
        <v>6567.6080000000002</v>
      </c>
      <c r="I32">
        <f>$X$8*H32/$W$8</f>
        <v>2.7626564813568448</v>
      </c>
      <c r="J32">
        <f>I32/(2/0.2)*3</f>
        <v>0.82879694440705354</v>
      </c>
      <c r="K32">
        <v>0.19884584700161748</v>
      </c>
      <c r="L32" s="1">
        <f t="shared" si="0"/>
        <v>4.1680374868493573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2.38</v>
      </c>
      <c r="G33">
        <v>2458</v>
      </c>
      <c r="H33">
        <v>2458.047</v>
      </c>
      <c r="I33">
        <f>$X$8*H33/$W$8</f>
        <v>1.033974542334096</v>
      </c>
      <c r="J33">
        <f>I33/(2/0.2)*3</f>
        <v>0.31019236270022876</v>
      </c>
      <c r="K33">
        <v>0.17469611385926145</v>
      </c>
      <c r="L33" s="1">
        <f t="shared" si="0"/>
        <v>1.7756111217798793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2.38</v>
      </c>
      <c r="G34">
        <v>3111</v>
      </c>
      <c r="H34">
        <v>3111.4059999999999</v>
      </c>
      <c r="I34">
        <f>$X$8*H34/$W$8</f>
        <v>1.308809227352268</v>
      </c>
      <c r="J34">
        <f>I34/(2/0.2)*3</f>
        <v>0.39264276820568045</v>
      </c>
      <c r="K34">
        <v>0.24875529549582001</v>
      </c>
      <c r="L34" s="1">
        <f t="shared" si="0"/>
        <v>1.5784297874867885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2.37</v>
      </c>
      <c r="G35">
        <v>2173</v>
      </c>
      <c r="H35">
        <v>2172.8670000000002</v>
      </c>
      <c r="I35">
        <f>$X$8*H35/$W$8</f>
        <v>0.91401391506259255</v>
      </c>
      <c r="J35">
        <f>I35/(2/0.2)*3</f>
        <v>0.27420417451877777</v>
      </c>
      <c r="K35">
        <v>0.18274602490671343</v>
      </c>
      <c r="L35" s="1">
        <f t="shared" si="0"/>
        <v>1.5004658769390529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2.38</v>
      </c>
      <c r="G36">
        <v>9426</v>
      </c>
      <c r="H36">
        <v>9425.6170000000002</v>
      </c>
      <c r="I36">
        <f>$X$8*H36/$W$8</f>
        <v>3.9648745625252388</v>
      </c>
      <c r="J36">
        <f>I36/(2/0.2)*3</f>
        <v>1.1894623687575718</v>
      </c>
      <c r="K36">
        <v>0.18113604269722305</v>
      </c>
      <c r="L36" s="1">
        <f t="shared" si="0"/>
        <v>6.5666796681972954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2.38</v>
      </c>
      <c r="G37">
        <v>2564</v>
      </c>
      <c r="H37">
        <v>2564.078</v>
      </c>
      <c r="I37">
        <f>$X$8*H37/$W$8</f>
        <v>1.0785763561717592</v>
      </c>
      <c r="J37">
        <f>I37/(2/0.2)*3</f>
        <v>0.32357290685152773</v>
      </c>
      <c r="K37">
        <v>0.12156670094607813</v>
      </c>
      <c r="L37" s="1">
        <f t="shared" si="0"/>
        <v>2.6616902847026429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2.38</v>
      </c>
      <c r="G38">
        <v>4298</v>
      </c>
      <c r="H38">
        <v>4298.2839999999997</v>
      </c>
      <c r="I38">
        <f>$X$8*H38/$W$8</f>
        <v>1.8080680441512986</v>
      </c>
      <c r="J38">
        <f>I38/(2/0.2)*3</f>
        <v>0.54242041324538959</v>
      </c>
      <c r="K38">
        <v>8.8562065651524843E-2</v>
      </c>
      <c r="L38" s="1">
        <f t="shared" si="0"/>
        <v>6.1247488894366171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2.38</v>
      </c>
      <c r="G39">
        <v>5164</v>
      </c>
      <c r="H39">
        <v>5163.8159999999998</v>
      </c>
      <c r="I39">
        <f>$X$8*H39/$W$8</f>
        <v>2.1721530488625653</v>
      </c>
      <c r="J39">
        <f>I39/(2/0.2)*3</f>
        <v>0.65164591465876964</v>
      </c>
      <c r="K39">
        <v>0.13766652304098212</v>
      </c>
      <c r="L39" s="1">
        <f t="shared" si="0"/>
        <v>4.7335103717610441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2.38</v>
      </c>
      <c r="G40">
        <v>1338</v>
      </c>
      <c r="H40">
        <v>1337.5719999999999</v>
      </c>
      <c r="I40">
        <f>$X$8*H40/$W$8</f>
        <v>0.56264806838067027</v>
      </c>
      <c r="J40">
        <f>I40/(2/0.2)*3</f>
        <v>0.16879442051420107</v>
      </c>
      <c r="K40">
        <v>8.2122136813563229E-2</v>
      </c>
      <c r="L40" s="1">
        <f t="shared" si="0"/>
        <v>2.0554070688321775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2.37</v>
      </c>
      <c r="G41">
        <v>1608</v>
      </c>
      <c r="H41">
        <v>1608.06</v>
      </c>
      <c r="I41">
        <f>$X$8*H41/$W$8</f>
        <v>0.67642852335442183</v>
      </c>
      <c r="J41">
        <f>I41/(2/0.2)*3</f>
        <v>0.20292855700632653</v>
      </c>
      <c r="K41">
        <v>0.10224691443219328</v>
      </c>
      <c r="L41" s="1">
        <f t="shared" si="0"/>
        <v>1.9846912558021685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2.38</v>
      </c>
      <c r="G42">
        <v>5601</v>
      </c>
      <c r="H42">
        <v>5600.857</v>
      </c>
      <c r="I42">
        <f>$X$8*H42/$W$8</f>
        <v>2.3559938248754877</v>
      </c>
      <c r="J42">
        <f>I42/(2/0.2)*3</f>
        <v>0.70679814746264635</v>
      </c>
      <c r="K42">
        <v>0.12639664757454935</v>
      </c>
      <c r="L42" s="1">
        <f t="shared" si="0"/>
        <v>5.5919058062499118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2.38</v>
      </c>
      <c r="G43">
        <v>2087</v>
      </c>
      <c r="H43">
        <v>2086.8519999999999</v>
      </c>
      <c r="I43">
        <f>$X$8*H43/$W$8</f>
        <v>0.87783180778032022</v>
      </c>
      <c r="J43">
        <f>I43/(2/0.2)*3</f>
        <v>0.26334954233409602</v>
      </c>
      <c r="K43">
        <v>0.15054638071690538</v>
      </c>
      <c r="L43" s="1">
        <f t="shared" si="0"/>
        <v>1.7492917536776331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2.38</v>
      </c>
      <c r="G44">
        <v>1554</v>
      </c>
      <c r="H44">
        <v>1553.7739999999999</v>
      </c>
      <c r="I44">
        <f>$X$8*H44/$W$8</f>
        <v>0.65359318212410811</v>
      </c>
      <c r="J44">
        <f>I44/(2/0.2)*3</f>
        <v>0.19607795463723243</v>
      </c>
      <c r="K44">
        <v>0.14893639850741497</v>
      </c>
      <c r="L44" s="1">
        <f t="shared" si="0"/>
        <v>1.3165213916964056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2.38</v>
      </c>
      <c r="G45">
        <v>3538</v>
      </c>
      <c r="H45">
        <v>3537.645</v>
      </c>
      <c r="I45">
        <f>$X$8*H45/$W$8</f>
        <v>1.4881061549333692</v>
      </c>
      <c r="J45">
        <f>I45/(2/0.2)*3</f>
        <v>0.44643184648001072</v>
      </c>
      <c r="K45">
        <v>4.0262599366812736E-2</v>
      </c>
      <c r="L45" s="1">
        <f t="shared" si="0"/>
        <v>11.088003593925713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2.38</v>
      </c>
      <c r="G46">
        <v>2402</v>
      </c>
      <c r="H46">
        <v>2401.6729999999998</v>
      </c>
      <c r="I46">
        <f>$X$8*H46/$W$8</f>
        <v>1.0102608863911695</v>
      </c>
      <c r="J46">
        <f>I46/(2/0.2)*3</f>
        <v>0.30307826591735088</v>
      </c>
      <c r="K46">
        <v>0.11351678989862611</v>
      </c>
      <c r="L46" s="1">
        <f t="shared" si="0"/>
        <v>2.6698981374297919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2.38</v>
      </c>
      <c r="G47">
        <v>2459</v>
      </c>
      <c r="H47">
        <v>2458.529</v>
      </c>
      <c r="I47">
        <f>$X$8*H47/$W$8</f>
        <v>1.0341772950599002</v>
      </c>
      <c r="J47">
        <f>I47/(2/0.2)*3</f>
        <v>0.31025318851797001</v>
      </c>
      <c r="K47">
        <v>0.10144192332744809</v>
      </c>
      <c r="L47" s="1">
        <f t="shared" si="0"/>
        <v>3.058431645824502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2.38</v>
      </c>
      <c r="G48">
        <v>1900</v>
      </c>
      <c r="H48">
        <v>1900.4059999999999</v>
      </c>
      <c r="I48">
        <f>$X$8*H48/$W$8</f>
        <v>0.79940351998923131</v>
      </c>
      <c r="J48">
        <f>I48/(2/0.2)*3</f>
        <v>0.23982105599676939</v>
      </c>
      <c r="K48">
        <v>8.3732119023053622E-2</v>
      </c>
      <c r="L48" s="1">
        <f t="shared" si="0"/>
        <v>2.8641465042911483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2.38</v>
      </c>
      <c r="G49">
        <v>1741</v>
      </c>
      <c r="H49">
        <v>1740.9559999999999</v>
      </c>
      <c r="I49">
        <f>$X$8*H49/$W$8</f>
        <v>0.73233106743841692</v>
      </c>
      <c r="J49">
        <f>I49/(2/0.2)*3</f>
        <v>0.21969932023152505</v>
      </c>
      <c r="K49">
        <v>0.22299558014397355</v>
      </c>
      <c r="L49" s="1">
        <f t="shared" si="0"/>
        <v>0.98521827244145233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2.38</v>
      </c>
      <c r="G50">
        <v>5262</v>
      </c>
      <c r="H50">
        <v>5261.9179999999997</v>
      </c>
      <c r="I50">
        <f>$X$8*H50/$W$8</f>
        <v>2.213419538295867</v>
      </c>
      <c r="J50">
        <f>I50/(2/0.2)*3</f>
        <v>0.66402586148876019</v>
      </c>
      <c r="K50">
        <v>0.1175417454223521</v>
      </c>
      <c r="L50" s="1">
        <f t="shared" si="0"/>
        <v>5.649276851409482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2.38</v>
      </c>
      <c r="G51">
        <v>1787</v>
      </c>
      <c r="H51">
        <v>1787.0540000000001</v>
      </c>
      <c r="I51">
        <f>$X$8*H51/$W$8</f>
        <v>0.75172213622291018</v>
      </c>
      <c r="J51">
        <f>I51/(2/0.2)*3</f>
        <v>0.22551664086687304</v>
      </c>
      <c r="K51">
        <v>0.11351678989862611</v>
      </c>
      <c r="L51" s="1">
        <f t="shared" si="0"/>
        <v>1.9866368760803239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2.38</v>
      </c>
      <c r="G52">
        <v>1632</v>
      </c>
      <c r="H52">
        <v>1632.0170000000001</v>
      </c>
      <c r="I52">
        <f>$X$8*H52/$W$8</f>
        <v>0.68650600686498853</v>
      </c>
      <c r="J52">
        <f>I52/(2/0.2)*3</f>
        <v>0.20595180205949654</v>
      </c>
      <c r="K52">
        <v>8.4537110127798853E-2</v>
      </c>
      <c r="L52" s="1">
        <f t="shared" si="0"/>
        <v>2.4362295061677552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2.38</v>
      </c>
      <c r="G53">
        <v>2575</v>
      </c>
      <c r="H53">
        <v>2575.116</v>
      </c>
      <c r="I53">
        <f>$X$8*H53/$W$8</f>
        <v>1.0832194777224391</v>
      </c>
      <c r="J53">
        <f>I53/(2/0.2)*3</f>
        <v>0.32496584331673173</v>
      </c>
      <c r="K53">
        <v>0.1078818521654097</v>
      </c>
      <c r="L53" s="1">
        <f t="shared" si="0"/>
        <v>3.0122382661587817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2.38</v>
      </c>
      <c r="G54">
        <v>3275</v>
      </c>
      <c r="H54">
        <v>3274.8519999999999</v>
      </c>
      <c r="I54">
        <f>$X$8*H54/$W$8</f>
        <v>1.3775625925427377</v>
      </c>
      <c r="J54">
        <f>I54/(2/0.2)*3</f>
        <v>0.41326877776282128</v>
      </c>
      <c r="K54">
        <v>0.14813140740266978</v>
      </c>
      <c r="L54" s="1">
        <f t="shared" si="0"/>
        <v>2.7898795063724813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2.38</v>
      </c>
      <c r="G55">
        <v>3309</v>
      </c>
      <c r="H55">
        <v>3309.17</v>
      </c>
      <c r="I55">
        <f>$X$8*H55/$W$8</f>
        <v>1.3919984183604792</v>
      </c>
      <c r="J55">
        <f>I55/(2/0.2)*3</f>
        <v>0.41759952550814372</v>
      </c>
      <c r="K55">
        <v>6.6022314718659172E-2</v>
      </c>
      <c r="L55" s="1">
        <f t="shared" si="0"/>
        <v>6.3251270011913423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2.38</v>
      </c>
      <c r="G56">
        <v>3251</v>
      </c>
      <c r="H56">
        <v>3251.46</v>
      </c>
      <c r="I56">
        <f>$X$8*H56/$W$8</f>
        <v>1.3677227756090993</v>
      </c>
      <c r="J56">
        <f>I56/(2/0.2)*3</f>
        <v>0.41031683268272978</v>
      </c>
      <c r="K56">
        <v>0.22621554456295434</v>
      </c>
      <c r="L56" s="1">
        <f t="shared" si="0"/>
        <v>1.8138312885414523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2.38</v>
      </c>
      <c r="G57">
        <v>2734</v>
      </c>
      <c r="H57">
        <v>2734.009</v>
      </c>
      <c r="I57">
        <f>$X$8*H57/$W$8</f>
        <v>1.150057628886795</v>
      </c>
      <c r="J57">
        <f>I57/(2/0.2)*3</f>
        <v>0.34501728866603854</v>
      </c>
      <c r="K57">
        <v>0.21897062462024752</v>
      </c>
      <c r="L57" s="1">
        <f t="shared" si="0"/>
        <v>1.5756327556008436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2.38</v>
      </c>
      <c r="G58">
        <v>21305</v>
      </c>
      <c r="H58">
        <v>21304.91</v>
      </c>
      <c r="I58">
        <f>$X$8*H58/$W$8</f>
        <v>8.9618850114416464</v>
      </c>
      <c r="J58">
        <f>I58/(2/0.2)*3</f>
        <v>2.6885655034324936</v>
      </c>
      <c r="K58">
        <v>0.11271179879388092</v>
      </c>
      <c r="L58" s="1">
        <f t="shared" si="0"/>
        <v>23.853452186928052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2.38</v>
      </c>
      <c r="G59">
        <v>2920</v>
      </c>
      <c r="H59">
        <v>2919.9969999999998</v>
      </c>
      <c r="I59">
        <f>$X$8*H59/$W$8</f>
        <v>1.2282932595234888</v>
      </c>
      <c r="J59">
        <f>I59/(2/0.2)*3</f>
        <v>0.36848797785704668</v>
      </c>
      <c r="K59">
        <v>9.1782030070505644E-2</v>
      </c>
      <c r="L59" s="1">
        <f t="shared" si="0"/>
        <v>4.0148161636213482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2.38</v>
      </c>
      <c r="G60">
        <v>2929</v>
      </c>
      <c r="H60">
        <v>2928.7779999999998</v>
      </c>
      <c r="I60">
        <f>$X$8*H60/$W$8</f>
        <v>1.2319869767128817</v>
      </c>
      <c r="J60">
        <f>I60/(2/0.2)*3</f>
        <v>0.36959609301386454</v>
      </c>
      <c r="K60">
        <v>0.16584121170706426</v>
      </c>
      <c r="L60" s="1">
        <f t="shared" si="0"/>
        <v>2.2286142823576647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2.38</v>
      </c>
      <c r="G61">
        <v>2186</v>
      </c>
      <c r="H61">
        <v>2186.1</v>
      </c>
      <c r="I61">
        <f>$X$8*H61/$W$8</f>
        <v>0.9195803607484182</v>
      </c>
      <c r="J61">
        <f>I61/(2/0.2)*3</f>
        <v>0.27587410822452546</v>
      </c>
      <c r="K61">
        <v>0.20850574025855992</v>
      </c>
      <c r="L61" s="1">
        <f t="shared" si="0"/>
        <v>1.3231007831363522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2.37</v>
      </c>
      <c r="G62">
        <v>1223</v>
      </c>
      <c r="H62">
        <v>1222.712</v>
      </c>
      <c r="I62">
        <f>$X$8*H62/$W$8</f>
        <v>0.51433234621079549</v>
      </c>
      <c r="J62">
        <f>I62/(2/0.2)*3</f>
        <v>0.15429970386323866</v>
      </c>
      <c r="K62">
        <v>0.15457133624063138</v>
      </c>
      <c r="L62" s="1">
        <f t="shared" si="0"/>
        <v>0.99824267303369973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2.37</v>
      </c>
      <c r="G63">
        <v>3390</v>
      </c>
      <c r="H63">
        <v>3389.7289999999998</v>
      </c>
      <c r="I63">
        <f>$X$8*H63/$W$8</f>
        <v>1.4258854657423607</v>
      </c>
      <c r="J63">
        <f>I63/(2/0.2)*3</f>
        <v>0.42776563972270826</v>
      </c>
      <c r="K63">
        <v>0.22863051787718996</v>
      </c>
      <c r="L63" s="1">
        <f t="shared" si="0"/>
        <v>1.8709909932167705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2.37</v>
      </c>
      <c r="G64">
        <v>1990</v>
      </c>
      <c r="H64">
        <v>1990.136</v>
      </c>
      <c r="I64">
        <f>$X$8*H64/$W$8</f>
        <v>0.8371483375959079</v>
      </c>
      <c r="J64">
        <f>I64/(2/0.2)*3</f>
        <v>0.25114450127877241</v>
      </c>
      <c r="K64">
        <v>0.19079593595416544</v>
      </c>
      <c r="L64" s="1">
        <f t="shared" si="0"/>
        <v>1.3162990082718764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2.38</v>
      </c>
      <c r="G65">
        <v>1875</v>
      </c>
      <c r="H65">
        <v>1875</v>
      </c>
      <c r="I65">
        <f>$X$8*H65/$W$8</f>
        <v>0.78871651635482565</v>
      </c>
      <c r="J65">
        <f>I65/(2/0.2)*3</f>
        <v>0.23661495490644771</v>
      </c>
      <c r="K65">
        <v>0.13122659420302052</v>
      </c>
      <c r="L65" s="1">
        <f t="shared" si="0"/>
        <v>1.8031021558052553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2.38</v>
      </c>
      <c r="G66">
        <v>2080</v>
      </c>
      <c r="H66">
        <v>2080.2669999999998</v>
      </c>
      <c r="I66">
        <f>$X$8*H66/$W$8</f>
        <v>0.87506183537488202</v>
      </c>
      <c r="J66">
        <f>I66/(2/0.2)*3</f>
        <v>0.26251855061246465</v>
      </c>
      <c r="K66">
        <v>0.13927650525047255</v>
      </c>
      <c r="L66" s="1">
        <f t="shared" si="0"/>
        <v>1.8848731890590997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2.38</v>
      </c>
      <c r="G67">
        <v>1400</v>
      </c>
      <c r="H67">
        <v>1399.5530000000001</v>
      </c>
      <c r="I67">
        <f>$X$8*H67/$W$8</f>
        <v>0.58872030219410421</v>
      </c>
      <c r="J67">
        <f>I67/(2/0.2)*3</f>
        <v>0.17661609065823125</v>
      </c>
      <c r="K67">
        <v>9.7416967803722054E-2</v>
      </c>
      <c r="L67" s="1">
        <f t="shared" si="0"/>
        <v>1.8129910490961021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2.37</v>
      </c>
      <c r="G68">
        <v>2509</v>
      </c>
      <c r="H68">
        <v>2508.5929999999998</v>
      </c>
      <c r="I68">
        <f>$X$8*H68/$W$8</f>
        <v>1.0552366570197871</v>
      </c>
      <c r="J68">
        <f>I68/(2/0.2)*3</f>
        <v>0.31657099710593617</v>
      </c>
      <c r="K68">
        <v>7.4877216870856411E-2</v>
      </c>
      <c r="L68" s="1">
        <f t="shared" si="0"/>
        <v>4.2278681064219876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2.38</v>
      </c>
      <c r="G69">
        <v>5996</v>
      </c>
      <c r="H69">
        <v>5996.08</v>
      </c>
      <c r="I69">
        <f>$X$8*H69/$W$8</f>
        <v>2.5222439090052493</v>
      </c>
      <c r="J69">
        <f>I69/(2/0.2)*3</f>
        <v>0.75667317270157486</v>
      </c>
      <c r="K69">
        <v>0.14491144298368897</v>
      </c>
      <c r="L69" s="1">
        <f t="shared" si="0"/>
        <v>5.2216247186686626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2.38</v>
      </c>
      <c r="G70">
        <v>2248</v>
      </c>
      <c r="H70">
        <v>2247.8359999999998</v>
      </c>
      <c r="I70">
        <f>$X$8*H70/$W$8</f>
        <v>0.94554953560371502</v>
      </c>
      <c r="J70">
        <f>I70/(2/0.2)*3</f>
        <v>0.28366486068111452</v>
      </c>
      <c r="K70">
        <v>0.14571643408843418</v>
      </c>
      <c r="L70" s="1">
        <f t="shared" si="0"/>
        <v>1.9466909306122637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2.37</v>
      </c>
      <c r="G71">
        <v>1927</v>
      </c>
      <c r="H71">
        <v>1927.2860000000001</v>
      </c>
      <c r="I71">
        <f>$X$8*H71/$W$8</f>
        <v>0.81071055996769414</v>
      </c>
      <c r="J71">
        <f>I71/(2/0.2)*3</f>
        <v>0.24321316799030826</v>
      </c>
      <c r="K71">
        <v>0.26405012648597881</v>
      </c>
      <c r="L71" s="1">
        <f t="shared" si="0"/>
        <v>0.92108711034161539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2.38</v>
      </c>
      <c r="G72">
        <v>1564</v>
      </c>
      <c r="H72">
        <v>1564.1559999999999</v>
      </c>
      <c r="I72">
        <f>$X$8*H72/$W$8</f>
        <v>0.65796035805626596</v>
      </c>
      <c r="J72">
        <f>I72/(2/0.2)*3</f>
        <v>0.19738810741687979</v>
      </c>
      <c r="K72">
        <v>0.17469611385926145</v>
      </c>
      <c r="L72" s="1">
        <f t="shared" si="0"/>
        <v>1.1298940947014966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2.37</v>
      </c>
      <c r="G73">
        <v>780</v>
      </c>
      <c r="H73">
        <v>779.53899999999999</v>
      </c>
      <c r="I73">
        <f>$X$8*H73/$W$8</f>
        <v>0.32791215170278637</v>
      </c>
      <c r="J73">
        <f>I73/(2/0.2)*3</f>
        <v>9.8373645510835911E-2</v>
      </c>
      <c r="K73">
        <v>0.1175417454223521</v>
      </c>
      <c r="L73" s="1">
        <f t="shared" ref="L73" si="1">J73/K73</f>
        <v>0.8369251720515023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BE42-5AEC-44F8-BC73-43D0114F5CE3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cols>
    <col min="3" max="3" width="12.125" bestFit="1" customWidth="1"/>
  </cols>
  <sheetData>
    <row r="1" spans="1:28" x14ac:dyDescent="0.3">
      <c r="A1" t="s">
        <v>0</v>
      </c>
      <c r="P1" t="s">
        <v>0</v>
      </c>
    </row>
    <row r="3" spans="1:28" x14ac:dyDescent="0.3">
      <c r="A3" t="s">
        <v>255</v>
      </c>
      <c r="P3" t="s">
        <v>89</v>
      </c>
    </row>
    <row r="5" spans="1:28" x14ac:dyDescent="0.3">
      <c r="A5" t="s">
        <v>90</v>
      </c>
      <c r="P5" t="s">
        <v>90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2.62</v>
      </c>
      <c r="G8">
        <v>1182</v>
      </c>
      <c r="H8">
        <v>1181.547</v>
      </c>
      <c r="I8">
        <f>$X$8*H8/$W$8</f>
        <v>0.49701633799973077</v>
      </c>
      <c r="J8">
        <f>I8/(2/0.2)*3</f>
        <v>0.14910490139991922</v>
      </c>
      <c r="K8">
        <v>0.14813140740266978</v>
      </c>
      <c r="L8" s="1">
        <f>J8/K8</f>
        <v>1.0065718270981059</v>
      </c>
      <c r="P8">
        <v>1</v>
      </c>
      <c r="Q8" t="s">
        <v>80</v>
      </c>
      <c r="R8" t="s">
        <v>39</v>
      </c>
      <c r="S8" t="s">
        <v>12</v>
      </c>
      <c r="T8" t="s">
        <v>13</v>
      </c>
      <c r="U8">
        <v>2.62</v>
      </c>
      <c r="V8">
        <v>2377</v>
      </c>
      <c r="W8">
        <v>2377.2800000000002</v>
      </c>
      <c r="X8">
        <v>1</v>
      </c>
      <c r="Y8">
        <v>1.0569999999999999</v>
      </c>
      <c r="Z8">
        <v>5.7</v>
      </c>
      <c r="AA8">
        <v>15</v>
      </c>
      <c r="AB8">
        <v>239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2.65</v>
      </c>
      <c r="G9">
        <v>585</v>
      </c>
      <c r="H9">
        <v>584.65499999999997</v>
      </c>
      <c r="I9">
        <f>$X$8*H9/$W$8</f>
        <v>0.2459344292636963</v>
      </c>
      <c r="J9">
        <f>I9/(2/0.2)*3</f>
        <v>7.3780328779108895E-2</v>
      </c>
      <c r="K9">
        <v>0.11673675431760691</v>
      </c>
      <c r="L9" s="1">
        <f t="shared" ref="L9:L72" si="0">J9/K9</f>
        <v>0.63202312939396943</v>
      </c>
      <c r="P9">
        <v>2</v>
      </c>
      <c r="Q9" t="s">
        <v>81</v>
      </c>
      <c r="R9" t="s">
        <v>40</v>
      </c>
      <c r="S9" t="s">
        <v>12</v>
      </c>
      <c r="T9" t="s">
        <v>14</v>
      </c>
      <c r="U9">
        <v>2.63</v>
      </c>
      <c r="V9">
        <v>4621</v>
      </c>
      <c r="W9">
        <v>4621.3090000000002</v>
      </c>
      <c r="X9">
        <v>2</v>
      </c>
      <c r="Y9">
        <v>2.0609999999999999</v>
      </c>
      <c r="Z9">
        <v>3.1</v>
      </c>
      <c r="AA9">
        <v>39</v>
      </c>
      <c r="AB9">
        <v>141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2.62</v>
      </c>
      <c r="G10">
        <v>1545</v>
      </c>
      <c r="H10">
        <v>1544.799</v>
      </c>
      <c r="I10">
        <f>$X$8*H10/$W$8</f>
        <v>0.64981785906582301</v>
      </c>
      <c r="J10">
        <f>I10/(2/0.2)*3</f>
        <v>0.19494535771974689</v>
      </c>
      <c r="K10">
        <v>8.6147092337289247E-2</v>
      </c>
      <c r="L10" s="1">
        <f t="shared" si="0"/>
        <v>2.2629360136321597</v>
      </c>
      <c r="P10">
        <v>3</v>
      </c>
      <c r="Q10" t="s">
        <v>82</v>
      </c>
      <c r="R10" t="s">
        <v>41</v>
      </c>
      <c r="S10" t="s">
        <v>12</v>
      </c>
      <c r="T10" t="s">
        <v>15</v>
      </c>
      <c r="U10">
        <v>2.62</v>
      </c>
      <c r="V10">
        <v>10049</v>
      </c>
      <c r="W10">
        <v>10049.308999999999</v>
      </c>
      <c r="X10">
        <v>5</v>
      </c>
      <c r="Y10">
        <v>4.4889999999999999</v>
      </c>
      <c r="Z10">
        <v>-10.199999999999999</v>
      </c>
      <c r="AA10">
        <v>84</v>
      </c>
      <c r="AB10">
        <v>232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2.62</v>
      </c>
      <c r="G11">
        <v>1048</v>
      </c>
      <c r="H11">
        <v>1047.8309999999999</v>
      </c>
      <c r="I11">
        <f>$X$8*H11/$W$8</f>
        <v>0.44076886189258302</v>
      </c>
      <c r="J11">
        <f>I11/(2/0.2)*3</f>
        <v>0.13223065856777488</v>
      </c>
      <c r="K11">
        <v>8.9367056756270047E-2</v>
      </c>
      <c r="L11" s="1">
        <f t="shared" si="0"/>
        <v>1.4796353753532059</v>
      </c>
      <c r="P11">
        <v>4</v>
      </c>
      <c r="Q11" t="s">
        <v>83</v>
      </c>
      <c r="R11" t="s">
        <v>42</v>
      </c>
      <c r="S11" t="s">
        <v>12</v>
      </c>
      <c r="T11" t="s">
        <v>16</v>
      </c>
      <c r="U11">
        <v>2.62</v>
      </c>
      <c r="V11">
        <v>23145</v>
      </c>
      <c r="W11">
        <v>23144.546999999999</v>
      </c>
      <c r="X11">
        <v>10</v>
      </c>
      <c r="Y11">
        <v>10.347</v>
      </c>
      <c r="Z11">
        <v>3.5</v>
      </c>
      <c r="AA11">
        <v>391</v>
      </c>
      <c r="AB11">
        <v>311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2.62</v>
      </c>
      <c r="G12">
        <v>2691</v>
      </c>
      <c r="H12">
        <v>2691.1709999999998</v>
      </c>
      <c r="I12">
        <f>$X$8*H12/$W$8</f>
        <v>1.1320378752187372</v>
      </c>
      <c r="J12">
        <f>I12/(2/0.2)*3</f>
        <v>0.33961136256562119</v>
      </c>
      <c r="K12">
        <v>9.3392012279996037E-2</v>
      </c>
      <c r="L12" s="1">
        <f t="shared" si="0"/>
        <v>3.6364069503871663</v>
      </c>
      <c r="P12">
        <v>5</v>
      </c>
      <c r="Q12" t="s">
        <v>84</v>
      </c>
      <c r="R12" t="s">
        <v>43</v>
      </c>
      <c r="S12" t="s">
        <v>12</v>
      </c>
      <c r="T12" t="s">
        <v>17</v>
      </c>
      <c r="U12">
        <v>2.63</v>
      </c>
      <c r="V12">
        <v>45905</v>
      </c>
      <c r="W12">
        <v>45904.684000000001</v>
      </c>
      <c r="X12">
        <v>20</v>
      </c>
      <c r="Y12">
        <v>20.527000000000001</v>
      </c>
      <c r="Z12">
        <v>2.6</v>
      </c>
      <c r="AA12">
        <v>1053</v>
      </c>
      <c r="AB12">
        <v>1672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2.63</v>
      </c>
      <c r="G13">
        <v>1355</v>
      </c>
      <c r="H13">
        <v>1355.3389999999999</v>
      </c>
      <c r="I13">
        <f>$X$8*H13/$W$8</f>
        <v>0.57012173576524428</v>
      </c>
      <c r="J13">
        <f>I13/(2/0.2)*3</f>
        <v>0.17103652072957326</v>
      </c>
      <c r="K13">
        <v>0.18918595374467503</v>
      </c>
      <c r="L13" s="1">
        <f t="shared" si="0"/>
        <v>0.9040656420000599</v>
      </c>
      <c r="P13">
        <v>6</v>
      </c>
      <c r="Q13" t="s">
        <v>85</v>
      </c>
      <c r="R13" t="s">
        <v>44</v>
      </c>
      <c r="S13" t="s">
        <v>12</v>
      </c>
      <c r="T13" t="s">
        <v>18</v>
      </c>
      <c r="U13">
        <v>2.63</v>
      </c>
      <c r="V13">
        <v>102967</v>
      </c>
      <c r="W13">
        <v>102967.234</v>
      </c>
      <c r="X13">
        <v>50</v>
      </c>
      <c r="Y13">
        <v>46.042000000000002</v>
      </c>
      <c r="Z13">
        <v>-7.9</v>
      </c>
      <c r="AA13">
        <v>773</v>
      </c>
      <c r="AB13">
        <v>1705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2.62</v>
      </c>
      <c r="G14">
        <v>462</v>
      </c>
      <c r="H14">
        <v>462.39</v>
      </c>
      <c r="I14">
        <f>$X$8*H14/$W$8</f>
        <v>0.19450380266523082</v>
      </c>
      <c r="J14">
        <f>I14/(2/0.2)*3</f>
        <v>5.835114079956924E-2</v>
      </c>
      <c r="K14">
        <v>9.2587021175250833E-2</v>
      </c>
      <c r="L14" s="1">
        <f t="shared" si="0"/>
        <v>0.63023024241292813</v>
      </c>
      <c r="P14">
        <v>7</v>
      </c>
      <c r="Q14" t="s">
        <v>86</v>
      </c>
      <c r="R14" t="s">
        <v>45</v>
      </c>
      <c r="S14" t="s">
        <v>12</v>
      </c>
      <c r="T14" t="s">
        <v>19</v>
      </c>
      <c r="U14">
        <v>2.62</v>
      </c>
      <c r="V14">
        <v>229209</v>
      </c>
      <c r="W14">
        <v>229208.75</v>
      </c>
      <c r="X14">
        <v>100</v>
      </c>
      <c r="Y14">
        <v>102.449</v>
      </c>
      <c r="Z14">
        <v>2.4</v>
      </c>
      <c r="AA14">
        <v>1851</v>
      </c>
      <c r="AB14">
        <v>3378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2.62</v>
      </c>
      <c r="G15">
        <v>834</v>
      </c>
      <c r="H15">
        <v>834.08</v>
      </c>
      <c r="I15">
        <f>$X$8*H15/$W$8</f>
        <v>0.35085475837932428</v>
      </c>
      <c r="J15">
        <f>I15/(2/0.2)*3</f>
        <v>0.1052564275137973</v>
      </c>
      <c r="K15">
        <v>0.14974138961216016</v>
      </c>
      <c r="L15" s="1">
        <f t="shared" si="0"/>
        <v>0.70292140193448327</v>
      </c>
      <c r="P15">
        <v>8</v>
      </c>
      <c r="Q15" t="s">
        <v>87</v>
      </c>
      <c r="R15" t="s">
        <v>46</v>
      </c>
      <c r="S15" t="s">
        <v>12</v>
      </c>
      <c r="T15" t="s">
        <v>20</v>
      </c>
      <c r="U15">
        <v>2.63</v>
      </c>
      <c r="V15">
        <v>452068</v>
      </c>
      <c r="W15">
        <v>452067.78100000002</v>
      </c>
      <c r="X15">
        <v>200</v>
      </c>
      <c r="Y15">
        <v>201.899</v>
      </c>
      <c r="Z15">
        <v>0.9</v>
      </c>
      <c r="AA15">
        <v>4509</v>
      </c>
      <c r="AB15">
        <v>2500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2.63</v>
      </c>
      <c r="G16">
        <v>1650</v>
      </c>
      <c r="H16">
        <v>1650.289</v>
      </c>
      <c r="I16">
        <f>$X$8*H16/$W$8</f>
        <v>0.69419210189796732</v>
      </c>
      <c r="J16">
        <f>I16/(2/0.2)*3</f>
        <v>0.20825763056939017</v>
      </c>
      <c r="K16">
        <v>0.19965083810636269</v>
      </c>
      <c r="L16" s="1">
        <f t="shared" si="0"/>
        <v>1.0431092228044756</v>
      </c>
      <c r="P16">
        <v>9</v>
      </c>
      <c r="Q16" t="s">
        <v>88</v>
      </c>
      <c r="R16" t="s">
        <v>47</v>
      </c>
      <c r="S16" t="s">
        <v>12</v>
      </c>
      <c r="T16" t="s">
        <v>21</v>
      </c>
      <c r="U16">
        <v>2.63</v>
      </c>
      <c r="V16">
        <v>1120337</v>
      </c>
      <c r="W16">
        <v>1120336.625</v>
      </c>
      <c r="X16">
        <v>500</v>
      </c>
      <c r="Y16">
        <v>499.12700000000001</v>
      </c>
      <c r="Z16">
        <v>-0.2</v>
      </c>
      <c r="AA16">
        <v>7897</v>
      </c>
      <c r="AB16">
        <v>23521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2.63</v>
      </c>
      <c r="G17">
        <v>4555</v>
      </c>
      <c r="H17">
        <v>4555.0990000000002</v>
      </c>
      <c r="I17">
        <f>$X$8*H17/$W$8</f>
        <v>1.9160969679633866</v>
      </c>
      <c r="J17">
        <f>I17/(2/0.2)*3</f>
        <v>0.57482909038901597</v>
      </c>
      <c r="K17">
        <v>0.22058060682973793</v>
      </c>
      <c r="L17" s="1">
        <f t="shared" si="0"/>
        <v>2.6059819974686889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2.62</v>
      </c>
      <c r="G18">
        <v>1892</v>
      </c>
      <c r="H18">
        <v>1891.701</v>
      </c>
      <c r="I18">
        <f>$X$8*H18/$W$8</f>
        <v>0.7957417721093013</v>
      </c>
      <c r="J18">
        <f>I18/(2/0.2)*3</f>
        <v>0.23872253163279039</v>
      </c>
      <c r="K18">
        <v>0.12720163867929454</v>
      </c>
      <c r="L18" s="1">
        <f t="shared" si="0"/>
        <v>1.876725285235251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2.63</v>
      </c>
      <c r="G19">
        <v>2195</v>
      </c>
      <c r="H19">
        <v>2195.2280000000001</v>
      </c>
      <c r="I19">
        <f>$X$8*H19/$W$8</f>
        <v>0.92342004307443792</v>
      </c>
      <c r="J19">
        <f>I19/(2/0.2)*3</f>
        <v>0.27702601292233142</v>
      </c>
      <c r="K19">
        <v>0.1594012828691026</v>
      </c>
      <c r="L19" s="1">
        <f t="shared" si="0"/>
        <v>1.7379158306387037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2.62</v>
      </c>
      <c r="G20">
        <v>2979</v>
      </c>
      <c r="H20">
        <v>2978.5920000000001</v>
      </c>
      <c r="I20">
        <f>$X$8*H20/$W$8</f>
        <v>1.2529411764705882</v>
      </c>
      <c r="J20">
        <f>I20/(2/0.2)*3</f>
        <v>0.3758823529411765</v>
      </c>
      <c r="K20">
        <v>0.14491144298368897</v>
      </c>
      <c r="L20" s="1">
        <f t="shared" si="0"/>
        <v>2.5938762681666576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2.63</v>
      </c>
      <c r="G21">
        <v>1293</v>
      </c>
      <c r="H21">
        <v>1293.192</v>
      </c>
      <c r="I21">
        <f>$X$8*H21/$W$8</f>
        <v>0.54397967424956251</v>
      </c>
      <c r="J21">
        <f>I21/(2/0.2)*3</f>
        <v>0.16319390227486874</v>
      </c>
      <c r="K21">
        <v>0.24553533107683917</v>
      </c>
      <c r="L21" s="1">
        <f t="shared" si="0"/>
        <v>0.66464529385303794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2.63</v>
      </c>
      <c r="G22">
        <v>1884</v>
      </c>
      <c r="H22">
        <v>1883.827</v>
      </c>
      <c r="I22">
        <f>$X$8*H22/$W$8</f>
        <v>0.79242958338941982</v>
      </c>
      <c r="J22">
        <f>I22/(2/0.2)*3</f>
        <v>0.23772887501682596</v>
      </c>
      <c r="K22">
        <v>0.3002747261995129</v>
      </c>
      <c r="L22" s="1">
        <f t="shared" si="0"/>
        <v>0.79170457675772121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2.63</v>
      </c>
      <c r="G23">
        <v>1208</v>
      </c>
      <c r="H23">
        <v>1208.0150000000001</v>
      </c>
      <c r="I23">
        <f>$X$8*H23/$W$8</f>
        <v>0.50815007066899986</v>
      </c>
      <c r="J23">
        <f>I23/(2/0.2)*3</f>
        <v>0.15244502120069997</v>
      </c>
      <c r="K23">
        <v>0.17147614944028067</v>
      </c>
      <c r="L23" s="1">
        <f t="shared" si="0"/>
        <v>0.88901588762226902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2.61</v>
      </c>
      <c r="G24">
        <v>1409</v>
      </c>
      <c r="H24">
        <v>1408.83</v>
      </c>
      <c r="I24">
        <f>$X$8*H24/$W$8</f>
        <v>0.59262266119262341</v>
      </c>
      <c r="J24">
        <f>I24/(2/0.2)*3</f>
        <v>0.17778679835778705</v>
      </c>
      <c r="K24">
        <v>0.18113604269722305</v>
      </c>
      <c r="L24" s="1">
        <f t="shared" si="0"/>
        <v>0.98150978518927667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2.62</v>
      </c>
      <c r="G25">
        <v>2059</v>
      </c>
      <c r="H25">
        <v>2058.85</v>
      </c>
      <c r="I25">
        <f>$X$8*H25/$W$8</f>
        <v>0.86605279983847072</v>
      </c>
      <c r="J25">
        <f>I25/(2/0.2)*3</f>
        <v>0.25981583995154123</v>
      </c>
      <c r="K25">
        <v>8.2927127918308433E-2</v>
      </c>
      <c r="L25" s="1">
        <f t="shared" si="0"/>
        <v>3.1330620808125174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2.63</v>
      </c>
      <c r="G26">
        <v>1911</v>
      </c>
      <c r="H26">
        <v>1910.5329999999999</v>
      </c>
      <c r="I26">
        <f>$X$8*H26/$W$8</f>
        <v>0.80366343047516475</v>
      </c>
      <c r="J26">
        <f>I26/(2/0.2)*3</f>
        <v>0.24109902914254941</v>
      </c>
      <c r="K26">
        <v>0.11593176321286171</v>
      </c>
      <c r="L26" s="1">
        <f t="shared" si="0"/>
        <v>2.0796632645004176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2.62</v>
      </c>
      <c r="G27">
        <v>1721</v>
      </c>
      <c r="H27">
        <v>1721.3240000000001</v>
      </c>
      <c r="I27">
        <f>$X$8*H27/$W$8</f>
        <v>0.7240728900255754</v>
      </c>
      <c r="J27">
        <f>I27/(2/0.2)*3</f>
        <v>0.2172218670076726</v>
      </c>
      <c r="K27">
        <v>0.17469611385926145</v>
      </c>
      <c r="L27" s="1">
        <f t="shared" si="0"/>
        <v>1.243427012822224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2.63</v>
      </c>
      <c r="G28">
        <v>1139</v>
      </c>
      <c r="H28">
        <v>1139.4059999999999</v>
      </c>
      <c r="I28">
        <f>$X$8*H28/$W$8</f>
        <v>0.47928977655135274</v>
      </c>
      <c r="J28">
        <f>I28/(2/0.2)*3</f>
        <v>0.14378693296540584</v>
      </c>
      <c r="K28">
        <v>0.17952606048773259</v>
      </c>
      <c r="L28" s="1">
        <f t="shared" si="0"/>
        <v>0.8009251279439239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2.63</v>
      </c>
      <c r="G29">
        <v>2471</v>
      </c>
      <c r="H29">
        <v>2471.2289999999998</v>
      </c>
      <c r="I29">
        <f>$X$8*H29/$W$8</f>
        <v>1.0395195349306769</v>
      </c>
      <c r="J29">
        <f>I29/(2/0.2)*3</f>
        <v>0.31185586047920311</v>
      </c>
      <c r="K29">
        <v>0.19723586479212707</v>
      </c>
      <c r="L29" s="1">
        <f t="shared" si="0"/>
        <v>1.5811316101555748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2.62</v>
      </c>
      <c r="G30">
        <v>4618</v>
      </c>
      <c r="H30">
        <v>4618.0259999999998</v>
      </c>
      <c r="I30">
        <f>$X$8*H30/$W$8</f>
        <v>1.9425671355498719</v>
      </c>
      <c r="J30">
        <f>I30/(2/0.2)*3</f>
        <v>0.58277014066496158</v>
      </c>
      <c r="K30">
        <v>0.28417490410460888</v>
      </c>
      <c r="L30" s="1">
        <f t="shared" si="0"/>
        <v>2.0507445669813107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2.62</v>
      </c>
      <c r="G31">
        <v>2495</v>
      </c>
      <c r="H31">
        <v>2495.319</v>
      </c>
      <c r="I31">
        <f>$X$8*H31/$W$8</f>
        <v>1.0496529647328037</v>
      </c>
      <c r="J31">
        <f>I31/(2/0.2)*3</f>
        <v>0.31489588941984115</v>
      </c>
      <c r="K31">
        <v>0.17872106938298743</v>
      </c>
      <c r="L31" s="1">
        <f t="shared" si="0"/>
        <v>1.7619404947999728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2.62</v>
      </c>
      <c r="G32">
        <v>4576</v>
      </c>
      <c r="H32">
        <v>4576.2030000000004</v>
      </c>
      <c r="I32">
        <f>$X$8*H32/$W$8</f>
        <v>1.924974340422668</v>
      </c>
      <c r="J32">
        <f>I32/(2/0.2)*3</f>
        <v>0.57749230212680036</v>
      </c>
      <c r="K32">
        <v>0.19884584700161748</v>
      </c>
      <c r="L32" s="1">
        <f t="shared" si="0"/>
        <v>2.9042210880175077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2.62</v>
      </c>
      <c r="G33">
        <v>2354</v>
      </c>
      <c r="H33">
        <v>2353.7399999999998</v>
      </c>
      <c r="I33">
        <f>$X$8*H33/$W$8</f>
        <v>0.99009792704267041</v>
      </c>
      <c r="J33">
        <f>I33/(2/0.2)*3</f>
        <v>0.29702937811280117</v>
      </c>
      <c r="K33">
        <v>0.17469611385926145</v>
      </c>
      <c r="L33" s="1">
        <f t="shared" si="0"/>
        <v>1.7002632259587283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2.62</v>
      </c>
      <c r="G34">
        <v>1535</v>
      </c>
      <c r="H34">
        <v>1535.4090000000001</v>
      </c>
      <c r="I34">
        <f>$X$8*H34/$W$8</f>
        <v>0.64586796675191815</v>
      </c>
      <c r="J34">
        <f>I34/(2/0.2)*3</f>
        <v>0.19376039002557546</v>
      </c>
      <c r="K34">
        <v>0.24875529549582001</v>
      </c>
      <c r="L34" s="1">
        <f t="shared" si="0"/>
        <v>0.77891965933578022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2.62</v>
      </c>
      <c r="G35">
        <v>930</v>
      </c>
      <c r="H35">
        <v>930.22199999999998</v>
      </c>
      <c r="I35">
        <f>$X$8*H35/$W$8</f>
        <v>0.39129677614752989</v>
      </c>
      <c r="J35">
        <f>I35/(2/0.2)*3</f>
        <v>0.11738903284425896</v>
      </c>
      <c r="K35">
        <v>0.18274602490671343</v>
      </c>
      <c r="L35" s="1">
        <f t="shared" si="0"/>
        <v>0.64236162129481433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2.62</v>
      </c>
      <c r="G36">
        <v>4274</v>
      </c>
      <c r="H36">
        <v>4274.2150000000001</v>
      </c>
      <c r="I36">
        <f>$X$8*H36/$W$8</f>
        <v>1.7979434479741552</v>
      </c>
      <c r="J36">
        <f>I36/(2/0.2)*3</f>
        <v>0.53938303439224655</v>
      </c>
      <c r="K36">
        <v>0.18113604269722305</v>
      </c>
      <c r="L36" s="1">
        <f t="shared" si="0"/>
        <v>2.9777786152358936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2.61</v>
      </c>
      <c r="G37">
        <v>1915</v>
      </c>
      <c r="H37">
        <v>1914.53</v>
      </c>
      <c r="I37">
        <f>$X$8*H37/$W$8</f>
        <v>0.80534476376362896</v>
      </c>
      <c r="J37">
        <f>I37/(2/0.2)*3</f>
        <v>0.24160342912908866</v>
      </c>
      <c r="K37">
        <v>0.12156670094607813</v>
      </c>
      <c r="L37" s="1">
        <f t="shared" si="0"/>
        <v>1.987414540732283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2.63</v>
      </c>
      <c r="G38">
        <v>3645</v>
      </c>
      <c r="H38">
        <v>3645.04</v>
      </c>
      <c r="I38">
        <f>$X$8*H38/$W$8</f>
        <v>1.53328173374613</v>
      </c>
      <c r="J38">
        <f>I38/(2/0.2)*3</f>
        <v>0.45998452012383895</v>
      </c>
      <c r="K38">
        <v>8.8562065651524843E-2</v>
      </c>
      <c r="L38" s="1">
        <f t="shared" si="0"/>
        <v>5.1939226658713222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2.63</v>
      </c>
      <c r="G39">
        <v>3295</v>
      </c>
      <c r="H39">
        <v>3294.82</v>
      </c>
      <c r="I39">
        <f>$X$8*H39/$W$8</f>
        <v>1.3859621079553102</v>
      </c>
      <c r="J39">
        <f>I39/(2/0.2)*3</f>
        <v>0.41578863238659308</v>
      </c>
      <c r="K39">
        <v>0.13766652304098212</v>
      </c>
      <c r="L39" s="1">
        <f t="shared" si="0"/>
        <v>3.0202595605818883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2.62</v>
      </c>
      <c r="G40">
        <v>1758</v>
      </c>
      <c r="H40">
        <v>1758.009</v>
      </c>
      <c r="I40">
        <f>$X$8*H40/$W$8</f>
        <v>0.73950439157356296</v>
      </c>
      <c r="J40">
        <f>I40/(2/0.2)*3</f>
        <v>0.2218513174720689</v>
      </c>
      <c r="K40">
        <v>8.2122136813563229E-2</v>
      </c>
      <c r="L40" s="1">
        <f t="shared" si="0"/>
        <v>2.7014800890498516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2.62</v>
      </c>
      <c r="G41">
        <v>1359</v>
      </c>
      <c r="H41">
        <v>1359.471</v>
      </c>
      <c r="I41">
        <f>$X$8*H41/$W$8</f>
        <v>0.57185985664288597</v>
      </c>
      <c r="J41">
        <f>I41/(2/0.2)*3</f>
        <v>0.1715579569928658</v>
      </c>
      <c r="K41">
        <v>0.10224691443219328</v>
      </c>
      <c r="L41" s="1">
        <f t="shared" si="0"/>
        <v>1.6778790631050025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2.62</v>
      </c>
      <c r="G42">
        <v>4526</v>
      </c>
      <c r="H42">
        <v>4526.2659999999996</v>
      </c>
      <c r="I42">
        <f>$X$8*H42/$W$8</f>
        <v>1.9039684008614883</v>
      </c>
      <c r="J42">
        <f>I42/(2/0.2)*3</f>
        <v>0.57119052025844641</v>
      </c>
      <c r="K42">
        <v>0.12639664757454935</v>
      </c>
      <c r="L42" s="1">
        <f t="shared" si="0"/>
        <v>4.5190321991851521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2.62</v>
      </c>
      <c r="G43">
        <v>1057</v>
      </c>
      <c r="H43">
        <v>1057.163</v>
      </c>
      <c r="I43">
        <f>$X$8*H43/$W$8</f>
        <v>0.44469435657558215</v>
      </c>
      <c r="J43">
        <f>I43/(2/0.2)*3</f>
        <v>0.13340830697267464</v>
      </c>
      <c r="K43">
        <v>0.15054638071690538</v>
      </c>
      <c r="L43" s="1">
        <f t="shared" si="0"/>
        <v>0.88616083852286032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2.62</v>
      </c>
      <c r="G44">
        <v>3047</v>
      </c>
      <c r="H44">
        <v>3046.904</v>
      </c>
      <c r="I44">
        <f>$X$8*H44/$W$8</f>
        <v>1.2816765378920445</v>
      </c>
      <c r="J44">
        <f>I44/(2/0.2)*3</f>
        <v>0.38450296136761331</v>
      </c>
      <c r="K44">
        <v>0.14893639850741497</v>
      </c>
      <c r="L44" s="1">
        <f t="shared" si="0"/>
        <v>2.5816587833528848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2.62</v>
      </c>
      <c r="G45">
        <v>4073</v>
      </c>
      <c r="H45">
        <v>4073.3510000000001</v>
      </c>
      <c r="I45">
        <f>$X$8*H45/$W$8</f>
        <v>1.7134502456589042</v>
      </c>
      <c r="J45">
        <f>I45/(2/0.2)*3</f>
        <v>0.51403507369767132</v>
      </c>
      <c r="K45">
        <v>4.0262599366812736E-2</v>
      </c>
      <c r="L45" s="1">
        <f t="shared" si="0"/>
        <v>12.767061287189897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2.63</v>
      </c>
      <c r="G46">
        <v>1520</v>
      </c>
      <c r="H46">
        <v>1520.027</v>
      </c>
      <c r="I46">
        <f>$X$8*H46/$W$8</f>
        <v>0.63939754677614746</v>
      </c>
      <c r="J46">
        <f>I46/(2/0.2)*3</f>
        <v>0.19181926403284422</v>
      </c>
      <c r="K46">
        <v>0.11351678989862611</v>
      </c>
      <c r="L46" s="1">
        <f t="shared" si="0"/>
        <v>1.6897876006196488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2.62</v>
      </c>
      <c r="G47">
        <v>2356</v>
      </c>
      <c r="H47">
        <v>2356.328</v>
      </c>
      <c r="I47">
        <f>$X$8*H47/$W$8</f>
        <v>0.99118656615964451</v>
      </c>
      <c r="J47">
        <f>I47/(2/0.2)*3</f>
        <v>0.29735596984789336</v>
      </c>
      <c r="K47">
        <v>0.10144192332744809</v>
      </c>
      <c r="L47" s="1">
        <f t="shared" si="0"/>
        <v>2.9312927051673419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2.63</v>
      </c>
      <c r="G48">
        <v>980</v>
      </c>
      <c r="H48">
        <v>979.53099999999995</v>
      </c>
      <c r="I48">
        <f>$X$8*H48/$W$8</f>
        <v>0.41203854825683128</v>
      </c>
      <c r="J48">
        <f>I48/(2/0.2)*3</f>
        <v>0.12361156447704939</v>
      </c>
      <c r="K48">
        <v>8.3732119023053622E-2</v>
      </c>
      <c r="L48" s="1">
        <f t="shared" si="0"/>
        <v>1.4762741695694568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2.62</v>
      </c>
      <c r="G49">
        <v>2238</v>
      </c>
      <c r="H49">
        <v>2238.2820000000002</v>
      </c>
      <c r="I49">
        <f>$X$8*H49/$W$8</f>
        <v>0.94153065688517967</v>
      </c>
      <c r="J49">
        <f>I49/(2/0.2)*3</f>
        <v>0.28245919706555389</v>
      </c>
      <c r="K49">
        <v>0.22299558014397355</v>
      </c>
      <c r="L49" s="1">
        <f t="shared" si="0"/>
        <v>1.2666582758420082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2.62</v>
      </c>
      <c r="G50">
        <v>7289</v>
      </c>
      <c r="H50">
        <v>7288.95</v>
      </c>
      <c r="I50">
        <f>$X$8*H50/$W$8</f>
        <v>3.0660881343384032</v>
      </c>
      <c r="J50">
        <f>I50/(2/0.2)*3</f>
        <v>0.91982644030152105</v>
      </c>
      <c r="K50">
        <v>0.1175417454223521</v>
      </c>
      <c r="L50" s="1">
        <f t="shared" si="0"/>
        <v>7.8255298744832489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2.63</v>
      </c>
      <c r="G51">
        <v>1914</v>
      </c>
      <c r="H51">
        <v>1914.2159999999999</v>
      </c>
      <c r="I51">
        <f>$X$8*H51/$W$8</f>
        <v>0.80521268003768998</v>
      </c>
      <c r="J51">
        <f>I51/(2/0.2)*3</f>
        <v>0.24156380401130698</v>
      </c>
      <c r="K51">
        <v>0.11351678989862611</v>
      </c>
      <c r="L51" s="1">
        <f t="shared" si="0"/>
        <v>2.1280006616380773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2.63</v>
      </c>
      <c r="G52">
        <v>912</v>
      </c>
      <c r="H52">
        <v>912.42</v>
      </c>
      <c r="I52">
        <f>$X$8*H52/$W$8</f>
        <v>0.38380838605465062</v>
      </c>
      <c r="J52">
        <f>I52/(2/0.2)*3</f>
        <v>0.11514251581639517</v>
      </c>
      <c r="K52">
        <v>8.4537110127798853E-2</v>
      </c>
      <c r="L52" s="1">
        <f t="shared" si="0"/>
        <v>1.3620351540563504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2.63</v>
      </c>
      <c r="G53">
        <v>1814</v>
      </c>
      <c r="H53">
        <v>1813.759</v>
      </c>
      <c r="I53">
        <f>$X$8*H53/$W$8</f>
        <v>0.76295556265984654</v>
      </c>
      <c r="J53">
        <f>I53/(2/0.2)*3</f>
        <v>0.22888666879795394</v>
      </c>
      <c r="K53">
        <v>0.1078818521654097</v>
      </c>
      <c r="L53" s="1">
        <f t="shared" si="0"/>
        <v>2.1216420019097724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2.62</v>
      </c>
      <c r="G54">
        <v>2129</v>
      </c>
      <c r="H54">
        <v>2128.5990000000002</v>
      </c>
      <c r="I54">
        <f>$X$8*H54/$W$8</f>
        <v>0.89539263359806165</v>
      </c>
      <c r="J54">
        <f>I54/(2/0.2)*3</f>
        <v>0.26861779007941849</v>
      </c>
      <c r="K54">
        <v>0.14813140740266978</v>
      </c>
      <c r="L54" s="1">
        <f t="shared" si="0"/>
        <v>1.8133749944684396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2.62</v>
      </c>
      <c r="G55">
        <v>2172</v>
      </c>
      <c r="H55">
        <v>2172.0189999999998</v>
      </c>
      <c r="I55">
        <f>$X$8*H55/$W$8</f>
        <v>0.91365720487279567</v>
      </c>
      <c r="J55">
        <f>I55/(2/0.2)*3</f>
        <v>0.27409716146183871</v>
      </c>
      <c r="K55">
        <v>6.6022314718659172E-2</v>
      </c>
      <c r="L55" s="1">
        <f t="shared" si="0"/>
        <v>4.1515836369846877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2.62</v>
      </c>
      <c r="G56">
        <v>1983</v>
      </c>
      <c r="H56">
        <v>1982.701</v>
      </c>
      <c r="I56">
        <f>$X$8*H56/$W$8</f>
        <v>0.83402081370305559</v>
      </c>
      <c r="J56">
        <f>I56/(2/0.2)*3</f>
        <v>0.25020624411091663</v>
      </c>
      <c r="K56">
        <v>0.22621554456295434</v>
      </c>
      <c r="L56" s="1">
        <f t="shared" si="0"/>
        <v>1.1060523917324605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2.62</v>
      </c>
      <c r="G57">
        <v>3053</v>
      </c>
      <c r="H57">
        <v>3052.7069999999999</v>
      </c>
      <c r="I57">
        <f>$X$8*H57/$W$8</f>
        <v>1.2841175629290615</v>
      </c>
      <c r="J57">
        <f>I57/(2/0.2)*3</f>
        <v>0.38523526887871851</v>
      </c>
      <c r="K57">
        <v>0.21897062462024752</v>
      </c>
      <c r="L57" s="1">
        <f t="shared" si="0"/>
        <v>1.7593011370672091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2.62</v>
      </c>
      <c r="G58">
        <v>6395</v>
      </c>
      <c r="H58">
        <v>6395.4989999999998</v>
      </c>
      <c r="I58">
        <f>$X$8*H58/$W$8</f>
        <v>2.6902590355364109</v>
      </c>
      <c r="J58">
        <f>I58/(2/0.2)*3</f>
        <v>0.80707771066092326</v>
      </c>
      <c r="K58">
        <v>0.11271179879388092</v>
      </c>
      <c r="L58" s="1">
        <f t="shared" si="0"/>
        <v>7.1605432554301425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2.62</v>
      </c>
      <c r="G59">
        <v>2647</v>
      </c>
      <c r="H59">
        <v>2646.8560000000002</v>
      </c>
      <c r="I59">
        <f>$X$8*H59/$W$8</f>
        <v>1.1133968232601965</v>
      </c>
      <c r="J59">
        <f>I59/(2/0.2)*3</f>
        <v>0.33401904697805895</v>
      </c>
      <c r="K59">
        <v>9.1782030070505644E-2</v>
      </c>
      <c r="L59" s="1">
        <f t="shared" si="0"/>
        <v>3.6392640990994676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2.62</v>
      </c>
      <c r="G60">
        <v>2264</v>
      </c>
      <c r="H60">
        <v>2263.9479999999999</v>
      </c>
      <c r="I60">
        <f>$X$8*H60/$W$8</f>
        <v>0.95232702920985313</v>
      </c>
      <c r="J60">
        <f>I60/(2/0.2)*3</f>
        <v>0.28569810876295598</v>
      </c>
      <c r="K60">
        <v>0.16584121170706426</v>
      </c>
      <c r="L60" s="1">
        <f t="shared" si="0"/>
        <v>1.7227208232631734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2.62</v>
      </c>
      <c r="G61">
        <v>1391</v>
      </c>
      <c r="H61">
        <v>1390.5429999999999</v>
      </c>
      <c r="I61">
        <f>$X$8*H61/$W$8</f>
        <v>0.58493025642751373</v>
      </c>
      <c r="J61">
        <f>I61/(2/0.2)*3</f>
        <v>0.1754790769282541</v>
      </c>
      <c r="K61">
        <v>0.20850574025855992</v>
      </c>
      <c r="L61" s="1">
        <f t="shared" si="0"/>
        <v>0.84160309788425613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2.62</v>
      </c>
      <c r="G62">
        <v>1442</v>
      </c>
      <c r="H62">
        <v>1441.905</v>
      </c>
      <c r="I62">
        <f>$X$8*H62/$W$8</f>
        <v>0.60653562054112253</v>
      </c>
      <c r="J62">
        <f>I62/(2/0.2)*3</f>
        <v>0.18196068616233674</v>
      </c>
      <c r="K62">
        <v>0.15457133624063138</v>
      </c>
      <c r="L62" s="1">
        <f t="shared" si="0"/>
        <v>1.1771955304770514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2.62</v>
      </c>
      <c r="G63">
        <v>4105</v>
      </c>
      <c r="H63">
        <v>4105.0309999999999</v>
      </c>
      <c r="I63">
        <f>$X$8*H63/$W$8</f>
        <v>1.7267763999192354</v>
      </c>
      <c r="J63">
        <f>I63/(2/0.2)*3</f>
        <v>0.51803291997577061</v>
      </c>
      <c r="K63">
        <v>0.22863051787718996</v>
      </c>
      <c r="L63" s="1">
        <f t="shared" si="0"/>
        <v>2.2658082778521922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2.62</v>
      </c>
      <c r="G64">
        <v>2522</v>
      </c>
      <c r="H64">
        <v>2521.8539999999998</v>
      </c>
      <c r="I64">
        <f>$X$8*H64/$W$8</f>
        <v>1.0608148808722573</v>
      </c>
      <c r="J64">
        <f>I64/(2/0.2)*3</f>
        <v>0.31824446426167718</v>
      </c>
      <c r="K64">
        <v>0.19079593595416544</v>
      </c>
      <c r="L64" s="1">
        <f t="shared" si="0"/>
        <v>1.6679834539983518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2.62</v>
      </c>
      <c r="G65">
        <v>2983</v>
      </c>
      <c r="H65">
        <v>2983</v>
      </c>
      <c r="I65">
        <f>$X$8*H65/$W$8</f>
        <v>1.2547953964194372</v>
      </c>
      <c r="J65">
        <f>I65/(2/0.2)*3</f>
        <v>0.37643861892583119</v>
      </c>
      <c r="K65">
        <v>0.13122659420302052</v>
      </c>
      <c r="L65" s="1">
        <f t="shared" si="0"/>
        <v>2.8686153230757738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2.62</v>
      </c>
      <c r="G66">
        <v>3112</v>
      </c>
      <c r="H66">
        <v>3112.482</v>
      </c>
      <c r="I66">
        <f>$X$8*H66/$W$8</f>
        <v>1.3092618454704534</v>
      </c>
      <c r="J66">
        <f>I66/(2/0.2)*3</f>
        <v>0.39277855364113606</v>
      </c>
      <c r="K66">
        <v>0.13927650525047255</v>
      </c>
      <c r="L66" s="1">
        <f t="shared" si="0"/>
        <v>2.8201350467171018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2.62</v>
      </c>
      <c r="G67">
        <v>2418</v>
      </c>
      <c r="H67">
        <v>2418.1669999999999</v>
      </c>
      <c r="I67">
        <f>$X$8*H67/$W$8</f>
        <v>1.0171990678422398</v>
      </c>
      <c r="J67">
        <f>I67/(2/0.2)*3</f>
        <v>0.30515972035267191</v>
      </c>
      <c r="K67">
        <v>9.7416967803722054E-2</v>
      </c>
      <c r="L67" s="1">
        <f t="shared" si="0"/>
        <v>3.1325109704452587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2.62</v>
      </c>
      <c r="G68">
        <v>1450</v>
      </c>
      <c r="H68">
        <v>1449.5229999999999</v>
      </c>
      <c r="I68">
        <f>$X$8*H68/$W$8</f>
        <v>0.60974012316597115</v>
      </c>
      <c r="J68">
        <f>I68/(2/0.2)*3</f>
        <v>0.18292203694979137</v>
      </c>
      <c r="K68">
        <v>7.4877216870856411E-2</v>
      </c>
      <c r="L68" s="1">
        <f t="shared" si="0"/>
        <v>2.4429598827809529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2.63</v>
      </c>
      <c r="G69">
        <v>3578</v>
      </c>
      <c r="H69">
        <v>3577.8040000000001</v>
      </c>
      <c r="I69">
        <f>$X$8*H69/$W$8</f>
        <v>1.5049989904428589</v>
      </c>
      <c r="J69">
        <f>I69/(2/0.2)*3</f>
        <v>0.4514996971328577</v>
      </c>
      <c r="K69">
        <v>0.14491144298368897</v>
      </c>
      <c r="L69" s="1">
        <f t="shared" si="0"/>
        <v>3.115693887498435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2.62</v>
      </c>
      <c r="G70">
        <v>2161</v>
      </c>
      <c r="H70">
        <v>2161.0250000000001</v>
      </c>
      <c r="I70">
        <f>$X$8*H70/$W$8</f>
        <v>0.90903259186969976</v>
      </c>
      <c r="J70">
        <f>I70/(2/0.2)*3</f>
        <v>0.27270977756090997</v>
      </c>
      <c r="K70">
        <v>0.14571643408843418</v>
      </c>
      <c r="L70" s="1">
        <f t="shared" si="0"/>
        <v>1.8715100960774576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2.62</v>
      </c>
      <c r="G71">
        <v>2113</v>
      </c>
      <c r="H71">
        <v>2112.681</v>
      </c>
      <c r="I71">
        <f>$X$8*H71/$W$8</f>
        <v>0.88869674586081571</v>
      </c>
      <c r="J71">
        <f>I71/(2/0.2)*3</f>
        <v>0.26660902375824469</v>
      </c>
      <c r="K71">
        <v>0.26405012648597881</v>
      </c>
      <c r="L71" s="1">
        <f t="shared" si="0"/>
        <v>1.0096909526472118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2.63</v>
      </c>
      <c r="G72">
        <v>1040</v>
      </c>
      <c r="H72">
        <v>1039.6210000000001</v>
      </c>
      <c r="I72">
        <f>$X$8*H72/$W$8</f>
        <v>0.43731533517297078</v>
      </c>
      <c r="J72">
        <f>I72/(2/0.2)*3</f>
        <v>0.13119460055189122</v>
      </c>
      <c r="K72">
        <v>0.17469611385926145</v>
      </c>
      <c r="L72" s="1">
        <f t="shared" si="0"/>
        <v>0.75098751571305189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2.64</v>
      </c>
      <c r="G73">
        <v>744</v>
      </c>
      <c r="H73">
        <v>744.47299999999996</v>
      </c>
      <c r="I73">
        <f>$X$8*H73/$W$8</f>
        <v>0.31316168057612054</v>
      </c>
      <c r="J73">
        <f>I73/(2/0.2)*3</f>
        <v>9.394850417283615E-2</v>
      </c>
      <c r="K73">
        <v>0.1175417454223521</v>
      </c>
      <c r="L73" s="1">
        <f t="shared" ref="L73" si="1">J73/K73</f>
        <v>0.79927777008295653</v>
      </c>
    </row>
    <row r="74" spans="1:12" x14ac:dyDescent="0.3">
      <c r="A74">
        <v>34</v>
      </c>
      <c r="B74" t="s">
        <v>235</v>
      </c>
      <c r="C74" t="s">
        <v>236</v>
      </c>
      <c r="D74" t="s">
        <v>237</v>
      </c>
      <c r="E74" t="s">
        <v>238</v>
      </c>
      <c r="F74">
        <v>2.57</v>
      </c>
      <c r="G74">
        <v>124</v>
      </c>
      <c r="H74">
        <v>124.35599999999999</v>
      </c>
      <c r="I74">
        <v>4.9000000000000002E-2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6600-A6A6-4FC1-81E4-8E6BBDF91093}">
  <dimension ref="A1:AB74"/>
  <sheetViews>
    <sheetView topLeftCell="A2" workbookViewId="0">
      <selection activeCell="L2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256</v>
      </c>
      <c r="P3" t="s">
        <v>89</v>
      </c>
    </row>
    <row r="5" spans="1:28" x14ac:dyDescent="0.3">
      <c r="A5" t="s">
        <v>257</v>
      </c>
      <c r="P5" t="s">
        <v>90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2.83</v>
      </c>
      <c r="G8">
        <v>667</v>
      </c>
      <c r="H8">
        <v>667.42399999999998</v>
      </c>
      <c r="I8">
        <f>$X$8*H8/$W$8</f>
        <v>0.28075111051285501</v>
      </c>
      <c r="J8">
        <f>I8/(2/0.2)*3</f>
        <v>8.4225333153856496E-2</v>
      </c>
      <c r="K8">
        <v>0.14813140740266978</v>
      </c>
      <c r="L8" s="1">
        <f>J8/K8</f>
        <v>0.5685852489398443</v>
      </c>
      <c r="P8">
        <v>1</v>
      </c>
      <c r="Q8" t="s">
        <v>80</v>
      </c>
      <c r="R8" t="s">
        <v>39</v>
      </c>
      <c r="S8" t="s">
        <v>12</v>
      </c>
      <c r="T8" t="s">
        <v>13</v>
      </c>
      <c r="U8">
        <v>2.62</v>
      </c>
      <c r="V8">
        <v>2377</v>
      </c>
      <c r="W8">
        <v>2377.2800000000002</v>
      </c>
      <c r="X8">
        <v>1</v>
      </c>
      <c r="Y8">
        <v>1.0569999999999999</v>
      </c>
      <c r="Z8">
        <v>5.7</v>
      </c>
      <c r="AA8">
        <v>15</v>
      </c>
      <c r="AB8">
        <v>239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2.84</v>
      </c>
      <c r="G9">
        <v>727</v>
      </c>
      <c r="H9">
        <v>727.41800000000001</v>
      </c>
      <c r="I9">
        <f>$X$8*H9/$W$8</f>
        <v>0.30598751514335709</v>
      </c>
      <c r="J9">
        <f>I9/(2/0.2)*3</f>
        <v>9.1796254543007133E-2</v>
      </c>
      <c r="K9">
        <v>0.11673675431760691</v>
      </c>
      <c r="L9" s="1">
        <f t="shared" ref="L9:L72" si="0">J9/K9</f>
        <v>0.78635263657627574</v>
      </c>
      <c r="P9">
        <v>2</v>
      </c>
      <c r="Q9" t="s">
        <v>81</v>
      </c>
      <c r="R9" t="s">
        <v>40</v>
      </c>
      <c r="S9" t="s">
        <v>12</v>
      </c>
      <c r="T9" t="s">
        <v>14</v>
      </c>
      <c r="U9">
        <v>2.63</v>
      </c>
      <c r="V9">
        <v>4621</v>
      </c>
      <c r="W9">
        <v>4621.3090000000002</v>
      </c>
      <c r="X9">
        <v>2</v>
      </c>
      <c r="Y9">
        <v>2.0609999999999999</v>
      </c>
      <c r="Z9">
        <v>3.1</v>
      </c>
      <c r="AA9">
        <v>39</v>
      </c>
      <c r="AB9">
        <v>141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2.84</v>
      </c>
      <c r="G10">
        <v>1221</v>
      </c>
      <c r="H10">
        <v>1220.6320000000001</v>
      </c>
      <c r="I10">
        <f>$X$8*H10/$W$8</f>
        <v>0.51345739668865253</v>
      </c>
      <c r="J10">
        <f>I10/(2/0.2)*3</f>
        <v>0.15403721900659578</v>
      </c>
      <c r="K10">
        <v>8.6147092337289247E-2</v>
      </c>
      <c r="L10" s="1">
        <f t="shared" si="0"/>
        <v>1.7880721777990864</v>
      </c>
      <c r="P10">
        <v>3</v>
      </c>
      <c r="Q10" t="s">
        <v>82</v>
      </c>
      <c r="R10" t="s">
        <v>41</v>
      </c>
      <c r="S10" t="s">
        <v>12</v>
      </c>
      <c r="T10" t="s">
        <v>15</v>
      </c>
      <c r="U10">
        <v>2.62</v>
      </c>
      <c r="V10">
        <v>10049</v>
      </c>
      <c r="W10">
        <v>10049.308999999999</v>
      </c>
      <c r="X10">
        <v>5</v>
      </c>
      <c r="Y10">
        <v>4.4889999999999999</v>
      </c>
      <c r="Z10">
        <v>-10.199999999999999</v>
      </c>
      <c r="AA10">
        <v>84</v>
      </c>
      <c r="AB10">
        <v>232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2.85</v>
      </c>
      <c r="G11">
        <v>871</v>
      </c>
      <c r="H11">
        <v>871.23599999999999</v>
      </c>
      <c r="I11">
        <f>$X$8*H11/$W$8</f>
        <v>0.3664843855162202</v>
      </c>
      <c r="J11">
        <f>I11/(2/0.2)*3</f>
        <v>0.10994531565486605</v>
      </c>
      <c r="K11">
        <v>8.9367056756270047E-2</v>
      </c>
      <c r="L11" s="1">
        <f t="shared" si="0"/>
        <v>1.2302667184700835</v>
      </c>
      <c r="P11">
        <v>4</v>
      </c>
      <c r="Q11" t="s">
        <v>83</v>
      </c>
      <c r="R11" t="s">
        <v>42</v>
      </c>
      <c r="S11" t="s">
        <v>12</v>
      </c>
      <c r="T11" t="s">
        <v>16</v>
      </c>
      <c r="U11">
        <v>2.62</v>
      </c>
      <c r="V11">
        <v>23145</v>
      </c>
      <c r="W11">
        <v>23144.546999999999</v>
      </c>
      <c r="X11">
        <v>10</v>
      </c>
      <c r="Y11">
        <v>10.347</v>
      </c>
      <c r="Z11">
        <v>3.5</v>
      </c>
      <c r="AA11">
        <v>391</v>
      </c>
      <c r="AB11">
        <v>311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2.84</v>
      </c>
      <c r="G12">
        <v>846</v>
      </c>
      <c r="H12">
        <v>846.15499999999997</v>
      </c>
      <c r="I12">
        <f>$X$8*H12/$W$8</f>
        <v>0.35593409274464932</v>
      </c>
      <c r="J12">
        <f>I12/(2/0.2)*3</f>
        <v>0.10678022782339479</v>
      </c>
      <c r="K12">
        <v>9.3392012279996037E-2</v>
      </c>
      <c r="L12" s="1">
        <f t="shared" si="0"/>
        <v>1.1433550387934668</v>
      </c>
      <c r="P12">
        <v>5</v>
      </c>
      <c r="Q12" t="s">
        <v>84</v>
      </c>
      <c r="R12" t="s">
        <v>43</v>
      </c>
      <c r="S12" t="s">
        <v>12</v>
      </c>
      <c r="T12" t="s">
        <v>17</v>
      </c>
      <c r="U12">
        <v>2.63</v>
      </c>
      <c r="V12">
        <v>45905</v>
      </c>
      <c r="W12">
        <v>45904.684000000001</v>
      </c>
      <c r="X12">
        <v>20</v>
      </c>
      <c r="Y12">
        <v>20.527000000000001</v>
      </c>
      <c r="Z12">
        <v>2.6</v>
      </c>
      <c r="AA12">
        <v>1053</v>
      </c>
      <c r="AB12">
        <v>1672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2.83</v>
      </c>
      <c r="G13">
        <v>1358</v>
      </c>
      <c r="H13">
        <v>1357.5309999999999</v>
      </c>
      <c r="I13">
        <f>$X$8*H13/$W$8</f>
        <v>0.57104379795396409</v>
      </c>
      <c r="J13">
        <f>I13/(2/0.2)*3</f>
        <v>0.17131313938618925</v>
      </c>
      <c r="K13">
        <v>0.18918595374467503</v>
      </c>
      <c r="L13" s="1">
        <f t="shared" si="0"/>
        <v>0.90552779419022356</v>
      </c>
      <c r="P13">
        <v>6</v>
      </c>
      <c r="Q13" t="s">
        <v>85</v>
      </c>
      <c r="R13" t="s">
        <v>44</v>
      </c>
      <c r="S13" t="s">
        <v>12</v>
      </c>
      <c r="T13" t="s">
        <v>18</v>
      </c>
      <c r="U13">
        <v>2.63</v>
      </c>
      <c r="V13">
        <v>102967</v>
      </c>
      <c r="W13">
        <v>102967.234</v>
      </c>
      <c r="X13">
        <v>50</v>
      </c>
      <c r="Y13">
        <v>46.042000000000002</v>
      </c>
      <c r="Z13">
        <v>-7.9</v>
      </c>
      <c r="AA13">
        <v>773</v>
      </c>
      <c r="AB13">
        <v>1705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2.84</v>
      </c>
      <c r="G14">
        <v>992</v>
      </c>
      <c r="H14">
        <v>991.73099999999999</v>
      </c>
      <c r="I14">
        <f>$X$8*H14/$W$8</f>
        <v>0.41717046372324668</v>
      </c>
      <c r="J14">
        <f>I14/(2/0.2)*3</f>
        <v>0.12515113911697401</v>
      </c>
      <c r="K14">
        <v>9.2587021175250833E-2</v>
      </c>
      <c r="L14" s="1">
        <f t="shared" si="0"/>
        <v>1.351713636839931</v>
      </c>
      <c r="P14">
        <v>7</v>
      </c>
      <c r="Q14" t="s">
        <v>86</v>
      </c>
      <c r="R14" t="s">
        <v>45</v>
      </c>
      <c r="S14" t="s">
        <v>12</v>
      </c>
      <c r="T14" t="s">
        <v>19</v>
      </c>
      <c r="U14">
        <v>2.62</v>
      </c>
      <c r="V14">
        <v>229209</v>
      </c>
      <c r="W14">
        <v>229208.75</v>
      </c>
      <c r="X14">
        <v>100</v>
      </c>
      <c r="Y14">
        <v>102.449</v>
      </c>
      <c r="Z14">
        <v>2.4</v>
      </c>
      <c r="AA14">
        <v>1851</v>
      </c>
      <c r="AB14">
        <v>3378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2.82</v>
      </c>
      <c r="G15">
        <v>163</v>
      </c>
      <c r="H15">
        <v>163.232</v>
      </c>
      <c r="I15">
        <f>$X$8*H15/$W$8</f>
        <v>6.8663346345403151E-2</v>
      </c>
      <c r="J15">
        <f>I15/(2/0.2)*3</f>
        <v>2.0599003903620947E-2</v>
      </c>
      <c r="K15">
        <v>0.14974138961216016</v>
      </c>
      <c r="L15" s="1">
        <f t="shared" si="0"/>
        <v>0.13756386231604831</v>
      </c>
      <c r="P15">
        <v>8</v>
      </c>
      <c r="Q15" t="s">
        <v>87</v>
      </c>
      <c r="R15" t="s">
        <v>46</v>
      </c>
      <c r="S15" t="s">
        <v>12</v>
      </c>
      <c r="T15" t="s">
        <v>20</v>
      </c>
      <c r="U15">
        <v>2.63</v>
      </c>
      <c r="V15">
        <v>452068</v>
      </c>
      <c r="W15">
        <v>452067.78100000002</v>
      </c>
      <c r="X15">
        <v>200</v>
      </c>
      <c r="Y15">
        <v>201.899</v>
      </c>
      <c r="Z15">
        <v>0.9</v>
      </c>
      <c r="AA15">
        <v>4509</v>
      </c>
      <c r="AB15">
        <v>2500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2.83</v>
      </c>
      <c r="G16">
        <v>2794</v>
      </c>
      <c r="H16">
        <v>2793.6219999999998</v>
      </c>
      <c r="I16">
        <f>$X$8*H16/$W$8</f>
        <v>1.1751337663211736</v>
      </c>
      <c r="J16">
        <f>I16/(2/0.2)*3</f>
        <v>0.35254012989635208</v>
      </c>
      <c r="K16">
        <v>0.19965083810636269</v>
      </c>
      <c r="L16" s="1">
        <f t="shared" si="0"/>
        <v>1.7657833708092856</v>
      </c>
      <c r="P16">
        <v>9</v>
      </c>
      <c r="Q16" t="s">
        <v>88</v>
      </c>
      <c r="R16" t="s">
        <v>47</v>
      </c>
      <c r="S16" t="s">
        <v>12</v>
      </c>
      <c r="T16" t="s">
        <v>21</v>
      </c>
      <c r="U16">
        <v>2.63</v>
      </c>
      <c r="V16">
        <v>1120337</v>
      </c>
      <c r="W16">
        <v>1120336.625</v>
      </c>
      <c r="X16">
        <v>500</v>
      </c>
      <c r="Y16">
        <v>499.12700000000001</v>
      </c>
      <c r="Z16">
        <v>-0.2</v>
      </c>
      <c r="AA16">
        <v>7897</v>
      </c>
      <c r="AB16">
        <v>23521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2.84</v>
      </c>
      <c r="G17">
        <v>2840</v>
      </c>
      <c r="H17">
        <v>2839.5</v>
      </c>
      <c r="I17">
        <f>$X$8*H17/$W$8</f>
        <v>1.1944322923677479</v>
      </c>
      <c r="J17">
        <f>I17/(2/0.2)*3</f>
        <v>0.35832968771032436</v>
      </c>
      <c r="K17">
        <v>0.22058060682973793</v>
      </c>
      <c r="L17" s="1">
        <f t="shared" si="0"/>
        <v>1.6244840961332216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2.84</v>
      </c>
      <c r="G18">
        <v>1433</v>
      </c>
      <c r="H18">
        <v>1432.5719999999999</v>
      </c>
      <c r="I18">
        <f>$X$8*H18/$W$8</f>
        <v>0.60260970520931478</v>
      </c>
      <c r="J18">
        <f>I18/(2/0.2)*3</f>
        <v>0.18078291156279441</v>
      </c>
      <c r="K18">
        <v>0.12720163867929454</v>
      </c>
      <c r="L18" s="1">
        <f t="shared" si="0"/>
        <v>1.42123099544803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2.84</v>
      </c>
      <c r="G19">
        <v>1444</v>
      </c>
      <c r="H19">
        <v>1443.8910000000001</v>
      </c>
      <c r="I19">
        <f>$X$8*H19/$W$8</f>
        <v>0.60737102907524565</v>
      </c>
      <c r="J19">
        <f>I19/(2/0.2)*3</f>
        <v>0.18221130872257368</v>
      </c>
      <c r="K19">
        <v>0.1594012828691026</v>
      </c>
      <c r="L19" s="1">
        <f t="shared" si="0"/>
        <v>1.1430981322289751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2.85</v>
      </c>
      <c r="G20">
        <v>1419</v>
      </c>
      <c r="H20">
        <v>1419.18</v>
      </c>
      <c r="I20">
        <f>$X$8*H20/$W$8</f>
        <v>0.59697637636290213</v>
      </c>
      <c r="J20">
        <f>I20/(2/0.2)*3</f>
        <v>0.17909291290887064</v>
      </c>
      <c r="K20">
        <v>0.14491144298368897</v>
      </c>
      <c r="L20" s="1">
        <f t="shared" si="0"/>
        <v>1.2358783352190419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2.85</v>
      </c>
      <c r="G21">
        <v>1979</v>
      </c>
      <c r="H21">
        <v>1978.701</v>
      </c>
      <c r="I21">
        <f>$X$8*H21/$W$8</f>
        <v>0.83233821846816525</v>
      </c>
      <c r="J21">
        <f>I21/(2/0.2)*3</f>
        <v>0.24970146554044956</v>
      </c>
      <c r="K21">
        <v>0.24553533107683917</v>
      </c>
      <c r="L21" s="1">
        <f t="shared" si="0"/>
        <v>1.0169675559331484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2.85</v>
      </c>
      <c r="G22">
        <v>1822</v>
      </c>
      <c r="H22">
        <v>1821.509</v>
      </c>
      <c r="I22">
        <f>$X$8*H22/$W$8</f>
        <v>0.7662155909274464</v>
      </c>
      <c r="J22">
        <f>I22/(2/0.2)*3</f>
        <v>0.2298646772782339</v>
      </c>
      <c r="K22">
        <v>0.3002747261995129</v>
      </c>
      <c r="L22" s="1">
        <f t="shared" si="0"/>
        <v>0.76551456790107564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2.84</v>
      </c>
      <c r="G23">
        <v>520</v>
      </c>
      <c r="H23">
        <v>519.78899999999999</v>
      </c>
      <c r="I23">
        <f>$X$8*H23/$W$8</f>
        <v>0.21864862363709783</v>
      </c>
      <c r="J23">
        <f>I23/(2/0.2)*3</f>
        <v>6.559458709112935E-2</v>
      </c>
      <c r="K23">
        <v>0.17147614944028067</v>
      </c>
      <c r="L23" s="1">
        <f t="shared" si="0"/>
        <v>0.38252892489852486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2.84</v>
      </c>
      <c r="G24">
        <v>1760</v>
      </c>
      <c r="H24">
        <v>1759.751</v>
      </c>
      <c r="I24">
        <f>$X$8*H24/$W$8</f>
        <v>0.74023716179835775</v>
      </c>
      <c r="J24">
        <f>I24/(2/0.2)*3</f>
        <v>0.22207114853950732</v>
      </c>
      <c r="K24">
        <v>0.18113604269722305</v>
      </c>
      <c r="L24" s="1">
        <f t="shared" si="0"/>
        <v>1.2259909470955437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2.84</v>
      </c>
      <c r="G25">
        <v>655</v>
      </c>
      <c r="H25">
        <v>655.39800000000002</v>
      </c>
      <c r="I25">
        <f>$X$8*H25/$W$8</f>
        <v>0.27569238793915735</v>
      </c>
      <c r="J25">
        <f>I25/(2/0.2)*3</f>
        <v>8.2707716381747204E-2</v>
      </c>
      <c r="K25">
        <v>8.2927127918308433E-2</v>
      </c>
      <c r="L25" s="1">
        <f t="shared" si="0"/>
        <v>0.99735416452891779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2.84</v>
      </c>
      <c r="G26">
        <v>2362</v>
      </c>
      <c r="H26">
        <v>2361.9319999999998</v>
      </c>
      <c r="I26">
        <f>$X$8*H26/$W$8</f>
        <v>0.99354388208372579</v>
      </c>
      <c r="J26">
        <f>I26/(2/0.2)*3</f>
        <v>0.29806316462511773</v>
      </c>
      <c r="K26">
        <v>0.11593176321286171</v>
      </c>
      <c r="L26" s="1">
        <f t="shared" si="0"/>
        <v>2.5710224391036434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2.85</v>
      </c>
      <c r="G27">
        <v>2873</v>
      </c>
      <c r="H27">
        <v>2872.7109999999998</v>
      </c>
      <c r="I27">
        <f>$X$8*H27/$W$8</f>
        <v>1.2084024599542331</v>
      </c>
      <c r="J27">
        <f>I27/(2/0.2)*3</f>
        <v>0.36252073798626994</v>
      </c>
      <c r="K27">
        <v>0.17469611385926145</v>
      </c>
      <c r="L27" s="1">
        <f t="shared" si="0"/>
        <v>2.075150557031415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2.84</v>
      </c>
      <c r="G28">
        <v>769</v>
      </c>
      <c r="H28">
        <v>769.44899999999996</v>
      </c>
      <c r="I28">
        <f>$X$8*H28/$W$8</f>
        <v>0.32366780522277555</v>
      </c>
      <c r="J28">
        <f>I28/(2/0.2)*3</f>
        <v>9.7100341566832657E-2</v>
      </c>
      <c r="K28">
        <v>0.17952606048773259</v>
      </c>
      <c r="L28" s="1">
        <f t="shared" si="0"/>
        <v>0.54087045247376631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2.84</v>
      </c>
      <c r="G29">
        <v>2777</v>
      </c>
      <c r="H29">
        <v>2776.74</v>
      </c>
      <c r="I29">
        <f>$X$8*H29/$W$8</f>
        <v>1.168032373132319</v>
      </c>
      <c r="J29">
        <f>I29/(2/0.2)*3</f>
        <v>0.35040971193969572</v>
      </c>
      <c r="K29">
        <v>0.19723586479212707</v>
      </c>
      <c r="L29" s="1">
        <f t="shared" si="0"/>
        <v>1.7766024060025962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2.84</v>
      </c>
      <c r="G30">
        <v>2525</v>
      </c>
      <c r="H30">
        <v>2525.3519999999999</v>
      </c>
      <c r="I30">
        <f>$X$8*H30/$W$8</f>
        <v>1.0622863104051687</v>
      </c>
      <c r="J30">
        <f>I30/(2/0.2)*3</f>
        <v>0.3186858931215506</v>
      </c>
      <c r="K30">
        <v>0.28417490410460888</v>
      </c>
      <c r="L30" s="1">
        <f t="shared" si="0"/>
        <v>1.1214427752713791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2.85</v>
      </c>
      <c r="G31">
        <v>1257</v>
      </c>
      <c r="H31">
        <v>1257.011</v>
      </c>
      <c r="I31">
        <f>$X$8*H31/$W$8</f>
        <v>0.52876017970117106</v>
      </c>
      <c r="J31">
        <f>I31/(2/0.2)*3</f>
        <v>0.15862805391035134</v>
      </c>
      <c r="K31">
        <v>0.17872106938298743</v>
      </c>
      <c r="L31" s="1">
        <f t="shared" si="0"/>
        <v>0.88757332561849167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2.84</v>
      </c>
      <c r="G32">
        <v>2240</v>
      </c>
      <c r="H32">
        <v>2239.779</v>
      </c>
      <c r="I32">
        <f>$X$8*H32/$W$8</f>
        <v>0.94216036815183735</v>
      </c>
      <c r="J32">
        <f>I32/(2/0.2)*3</f>
        <v>0.28264811044555116</v>
      </c>
      <c r="K32">
        <v>0.19884584700161748</v>
      </c>
      <c r="L32" s="1">
        <f t="shared" si="0"/>
        <v>1.4214433678529479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2.84</v>
      </c>
      <c r="G33">
        <v>1811</v>
      </c>
      <c r="H33">
        <v>1811.0170000000001</v>
      </c>
      <c r="I33">
        <f>$X$8*H33/$W$8</f>
        <v>0.76180214362632925</v>
      </c>
      <c r="J33">
        <f>I33/(2/0.2)*3</f>
        <v>0.22854064308789876</v>
      </c>
      <c r="K33">
        <v>0.17469611385926145</v>
      </c>
      <c r="L33" s="1">
        <f t="shared" si="0"/>
        <v>1.3082182427481788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2.83</v>
      </c>
      <c r="G34">
        <v>1333</v>
      </c>
      <c r="H34">
        <v>1332.6110000000001</v>
      </c>
      <c r="I34">
        <f>$X$8*H34/$W$8</f>
        <v>0.56056122964059762</v>
      </c>
      <c r="J34">
        <f>I34/(2/0.2)*3</f>
        <v>0.16816836889217929</v>
      </c>
      <c r="K34">
        <v>0.24875529549582001</v>
      </c>
      <c r="L34" s="1">
        <f t="shared" si="0"/>
        <v>0.67603935247684055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2.84</v>
      </c>
      <c r="G35">
        <v>1746</v>
      </c>
      <c r="H35">
        <v>1745.9770000000001</v>
      </c>
      <c r="I35">
        <f>$X$8*H35/$W$8</f>
        <v>0.73444314510701303</v>
      </c>
      <c r="J35">
        <f>I35/(2/0.2)*3</f>
        <v>0.22033294353210389</v>
      </c>
      <c r="K35">
        <v>0.18274602490671343</v>
      </c>
      <c r="L35" s="1">
        <f t="shared" si="0"/>
        <v>1.2056784471485904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2.84</v>
      </c>
      <c r="G36">
        <v>3945</v>
      </c>
      <c r="H36">
        <v>3945.4160000000002</v>
      </c>
      <c r="I36">
        <f>$X$8*H36/$W$8</f>
        <v>1.6596345403149817</v>
      </c>
      <c r="J36">
        <f>I36/(2/0.2)*3</f>
        <v>0.49789036209449455</v>
      </c>
      <c r="K36">
        <v>0.18113604269722305</v>
      </c>
      <c r="L36" s="1">
        <f t="shared" si="0"/>
        <v>2.7487095040866074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2.83</v>
      </c>
      <c r="G37">
        <v>1590</v>
      </c>
      <c r="H37">
        <v>1590.001</v>
      </c>
      <c r="I37">
        <f>$X$8*H37/$W$8</f>
        <v>0.6688320265177008</v>
      </c>
      <c r="J37">
        <f>I37/(2/0.2)*3</f>
        <v>0.20064960795531026</v>
      </c>
      <c r="K37">
        <v>0.12156670094607813</v>
      </c>
      <c r="L37" s="1">
        <f t="shared" si="0"/>
        <v>1.6505309956902587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2.85</v>
      </c>
      <c r="G38">
        <v>2239</v>
      </c>
      <c r="H38">
        <v>2238.6190000000001</v>
      </c>
      <c r="I38">
        <f>$X$8*H38/$W$8</f>
        <v>0.94167241553371916</v>
      </c>
      <c r="J38">
        <f>I38/(2/0.2)*3</f>
        <v>0.28250172466011575</v>
      </c>
      <c r="K38">
        <v>8.8562065651524843E-2</v>
      </c>
      <c r="L38" s="1">
        <f t="shared" si="0"/>
        <v>3.1898728036867068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2.84</v>
      </c>
      <c r="G39">
        <v>2538</v>
      </c>
      <c r="H39">
        <v>2537.8359999999998</v>
      </c>
      <c r="I39">
        <f>$X$8*H39/$W$8</f>
        <v>1.0675376901332614</v>
      </c>
      <c r="J39">
        <f>I39/(2/0.2)*3</f>
        <v>0.32026130703997846</v>
      </c>
      <c r="K39">
        <v>0.13766652304098212</v>
      </c>
      <c r="L39" s="1">
        <f t="shared" si="0"/>
        <v>2.3263557469570104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2.83</v>
      </c>
      <c r="G40">
        <v>1757</v>
      </c>
      <c r="H40">
        <v>1756.6510000000001</v>
      </c>
      <c r="I40">
        <f>$X$8*H40/$W$8</f>
        <v>0.7389331504913178</v>
      </c>
      <c r="J40">
        <f>I40/(2/0.2)*3</f>
        <v>0.22167994514739536</v>
      </c>
      <c r="K40">
        <v>8.2122136813563229E-2</v>
      </c>
      <c r="L40" s="1">
        <f t="shared" si="0"/>
        <v>2.6993932908816234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2.84</v>
      </c>
      <c r="G41">
        <v>1230</v>
      </c>
      <c r="H41">
        <v>1229.7090000000001</v>
      </c>
      <c r="I41">
        <f>$X$8*H41/$W$8</f>
        <v>0.51727562592542731</v>
      </c>
      <c r="J41">
        <f>I41/(2/0.2)*3</f>
        <v>0.15518268777762817</v>
      </c>
      <c r="K41">
        <v>0.10224691443219328</v>
      </c>
      <c r="L41" s="1">
        <f t="shared" si="0"/>
        <v>1.5177248980020823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2.84</v>
      </c>
      <c r="G42">
        <v>3084</v>
      </c>
      <c r="H42">
        <v>3084.3629999999998</v>
      </c>
      <c r="I42">
        <f>$X$8*H42/$W$8</f>
        <v>1.2974336216179834</v>
      </c>
      <c r="J42">
        <f>I42/(2/0.2)*3</f>
        <v>0.38923008648539498</v>
      </c>
      <c r="K42">
        <v>0.12639664757454935</v>
      </c>
      <c r="L42" s="1">
        <f t="shared" si="0"/>
        <v>3.0794336238690603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2.83</v>
      </c>
      <c r="G43">
        <v>809</v>
      </c>
      <c r="H43">
        <v>809.39499999999998</v>
      </c>
      <c r="I43">
        <f>$X$8*H43/$W$8</f>
        <v>0.34047104253600752</v>
      </c>
      <c r="J43">
        <f>I43/(2/0.2)*3</f>
        <v>0.10214131276080227</v>
      </c>
      <c r="K43">
        <v>0.15054638071690538</v>
      </c>
      <c r="L43" s="1">
        <f t="shared" si="0"/>
        <v>0.67847072958116261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2.84</v>
      </c>
      <c r="G44">
        <v>1488</v>
      </c>
      <c r="H44">
        <v>1487.796</v>
      </c>
      <c r="I44">
        <f>$X$8*H44/$W$8</f>
        <v>0.62583961502221019</v>
      </c>
      <c r="J44">
        <f>I44/(2/0.2)*3</f>
        <v>0.18775188450666308</v>
      </c>
      <c r="K44">
        <v>0.14893639850741497</v>
      </c>
      <c r="L44" s="1">
        <f t="shared" si="0"/>
        <v>1.2606178636534953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2.84</v>
      </c>
      <c r="G45">
        <v>1318</v>
      </c>
      <c r="H45">
        <v>1318.3320000000001</v>
      </c>
      <c r="I45">
        <f>$X$8*H45/$W$8</f>
        <v>0.55455478530084801</v>
      </c>
      <c r="J45">
        <f>I45/(2/0.2)*3</f>
        <v>0.16636643559025438</v>
      </c>
      <c r="K45">
        <v>4.0262599366812736E-2</v>
      </c>
      <c r="L45" s="1">
        <f t="shared" si="0"/>
        <v>4.1320341509640652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2.84</v>
      </c>
      <c r="G46">
        <v>1095</v>
      </c>
      <c r="H46">
        <v>1095.0930000000001</v>
      </c>
      <c r="I46">
        <f>$X$8*H46/$W$8</f>
        <v>0.46064956589042938</v>
      </c>
      <c r="J46">
        <f>I46/(2/0.2)*3</f>
        <v>0.1381948697671288</v>
      </c>
      <c r="K46">
        <v>0.11351678989862611</v>
      </c>
      <c r="L46" s="1">
        <f t="shared" si="0"/>
        <v>1.2173958573929105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2.83</v>
      </c>
      <c r="G47">
        <v>746</v>
      </c>
      <c r="H47">
        <v>746.303</v>
      </c>
      <c r="I47">
        <f>$X$8*H47/$W$8</f>
        <v>0.31393146789608289</v>
      </c>
      <c r="J47">
        <f>I47/(2/0.2)*3</f>
        <v>9.4179440368824877E-2</v>
      </c>
      <c r="K47">
        <v>0.10144192332744809</v>
      </c>
      <c r="L47" s="1">
        <f t="shared" si="0"/>
        <v>0.92840747966518367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2.84</v>
      </c>
      <c r="G48">
        <v>884</v>
      </c>
      <c r="H48">
        <v>884.19500000000005</v>
      </c>
      <c r="I48">
        <f>$X$8*H48/$W$8</f>
        <v>0.37193557342845607</v>
      </c>
      <c r="J48">
        <f>I48/(2/0.2)*3</f>
        <v>0.11158067202853683</v>
      </c>
      <c r="K48">
        <v>8.3732119023053622E-2</v>
      </c>
      <c r="L48" s="1">
        <f t="shared" si="0"/>
        <v>1.3325910454722372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2.84</v>
      </c>
      <c r="G49">
        <v>1876</v>
      </c>
      <c r="H49">
        <v>1875.5550000000001</v>
      </c>
      <c r="I49">
        <f>$X$8*H49/$W$8</f>
        <v>0.78894997644366671</v>
      </c>
      <c r="J49">
        <f>I49/(2/0.2)*3</f>
        <v>0.2366849929331</v>
      </c>
      <c r="K49">
        <v>0.22299558014397355</v>
      </c>
      <c r="L49" s="1">
        <f t="shared" si="0"/>
        <v>1.0613887180198285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2.84</v>
      </c>
      <c r="G50">
        <v>2095</v>
      </c>
      <c r="H50">
        <v>2094.6849999999999</v>
      </c>
      <c r="I50">
        <f>$X$8*H50/$W$8</f>
        <v>0.88112674989904416</v>
      </c>
      <c r="J50">
        <f>I50/(2/0.2)*3</f>
        <v>0.26433802496971326</v>
      </c>
      <c r="K50">
        <v>0.1175417454223521</v>
      </c>
      <c r="L50" s="1">
        <f t="shared" si="0"/>
        <v>2.2488863341265812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2.84</v>
      </c>
      <c r="G51">
        <v>1767</v>
      </c>
      <c r="H51">
        <v>1767.0340000000001</v>
      </c>
      <c r="I51">
        <f>$X$8*H51/$W$8</f>
        <v>0.74330074707228422</v>
      </c>
      <c r="J51">
        <f>I51/(2/0.2)*3</f>
        <v>0.22299022412168529</v>
      </c>
      <c r="K51">
        <v>0.11351678989862611</v>
      </c>
      <c r="L51" s="1">
        <f t="shared" si="0"/>
        <v>1.9643809899911919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2.83</v>
      </c>
      <c r="G52">
        <v>1106</v>
      </c>
      <c r="H52">
        <v>1106.355</v>
      </c>
      <c r="I52">
        <f>$X$8*H52/$W$8</f>
        <v>0.46538691277426297</v>
      </c>
      <c r="J52">
        <f>I52/(2/0.2)*3</f>
        <v>0.13961607383227889</v>
      </c>
      <c r="K52">
        <v>8.4537110127798853E-2</v>
      </c>
      <c r="L52" s="1">
        <f t="shared" si="0"/>
        <v>1.6515359186186338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2.83</v>
      </c>
      <c r="G53">
        <v>2049</v>
      </c>
      <c r="H53">
        <v>2049.3829999999998</v>
      </c>
      <c r="I53">
        <f>$X$8*H53/$W$8</f>
        <v>0.86207051756629405</v>
      </c>
      <c r="J53">
        <f>I53/(2/0.2)*3</f>
        <v>0.25862115526988821</v>
      </c>
      <c r="K53">
        <v>0.1078818521654097</v>
      </c>
      <c r="L53" s="1">
        <f t="shared" si="0"/>
        <v>2.3972628396605362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2.83</v>
      </c>
      <c r="G54">
        <v>1816</v>
      </c>
      <c r="H54">
        <v>1816.027</v>
      </c>
      <c r="I54">
        <f>$X$8*H54/$W$8</f>
        <v>0.76390959415802928</v>
      </c>
      <c r="J54">
        <f>I54/(2/0.2)*3</f>
        <v>0.22917287824740878</v>
      </c>
      <c r="K54">
        <v>0.14813140740266978</v>
      </c>
      <c r="L54" s="1">
        <f t="shared" si="0"/>
        <v>1.547091749587187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2.83</v>
      </c>
      <c r="G55">
        <v>2058</v>
      </c>
      <c r="H55">
        <v>2057.605</v>
      </c>
      <c r="I55">
        <f>$X$8*H55/$W$8</f>
        <v>0.86552909207161122</v>
      </c>
      <c r="J55">
        <f>I55/(2/0.2)*3</f>
        <v>0.25965872762148334</v>
      </c>
      <c r="K55">
        <v>6.6022314718659172E-2</v>
      </c>
      <c r="L55" s="1">
        <f t="shared" si="0"/>
        <v>3.9328934274414165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2.83</v>
      </c>
      <c r="G56">
        <v>1694</v>
      </c>
      <c r="H56">
        <v>1694.3779999999999</v>
      </c>
      <c r="I56">
        <f>$X$8*H56/$W$8</f>
        <v>0.71273808722573684</v>
      </c>
      <c r="J56">
        <f>I56/(2/0.2)*3</f>
        <v>0.21382142616772107</v>
      </c>
      <c r="K56">
        <v>0.22621554456295434</v>
      </c>
      <c r="L56" s="1">
        <f t="shared" si="0"/>
        <v>0.94521102243800903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2.84</v>
      </c>
      <c r="G57">
        <v>2275</v>
      </c>
      <c r="H57">
        <v>2274.6309999999999</v>
      </c>
      <c r="I57">
        <f>$X$8*H57/$W$8</f>
        <v>0.95682082043343641</v>
      </c>
      <c r="J57">
        <f>I57/(2/0.2)*3</f>
        <v>0.28704624613003094</v>
      </c>
      <c r="K57">
        <v>0.21897062462024752</v>
      </c>
      <c r="L57" s="1">
        <f t="shared" si="0"/>
        <v>1.3108892876742915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2.84</v>
      </c>
      <c r="G58">
        <v>2969</v>
      </c>
      <c r="H58">
        <v>2968.549</v>
      </c>
      <c r="I58">
        <f>$X$8*H58/$W$8</f>
        <v>1.2487166004845873</v>
      </c>
      <c r="J58">
        <f>I58/(2/0.2)*3</f>
        <v>0.3746149801453762</v>
      </c>
      <c r="K58">
        <v>0.11271179879388092</v>
      </c>
      <c r="L58" s="1">
        <f t="shared" si="0"/>
        <v>3.3236536383421988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2.84</v>
      </c>
      <c r="G59">
        <v>3518</v>
      </c>
      <c r="H59">
        <v>3518.4560000000001</v>
      </c>
      <c r="I59">
        <f>$X$8*H59/$W$8</f>
        <v>1.4800343249427916</v>
      </c>
      <c r="J59">
        <f>I59/(2/0.2)*3</f>
        <v>0.44401029748283749</v>
      </c>
      <c r="K59">
        <v>9.1782030070505644E-2</v>
      </c>
      <c r="L59" s="1">
        <f t="shared" si="0"/>
        <v>4.8376604564287273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2.83</v>
      </c>
      <c r="G60">
        <v>1497</v>
      </c>
      <c r="H60">
        <v>1496.682</v>
      </c>
      <c r="I60">
        <f>$X$8*H60/$W$8</f>
        <v>0.62957750033651905</v>
      </c>
      <c r="J60">
        <f>I60/(2/0.2)*3</f>
        <v>0.18887325010095574</v>
      </c>
      <c r="K60">
        <v>0.16584121170706426</v>
      </c>
      <c r="L60" s="1">
        <f t="shared" si="0"/>
        <v>1.1388800657979659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2.83</v>
      </c>
      <c r="G61">
        <v>1582</v>
      </c>
      <c r="H61">
        <v>1582.271</v>
      </c>
      <c r="I61">
        <f>$X$8*H61/$W$8</f>
        <v>0.66558041122627531</v>
      </c>
      <c r="J61">
        <f>I61/(2/0.2)*3</f>
        <v>0.19967412336788259</v>
      </c>
      <c r="K61">
        <v>0.20850574025855992</v>
      </c>
      <c r="L61" s="1">
        <f t="shared" si="0"/>
        <v>0.9576432913562688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2.84</v>
      </c>
      <c r="G62">
        <v>1701</v>
      </c>
      <c r="H62">
        <v>1700.55</v>
      </c>
      <c r="I62">
        <f>$X$8*H62/$W$8</f>
        <v>0.71533433167317262</v>
      </c>
      <c r="J62">
        <f>I62/(2/0.2)*3</f>
        <v>0.21460029950195181</v>
      </c>
      <c r="K62">
        <v>0.15457133624063138</v>
      </c>
      <c r="L62" s="1">
        <f t="shared" si="0"/>
        <v>1.3883576652780525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2.82</v>
      </c>
      <c r="G63">
        <v>1577</v>
      </c>
      <c r="H63">
        <v>1577.385</v>
      </c>
      <c r="I63">
        <f>$X$8*H63/$W$8</f>
        <v>0.6635251211468568</v>
      </c>
      <c r="J63">
        <f>I63/(2/0.2)*3</f>
        <v>0.19905753634405704</v>
      </c>
      <c r="K63">
        <v>0.22863051787718996</v>
      </c>
      <c r="L63" s="1">
        <f t="shared" si="0"/>
        <v>0.87065164437488529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2.85</v>
      </c>
      <c r="G64">
        <v>999</v>
      </c>
      <c r="H64">
        <v>998.83399999999995</v>
      </c>
      <c r="I64">
        <f>$X$8*H64/$W$8</f>
        <v>0.42015833221160309</v>
      </c>
      <c r="J64">
        <f>I64/(2/0.2)*3</f>
        <v>0.12604749966348092</v>
      </c>
      <c r="K64">
        <v>0.19079593595416544</v>
      </c>
      <c r="L64" s="1">
        <f t="shared" si="0"/>
        <v>0.66064038016910942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2.84</v>
      </c>
      <c r="G65">
        <v>1628</v>
      </c>
      <c r="H65">
        <v>1628</v>
      </c>
      <c r="I65">
        <f>$X$8*H65/$W$8</f>
        <v>0.68481626060034995</v>
      </c>
      <c r="J65">
        <f>I65/(2/0.2)*3</f>
        <v>0.20544487818010498</v>
      </c>
      <c r="K65">
        <v>0.13122659420302052</v>
      </c>
      <c r="L65" s="1">
        <f t="shared" si="0"/>
        <v>1.5655734984805094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2.84</v>
      </c>
      <c r="G66">
        <v>1738</v>
      </c>
      <c r="H66">
        <v>1737.6949999999999</v>
      </c>
      <c r="I66">
        <f>$X$8*H66/$W$8</f>
        <v>0.73095933167317262</v>
      </c>
      <c r="J66">
        <f>I66/(2/0.2)*3</f>
        <v>0.21928779950195176</v>
      </c>
      <c r="K66">
        <v>0.13927650525047255</v>
      </c>
      <c r="L66" s="1">
        <f t="shared" si="0"/>
        <v>1.5744780435694321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2.83</v>
      </c>
      <c r="G67">
        <v>1082</v>
      </c>
      <c r="H67">
        <v>1081.5219999999999</v>
      </c>
      <c r="I67">
        <f>$X$8*H67/$W$8</f>
        <v>0.45494094090725529</v>
      </c>
      <c r="J67">
        <f>I67/(2/0.2)*3</f>
        <v>0.1364822822721766</v>
      </c>
      <c r="K67">
        <v>9.7416967803722054E-2</v>
      </c>
      <c r="L67" s="1">
        <f t="shared" si="0"/>
        <v>1.4010113982110821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2.84</v>
      </c>
      <c r="G68">
        <v>1100</v>
      </c>
      <c r="H68">
        <v>1099.836</v>
      </c>
      <c r="I68">
        <f>$X$8*H68/$W$8</f>
        <v>0.46264470319020051</v>
      </c>
      <c r="J68">
        <f>I68/(2/0.2)*3</f>
        <v>0.13879341095706016</v>
      </c>
      <c r="K68">
        <v>7.4877216870856411E-2</v>
      </c>
      <c r="L68" s="1">
        <f t="shared" si="0"/>
        <v>1.8536133787723768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2.84</v>
      </c>
      <c r="G69">
        <v>1490</v>
      </c>
      <c r="H69">
        <v>1490.1880000000001</v>
      </c>
      <c r="I69">
        <f>$X$8*H69/$W$8</f>
        <v>0.62684580697267467</v>
      </c>
      <c r="J69">
        <f>I69/(2/0.2)*3</f>
        <v>0.18805374209180242</v>
      </c>
      <c r="K69">
        <v>0.14491144298368897</v>
      </c>
      <c r="L69" s="1">
        <f t="shared" si="0"/>
        <v>1.2977149231270129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2.84</v>
      </c>
      <c r="G70">
        <v>998</v>
      </c>
      <c r="H70">
        <v>998.08600000000001</v>
      </c>
      <c r="I70">
        <f>$X$8*H70/$W$8</f>
        <v>0.41984368690267865</v>
      </c>
      <c r="J70">
        <f>I70/(2/0.2)*3</f>
        <v>0.12595310607080359</v>
      </c>
      <c r="K70">
        <v>0.14571643408843418</v>
      </c>
      <c r="L70" s="1">
        <f t="shared" si="0"/>
        <v>0.86437131720066407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2.84</v>
      </c>
      <c r="G71">
        <v>648</v>
      </c>
      <c r="H71">
        <v>647.76300000000003</v>
      </c>
      <c r="I71">
        <f>$X$8*H71/$W$8</f>
        <v>0.27248073428456049</v>
      </c>
      <c r="J71">
        <f>I71/(2/0.2)*3</f>
        <v>8.1744220285368152E-2</v>
      </c>
      <c r="K71">
        <v>0.26405012648597881</v>
      </c>
      <c r="L71" s="1">
        <f t="shared" si="0"/>
        <v>0.30957841745138798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2.84</v>
      </c>
      <c r="G72">
        <v>701</v>
      </c>
      <c r="H72">
        <v>701.31200000000001</v>
      </c>
      <c r="I72">
        <f>$X$8*H72/$W$8</f>
        <v>0.29500605734284557</v>
      </c>
      <c r="J72">
        <f>I72/(2/0.2)*3</f>
        <v>8.8501817202853661E-2</v>
      </c>
      <c r="K72">
        <v>0.17469611385926145</v>
      </c>
      <c r="L72" s="1">
        <f t="shared" si="0"/>
        <v>0.5066043843090432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2.85</v>
      </c>
      <c r="G73">
        <v>54</v>
      </c>
      <c r="H73">
        <v>53.636000000000003</v>
      </c>
      <c r="I73">
        <f>$X$8*H73/$W$8</f>
        <v>2.2561919504643962E-2</v>
      </c>
      <c r="J73">
        <f>I73/(2/0.2)*3</f>
        <v>6.7685758513931892E-3</v>
      </c>
      <c r="K73">
        <v>0.1175417454223521</v>
      </c>
      <c r="L73" s="1">
        <f t="shared" ref="L73" si="1">J73/K73</f>
        <v>5.7584442251323385E-2</v>
      </c>
    </row>
    <row r="74" spans="1:12" x14ac:dyDescent="0.3">
      <c r="A74">
        <v>34</v>
      </c>
      <c r="B74" t="s">
        <v>235</v>
      </c>
      <c r="C74" t="s">
        <v>236</v>
      </c>
      <c r="D74" t="s">
        <v>237</v>
      </c>
      <c r="E74" t="s">
        <v>238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014A-A5B9-4F02-A874-5DF7D70B5169}">
  <dimension ref="A1:AB74"/>
  <sheetViews>
    <sheetView topLeftCell="A5" workbookViewId="0">
      <selection activeCell="L5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258</v>
      </c>
      <c r="P3" t="s">
        <v>89</v>
      </c>
    </row>
    <row r="5" spans="1:28" x14ac:dyDescent="0.3">
      <c r="A5" t="s">
        <v>259</v>
      </c>
      <c r="P5" t="s">
        <v>90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3.04</v>
      </c>
      <c r="G8">
        <v>4543</v>
      </c>
      <c r="H8">
        <v>4542.7049999999999</v>
      </c>
      <c r="I8" cm="1">
        <f t="array" ref="I8">TREND($X$8:$X$11,$W$8:$W$11,H8)</f>
        <v>2.1172430824131672</v>
      </c>
      <c r="J8">
        <f>I8/(2/0.2)*3</f>
        <v>0.63517292472395015</v>
      </c>
      <c r="K8">
        <v>0.14813140740266978</v>
      </c>
      <c r="L8" s="1">
        <f>J8/K8</f>
        <v>4.2879017749243529</v>
      </c>
      <c r="P8">
        <v>1</v>
      </c>
      <c r="Q8" t="s">
        <v>80</v>
      </c>
      <c r="R8" t="s">
        <v>39</v>
      </c>
      <c r="S8" t="s">
        <v>12</v>
      </c>
      <c r="T8" t="s">
        <v>13</v>
      </c>
      <c r="U8">
        <v>2.62</v>
      </c>
      <c r="V8">
        <v>2377</v>
      </c>
      <c r="W8">
        <v>2377.2800000000002</v>
      </c>
      <c r="X8">
        <v>1</v>
      </c>
      <c r="Y8">
        <v>1.0569999999999999</v>
      </c>
      <c r="Z8">
        <v>5.7</v>
      </c>
      <c r="AA8">
        <v>15</v>
      </c>
      <c r="AB8">
        <v>239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3.04</v>
      </c>
      <c r="G9">
        <v>6501</v>
      </c>
      <c r="H9">
        <v>6501.0439999999999</v>
      </c>
      <c r="I9" cm="1">
        <f t="array" ref="I9">TREND($X$8:$X$12,$W$8:$W$12,H9)</f>
        <v>2.9655461705773636</v>
      </c>
      <c r="J9">
        <f>I9/(2/0.2)*3</f>
        <v>0.88966385117320901</v>
      </c>
      <c r="K9">
        <v>0.11673675431760691</v>
      </c>
      <c r="L9" s="1">
        <f t="shared" ref="L9:L72" si="0">J9/K9</f>
        <v>7.6211117601633092</v>
      </c>
      <c r="P9">
        <v>2</v>
      </c>
      <c r="Q9" t="s">
        <v>81</v>
      </c>
      <c r="R9" t="s">
        <v>40</v>
      </c>
      <c r="S9" t="s">
        <v>12</v>
      </c>
      <c r="T9" t="s">
        <v>14</v>
      </c>
      <c r="U9">
        <v>2.63</v>
      </c>
      <c r="V9">
        <v>4621</v>
      </c>
      <c r="W9">
        <v>4621.3090000000002</v>
      </c>
      <c r="X9">
        <v>2</v>
      </c>
      <c r="Y9">
        <v>2.0609999999999999</v>
      </c>
      <c r="Z9">
        <v>3.1</v>
      </c>
      <c r="AA9">
        <v>39</v>
      </c>
      <c r="AB9">
        <v>141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3.04</v>
      </c>
      <c r="G10">
        <v>9660</v>
      </c>
      <c r="H10">
        <v>9659.8019999999997</v>
      </c>
      <c r="I10" cm="1">
        <f t="array" ref="I10">TREND($X$8:$X$12,$W$8:$W$12,H10)</f>
        <v>4.3313417153226892</v>
      </c>
      <c r="J10">
        <f>I10/(2/0.2)*3</f>
        <v>1.2994025145968067</v>
      </c>
      <c r="K10">
        <v>8.6147092337289247E-2</v>
      </c>
      <c r="L10" s="1">
        <f t="shared" si="0"/>
        <v>15.083533051925805</v>
      </c>
      <c r="P10">
        <v>3</v>
      </c>
      <c r="Q10" t="s">
        <v>82</v>
      </c>
      <c r="R10" t="s">
        <v>41</v>
      </c>
      <c r="S10" t="s">
        <v>12</v>
      </c>
      <c r="T10" t="s">
        <v>15</v>
      </c>
      <c r="U10">
        <v>2.62</v>
      </c>
      <c r="V10">
        <v>10049</v>
      </c>
      <c r="W10">
        <v>10049.308999999999</v>
      </c>
      <c r="X10">
        <v>5</v>
      </c>
      <c r="Y10">
        <v>4.4889999999999999</v>
      </c>
      <c r="Z10">
        <v>-10.199999999999999</v>
      </c>
      <c r="AA10">
        <v>84</v>
      </c>
      <c r="AB10">
        <v>232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3.04</v>
      </c>
      <c r="G11">
        <v>11218</v>
      </c>
      <c r="H11">
        <v>11218.496999999999</v>
      </c>
      <c r="I11" cm="1">
        <f t="array" ref="I11">TREND($X$8:$X$12,$W$8:$W$12,H11)</f>
        <v>5.0052960627645691</v>
      </c>
      <c r="J11">
        <f>I11/(2/0.2)*3</f>
        <v>1.5015888188293709</v>
      </c>
      <c r="K11">
        <v>8.9367056756270047E-2</v>
      </c>
      <c r="L11" s="1">
        <f t="shared" si="0"/>
        <v>16.802487105787094</v>
      </c>
      <c r="P11">
        <v>4</v>
      </c>
      <c r="Q11" t="s">
        <v>83</v>
      </c>
      <c r="R11" t="s">
        <v>42</v>
      </c>
      <c r="S11" t="s">
        <v>12</v>
      </c>
      <c r="T11" t="s">
        <v>16</v>
      </c>
      <c r="U11">
        <v>2.62</v>
      </c>
      <c r="V11">
        <v>23145</v>
      </c>
      <c r="W11">
        <v>23144.546999999999</v>
      </c>
      <c r="X11">
        <v>10</v>
      </c>
      <c r="Y11">
        <v>10.347</v>
      </c>
      <c r="Z11">
        <v>3.5</v>
      </c>
      <c r="AA11">
        <v>391</v>
      </c>
      <c r="AB11">
        <v>311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3.04</v>
      </c>
      <c r="G12">
        <v>13332</v>
      </c>
      <c r="H12">
        <v>13331.513000000001</v>
      </c>
      <c r="I12" cm="1">
        <f t="array" ref="I12">TREND($X$8:$X$12,$W$8:$W$12,H12)</f>
        <v>5.9189297880374738</v>
      </c>
      <c r="J12">
        <f>I12/(2/0.2)*3</f>
        <v>1.775678936411242</v>
      </c>
      <c r="K12">
        <v>9.3392012279996037E-2</v>
      </c>
      <c r="L12" s="1">
        <f t="shared" si="0"/>
        <v>19.013177819615102</v>
      </c>
      <c r="P12">
        <v>5</v>
      </c>
      <c r="Q12" t="s">
        <v>84</v>
      </c>
      <c r="R12" t="s">
        <v>43</v>
      </c>
      <c r="S12" t="s">
        <v>12</v>
      </c>
      <c r="T12" t="s">
        <v>17</v>
      </c>
      <c r="U12">
        <v>2.63</v>
      </c>
      <c r="V12">
        <v>45905</v>
      </c>
      <c r="W12">
        <v>45904.684000000001</v>
      </c>
      <c r="X12">
        <v>20</v>
      </c>
      <c r="Y12">
        <v>20.527000000000001</v>
      </c>
      <c r="Z12">
        <v>2.6</v>
      </c>
      <c r="AA12">
        <v>1053</v>
      </c>
      <c r="AB12">
        <v>1672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3.04</v>
      </c>
      <c r="G13">
        <v>9907</v>
      </c>
      <c r="H13">
        <v>9907.4349999999995</v>
      </c>
      <c r="I13" cm="1">
        <f t="array" ref="I13">TREND($X$8:$X$12,$W$8:$W$12,H13)</f>
        <v>4.4384141938512505</v>
      </c>
      <c r="J13">
        <f>I13/(2/0.2)*3</f>
        <v>1.3315242581553752</v>
      </c>
      <c r="K13">
        <v>0.18918595374467503</v>
      </c>
      <c r="L13" s="1">
        <f t="shared" si="0"/>
        <v>7.0381771574458298</v>
      </c>
      <c r="P13">
        <v>6</v>
      </c>
      <c r="Q13" t="s">
        <v>85</v>
      </c>
      <c r="R13" t="s">
        <v>44</v>
      </c>
      <c r="S13" t="s">
        <v>12</v>
      </c>
      <c r="T13" t="s">
        <v>18</v>
      </c>
      <c r="U13">
        <v>2.63</v>
      </c>
      <c r="V13">
        <v>102967</v>
      </c>
      <c r="W13">
        <v>102967.234</v>
      </c>
      <c r="X13">
        <v>50</v>
      </c>
      <c r="Y13">
        <v>46.042000000000002</v>
      </c>
      <c r="Z13">
        <v>-7.9</v>
      </c>
      <c r="AA13">
        <v>773</v>
      </c>
      <c r="AB13">
        <v>1705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3.04</v>
      </c>
      <c r="G14">
        <v>6582</v>
      </c>
      <c r="H14">
        <v>6582.31</v>
      </c>
      <c r="I14" cm="1">
        <f t="array" ref="I14">TREND($X$8:$X$12,$W$8:$W$12,H14)</f>
        <v>3.0006842662273865</v>
      </c>
      <c r="J14">
        <f>I14/(2/0.2)*3</f>
        <v>0.90020527986821586</v>
      </c>
      <c r="K14">
        <v>9.2587021175250833E-2</v>
      </c>
      <c r="L14" s="1">
        <f t="shared" si="0"/>
        <v>9.722802056286989</v>
      </c>
      <c r="P14">
        <v>7</v>
      </c>
      <c r="Q14" t="s">
        <v>86</v>
      </c>
      <c r="R14" t="s">
        <v>45</v>
      </c>
      <c r="S14" t="s">
        <v>12</v>
      </c>
      <c r="T14" t="s">
        <v>19</v>
      </c>
      <c r="U14">
        <v>2.62</v>
      </c>
      <c r="V14">
        <v>229209</v>
      </c>
      <c r="W14">
        <v>229208.75</v>
      </c>
      <c r="X14">
        <v>100</v>
      </c>
      <c r="Y14">
        <v>102.449</v>
      </c>
      <c r="Z14">
        <v>2.4</v>
      </c>
      <c r="AA14">
        <v>1851</v>
      </c>
      <c r="AB14">
        <v>3378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3.04</v>
      </c>
      <c r="G15">
        <v>4955</v>
      </c>
      <c r="H15">
        <v>4954.866</v>
      </c>
      <c r="I15" cm="1">
        <f t="array" ref="I15">TREND($X$8:$X$12,$W$8:$W$12,H15)</f>
        <v>2.2970039701988485</v>
      </c>
      <c r="J15">
        <f>I15/(2/0.2)*3</f>
        <v>0.68910119105965451</v>
      </c>
      <c r="K15">
        <v>0.14974138961216016</v>
      </c>
      <c r="L15" s="1">
        <f t="shared" si="0"/>
        <v>4.6019420071128696</v>
      </c>
      <c r="P15">
        <v>8</v>
      </c>
      <c r="Q15" t="s">
        <v>87</v>
      </c>
      <c r="R15" t="s">
        <v>46</v>
      </c>
      <c r="S15" t="s">
        <v>12</v>
      </c>
      <c r="T15" t="s">
        <v>20</v>
      </c>
      <c r="U15">
        <v>2.63</v>
      </c>
      <c r="V15">
        <v>452068</v>
      </c>
      <c r="W15">
        <v>452067.78100000002</v>
      </c>
      <c r="X15">
        <v>200</v>
      </c>
      <c r="Y15">
        <v>201.899</v>
      </c>
      <c r="Z15">
        <v>0.9</v>
      </c>
      <c r="AA15">
        <v>4509</v>
      </c>
      <c r="AB15">
        <v>2500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3.04</v>
      </c>
      <c r="G16">
        <v>20362</v>
      </c>
      <c r="H16">
        <v>20361.809000000001</v>
      </c>
      <c r="I16" cm="1">
        <f t="array" ref="I16">TREND($X$8:$X$12,$W$8:$W$12,H16)</f>
        <v>8.9587153477545804</v>
      </c>
      <c r="J16">
        <f>I16/(2/0.2)*3</f>
        <v>2.6876146043263738</v>
      </c>
      <c r="K16">
        <v>0.19965083810636269</v>
      </c>
      <c r="L16" s="1">
        <f t="shared" si="0"/>
        <v>13.461574365616059</v>
      </c>
      <c r="P16">
        <v>9</v>
      </c>
      <c r="Q16" t="s">
        <v>88</v>
      </c>
      <c r="R16" t="s">
        <v>47</v>
      </c>
      <c r="S16" t="s">
        <v>12</v>
      </c>
      <c r="T16" t="s">
        <v>21</v>
      </c>
      <c r="U16">
        <v>2.63</v>
      </c>
      <c r="V16">
        <v>1120337</v>
      </c>
      <c r="W16">
        <v>1120336.625</v>
      </c>
      <c r="X16">
        <v>500</v>
      </c>
      <c r="Y16">
        <v>499.12700000000001</v>
      </c>
      <c r="Z16">
        <v>-0.2</v>
      </c>
      <c r="AA16">
        <v>7897</v>
      </c>
      <c r="AB16">
        <v>23521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3.04</v>
      </c>
      <c r="G17">
        <v>24196</v>
      </c>
      <c r="H17">
        <v>24195.583999999999</v>
      </c>
      <c r="I17" cm="1">
        <f t="array" ref="I17">TREND($X$8:$X$12,$W$8:$W$12,H17)</f>
        <v>10.616377256186947</v>
      </c>
      <c r="J17">
        <f>I17/(2/0.2)*3</f>
        <v>3.1849131768560839</v>
      </c>
      <c r="K17">
        <v>0.22058060682973793</v>
      </c>
      <c r="L17" s="1">
        <f t="shared" si="0"/>
        <v>14.43877239541035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3.04</v>
      </c>
      <c r="G18">
        <v>11817</v>
      </c>
      <c r="H18">
        <v>11816.764999999999</v>
      </c>
      <c r="I18" cm="1">
        <f t="array" ref="I18">TREND($X$8:$X$12,$W$8:$W$12,H18)</f>
        <v>5.2639774080793087</v>
      </c>
      <c r="J18">
        <f>I18/(2/0.2)*3</f>
        <v>1.5791932224237928</v>
      </c>
      <c r="K18">
        <v>0.12720163867929454</v>
      </c>
      <c r="L18" s="1">
        <f t="shared" si="0"/>
        <v>12.414881119616021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3.04</v>
      </c>
      <c r="G19">
        <v>11226</v>
      </c>
      <c r="H19">
        <v>11226.391</v>
      </c>
      <c r="I19" cm="1">
        <f t="array" ref="I19">TREND($X$8:$X$12,$W$8:$W$12,H19)</f>
        <v>5.0087092998755534</v>
      </c>
      <c r="J19">
        <f>I19/(2/0.2)*3</f>
        <v>1.502612789962666</v>
      </c>
      <c r="K19">
        <v>0.1594012828691026</v>
      </c>
      <c r="L19" s="1">
        <f t="shared" si="0"/>
        <v>9.426604120850044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3.04</v>
      </c>
      <c r="G20">
        <v>14246</v>
      </c>
      <c r="H20">
        <v>14245.58</v>
      </c>
      <c r="I20" cm="1">
        <f t="array" ref="I20">TREND($X$8:$X$12,$W$8:$W$12,H20)</f>
        <v>6.3141574807568039</v>
      </c>
      <c r="J20">
        <f>I20/(2/0.2)*3</f>
        <v>1.894247244227041</v>
      </c>
      <c r="K20">
        <v>0.14491144298368897</v>
      </c>
      <c r="L20" s="1">
        <f t="shared" si="0"/>
        <v>13.071757517729328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3.04</v>
      </c>
      <c r="G21">
        <v>24952</v>
      </c>
      <c r="H21">
        <v>24952.391</v>
      </c>
      <c r="I21" cm="1">
        <f t="array" ref="I21">TREND($X$8:$X$12,$W$8:$W$12,H21)</f>
        <v>10.943608284594973</v>
      </c>
      <c r="J21">
        <f>I21/(2/0.2)*3</f>
        <v>3.2830824853784915</v>
      </c>
      <c r="K21">
        <v>0.24553533107683917</v>
      </c>
      <c r="L21" s="1">
        <f t="shared" si="0"/>
        <v>13.37112044519192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3.04</v>
      </c>
      <c r="G22">
        <v>13810</v>
      </c>
      <c r="H22">
        <v>13810.343000000001</v>
      </c>
      <c r="I22" cm="1">
        <f t="array" ref="I22">TREND($X$8:$X$12,$W$8:$W$12,H22)</f>
        <v>6.1259680862199888</v>
      </c>
      <c r="J22">
        <f>I22/(2/0.2)*3</f>
        <v>1.8377904258659965</v>
      </c>
      <c r="K22">
        <v>0.3002747261995129</v>
      </c>
      <c r="L22" s="1">
        <f t="shared" si="0"/>
        <v>6.1203633390207646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3.04</v>
      </c>
      <c r="G23">
        <v>4506</v>
      </c>
      <c r="H23">
        <v>4505.5290000000005</v>
      </c>
      <c r="I23" cm="1">
        <f t="array" ref="I23">TREND($X$8:$X$12,$W$8:$W$12,H23)</f>
        <v>2.1027179651648353</v>
      </c>
      <c r="J23">
        <f>I23/(2/0.2)*3</f>
        <v>0.6308153895494506</v>
      </c>
      <c r="K23">
        <v>0.17147614944028067</v>
      </c>
      <c r="L23" s="1">
        <f t="shared" si="0"/>
        <v>3.6787354486819885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3.04</v>
      </c>
      <c r="G24">
        <v>10454</v>
      </c>
      <c r="H24">
        <v>10454.205</v>
      </c>
      <c r="I24" cm="1">
        <f t="array" ref="I24">TREND($X$8:$X$12,$W$8:$W$12,H24)</f>
        <v>4.6748286421883503</v>
      </c>
      <c r="J24">
        <f>I24/(2/0.2)*3</f>
        <v>1.4024485926565049</v>
      </c>
      <c r="K24">
        <v>0.18113604269722305</v>
      </c>
      <c r="L24" s="1">
        <f t="shared" si="0"/>
        <v>7.7425153590263651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3.04</v>
      </c>
      <c r="G25">
        <v>11213</v>
      </c>
      <c r="H25">
        <v>11213.334000000001</v>
      </c>
      <c r="I25" cm="1">
        <f t="array" ref="I25">TREND($X$8:$X$12,$W$8:$W$12,H25)</f>
        <v>5.0030636656016592</v>
      </c>
      <c r="J25">
        <f>I25/(2/0.2)*3</f>
        <v>1.5009190996804977</v>
      </c>
      <c r="K25">
        <v>8.2927127918308433E-2</v>
      </c>
      <c r="L25" s="1">
        <f t="shared" si="0"/>
        <v>18.099253372901739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3.04</v>
      </c>
      <c r="G26">
        <v>21923</v>
      </c>
      <c r="H26">
        <v>21923.365000000002</v>
      </c>
      <c r="I26" cm="1">
        <f t="array" ref="I26">TREND($X$8:$X$12,$W$8:$W$12,H26)</f>
        <v>9.6339067450285505</v>
      </c>
      <c r="J26">
        <f>I26/(2/0.2)*3</f>
        <v>2.8901720235085655</v>
      </c>
      <c r="K26">
        <v>0.11593176321286171</v>
      </c>
      <c r="L26" s="1">
        <f t="shared" si="0"/>
        <v>24.929941056808872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3.04</v>
      </c>
      <c r="G27">
        <v>14121</v>
      </c>
      <c r="H27">
        <v>14121.18</v>
      </c>
      <c r="I27" cm="1">
        <f t="array" ref="I27">TREND($X$8:$X$12,$W$8:$W$12,H27)</f>
        <v>6.2603689455900327</v>
      </c>
      <c r="J27">
        <f>I27/(2/0.2)*3</f>
        <v>1.8781106836770096</v>
      </c>
      <c r="K27">
        <v>0.17469611385926145</v>
      </c>
      <c r="L27" s="1">
        <f t="shared" si="0"/>
        <v>10.750729608044125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3.04</v>
      </c>
      <c r="G28">
        <v>11097</v>
      </c>
      <c r="H28">
        <v>11096.575000000001</v>
      </c>
      <c r="I28" cm="1">
        <f t="array" ref="I28">TREND($X$8:$X$12,$W$8:$W$12,H28)</f>
        <v>4.9525789744639015</v>
      </c>
      <c r="J28">
        <f>I28/(2/0.2)*3</f>
        <v>1.4857736923391704</v>
      </c>
      <c r="K28">
        <v>0.17952606048773259</v>
      </c>
      <c r="L28" s="1">
        <f t="shared" si="0"/>
        <v>8.2760892112412652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3.04</v>
      </c>
      <c r="G29">
        <v>22781</v>
      </c>
      <c r="H29">
        <v>22781.484</v>
      </c>
      <c r="I29" cm="1">
        <f t="array" ref="I29">TREND($X$8:$X$12,$W$8:$W$12,H29)</f>
        <v>10.004943433201975</v>
      </c>
      <c r="J29">
        <f>I29/(2/0.2)*3</f>
        <v>3.0014830299605921</v>
      </c>
      <c r="K29">
        <v>0.19723586479212707</v>
      </c>
      <c r="L29" s="1">
        <f t="shared" si="0"/>
        <v>15.217734528778259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3.04</v>
      </c>
      <c r="G30">
        <v>17633</v>
      </c>
      <c r="H30">
        <v>17633.141</v>
      </c>
      <c r="I30" cm="1">
        <f t="array" ref="I30">TREND($X$8:$X$12,$W$8:$W$12,H30)</f>
        <v>7.7788837185227298</v>
      </c>
      <c r="J30">
        <f>I30/(2/0.2)*3</f>
        <v>2.3336651155568191</v>
      </c>
      <c r="K30">
        <v>0.28417490410460888</v>
      </c>
      <c r="L30" s="1">
        <f t="shared" si="0"/>
        <v>8.2120732050911975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3.04</v>
      </c>
      <c r="G31">
        <v>8705</v>
      </c>
      <c r="H31">
        <v>8704.5040000000008</v>
      </c>
      <c r="I31" cm="1">
        <f t="array" ref="I31">TREND($X$8:$X$12,$W$8:$W$12,H31)</f>
        <v>3.9182864093118717</v>
      </c>
      <c r="J31">
        <f>I31/(2/0.2)*3</f>
        <v>1.1754859227935617</v>
      </c>
      <c r="K31">
        <v>0.17872106938298743</v>
      </c>
      <c r="L31" s="1">
        <f t="shared" si="0"/>
        <v>6.5772095413919729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3.04</v>
      </c>
      <c r="G32">
        <v>23757</v>
      </c>
      <c r="H32">
        <v>23757.192999999999</v>
      </c>
      <c r="I32" cm="1">
        <f t="array" ref="I32">TREND($X$8:$X$12,$W$8:$W$12,H32)</f>
        <v>10.426824123387142</v>
      </c>
      <c r="J32">
        <f>I32/(2/0.2)*3</f>
        <v>3.1280472370161423</v>
      </c>
      <c r="K32">
        <v>0.19884584700161748</v>
      </c>
      <c r="L32" s="1">
        <f t="shared" si="0"/>
        <v>15.731016182554207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3.04</v>
      </c>
      <c r="G33">
        <v>18180</v>
      </c>
      <c r="H33">
        <v>18179.990000000002</v>
      </c>
      <c r="I33" cm="1">
        <f t="array" ref="I33">TREND($X$8:$X$12,$W$8:$W$12,H33)</f>
        <v>8.0153323251739632</v>
      </c>
      <c r="J33">
        <f>I33/(2/0.2)*3</f>
        <v>2.4045996975521886</v>
      </c>
      <c r="K33">
        <v>0.17469611385926145</v>
      </c>
      <c r="L33" s="1">
        <f t="shared" si="0"/>
        <v>13.764471598317181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3.04</v>
      </c>
      <c r="G34">
        <v>10806</v>
      </c>
      <c r="H34">
        <v>10805.749</v>
      </c>
      <c r="I34" cm="1">
        <f t="array" ref="I34">TREND($X$8:$X$12,$W$8:$W$12,H34)</f>
        <v>4.8268305457789236</v>
      </c>
      <c r="J34">
        <f>I34/(2/0.2)*3</f>
        <v>1.448049163733677</v>
      </c>
      <c r="K34">
        <v>0.24875529549582001</v>
      </c>
      <c r="L34" s="1">
        <f t="shared" si="0"/>
        <v>5.8211792470484696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3.04</v>
      </c>
      <c r="G35">
        <v>15223</v>
      </c>
      <c r="H35">
        <v>15222.950999999999</v>
      </c>
      <c r="I35" cm="1">
        <f t="array" ref="I35">TREND($X$8:$X$12,$W$8:$W$12,H35)</f>
        <v>6.7367567926899374</v>
      </c>
      <c r="J35">
        <f>I35/(2/0.2)*3</f>
        <v>2.0210270378069812</v>
      </c>
      <c r="K35">
        <v>0.18274602490671343</v>
      </c>
      <c r="L35" s="1">
        <f t="shared" si="0"/>
        <v>11.059212033961654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3.04</v>
      </c>
      <c r="G36">
        <v>25199</v>
      </c>
      <c r="H36">
        <v>25199.127</v>
      </c>
      <c r="I36" cm="1">
        <f t="array" ref="I36">TREND($X$8:$X$12,$W$8:$W$12,H36)</f>
        <v>11.050292914923817</v>
      </c>
      <c r="J36">
        <f>I36/(2/0.2)*3</f>
        <v>3.3150878744771455</v>
      </c>
      <c r="K36">
        <v>0.18113604269722305</v>
      </c>
      <c r="L36" s="1">
        <f t="shared" si="0"/>
        <v>18.301646790520106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3.04</v>
      </c>
      <c r="G37">
        <v>15891</v>
      </c>
      <c r="H37">
        <v>15890.713</v>
      </c>
      <c r="I37" cm="1">
        <f t="array" ref="I37">TREND($X$8:$X$12,$W$8:$W$12,H37)</f>
        <v>7.0254862124651245</v>
      </c>
      <c r="J37">
        <f>I37/(2/0.2)*3</f>
        <v>2.1076458637395374</v>
      </c>
      <c r="K37">
        <v>0.12156670094607813</v>
      </c>
      <c r="L37" s="1">
        <f t="shared" si="0"/>
        <v>17.337361689813399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3.04</v>
      </c>
      <c r="G38">
        <v>18674</v>
      </c>
      <c r="H38">
        <v>18673.928</v>
      </c>
      <c r="I38" cm="1">
        <f t="array" ref="I38">TREND($X$8:$X$12,$W$8:$W$12,H38)</f>
        <v>8.2289030766466666</v>
      </c>
      <c r="J38">
        <f>I38/(2/0.2)*3</f>
        <v>2.4686709229939998</v>
      </c>
      <c r="K38">
        <v>8.8562065651524843E-2</v>
      </c>
      <c r="L38" s="1">
        <f t="shared" si="0"/>
        <v>27.875037747061569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3.04</v>
      </c>
      <c r="G39">
        <v>27246</v>
      </c>
      <c r="H39">
        <v>27246.398000000001</v>
      </c>
      <c r="I39" cm="1">
        <f t="array" ref="I39">TREND($X$8:$X$12,$W$8:$W$12,H39)</f>
        <v>11.935499572314574</v>
      </c>
      <c r="J39">
        <f>I39/(2/0.2)*3</f>
        <v>3.580649871694372</v>
      </c>
      <c r="K39">
        <v>0.13766652304098212</v>
      </c>
      <c r="L39" s="1">
        <f t="shared" si="0"/>
        <v>26.009590368084215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3.04</v>
      </c>
      <c r="G40">
        <v>16116</v>
      </c>
      <c r="H40">
        <v>16115.921</v>
      </c>
      <c r="I40" cm="1">
        <f t="array" ref="I40">TREND($X$8:$X$12,$W$8:$W$12,H40)</f>
        <v>7.122862486000801</v>
      </c>
      <c r="J40">
        <f>I40/(2/0.2)*3</f>
        <v>2.1368587458002404</v>
      </c>
      <c r="K40">
        <v>8.2122136813563229E-2</v>
      </c>
      <c r="L40" s="1">
        <f t="shared" si="0"/>
        <v>26.020496162337054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3.04</v>
      </c>
      <c r="G41">
        <v>11854</v>
      </c>
      <c r="H41">
        <v>11853.844999999999</v>
      </c>
      <c r="I41" cm="1">
        <f t="array" ref="I41">TREND($X$8:$X$12,$W$8:$W$12,H41)</f>
        <v>5.2800101965357706</v>
      </c>
      <c r="J41">
        <f>I41/(2/0.2)*3</f>
        <v>1.584003058960731</v>
      </c>
      <c r="K41">
        <v>0.10224691443219328</v>
      </c>
      <c r="L41" s="1">
        <f t="shared" si="0"/>
        <v>15.4919399549332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3.04</v>
      </c>
      <c r="G42">
        <v>25018</v>
      </c>
      <c r="H42">
        <v>25018.037</v>
      </c>
      <c r="I42" cm="1">
        <f t="array" ref="I42">TREND($X$8:$X$12,$W$8:$W$12,H42)</f>
        <v>10.971992546488524</v>
      </c>
      <c r="J42">
        <f>I42/(2/0.2)*3</f>
        <v>3.2915977639465575</v>
      </c>
      <c r="K42">
        <v>0.12639664757454935</v>
      </c>
      <c r="L42" s="1">
        <f t="shared" si="0"/>
        <v>26.041812240353583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3.04</v>
      </c>
      <c r="G43">
        <v>7564</v>
      </c>
      <c r="H43">
        <v>7563.7619999999997</v>
      </c>
      <c r="I43" cm="1">
        <f t="array" ref="I43">TREND($X$8:$X$12,$W$8:$W$12,H43)</f>
        <v>3.4250481361349223</v>
      </c>
      <c r="J43">
        <f>I43/(2/0.2)*3</f>
        <v>1.0275144408404766</v>
      </c>
      <c r="K43">
        <v>0.15054638071690538</v>
      </c>
      <c r="L43" s="1">
        <f t="shared" si="0"/>
        <v>6.8252350933142925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3.04</v>
      </c>
      <c r="G44">
        <v>13578</v>
      </c>
      <c r="H44">
        <v>13578.138999999999</v>
      </c>
      <c r="I44" cm="1">
        <f t="array" ref="I44">TREND($X$8:$X$12,$W$8:$W$12,H44)</f>
        <v>6.0255668561567655</v>
      </c>
      <c r="J44">
        <f>I44/(2/0.2)*3</f>
        <v>1.8076700568470296</v>
      </c>
      <c r="K44">
        <v>0.14893639850741497</v>
      </c>
      <c r="L44" s="1">
        <f t="shared" si="0"/>
        <v>12.137194634507244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3.04</v>
      </c>
      <c r="G45">
        <v>16590</v>
      </c>
      <c r="H45">
        <v>16590.263999999999</v>
      </c>
      <c r="I45" cm="1">
        <f t="array" ref="I45">TREND($X$8:$X$12,$W$8:$W$12,H45)</f>
        <v>7.3279606784172922</v>
      </c>
      <c r="J45">
        <f>I45/(2/0.2)*3</f>
        <v>2.1983882035251878</v>
      </c>
      <c r="K45">
        <v>4.0262599366812736E-2</v>
      </c>
      <c r="L45" s="1">
        <f t="shared" si="0"/>
        <v>54.601248754377586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3.04</v>
      </c>
      <c r="G46">
        <v>13127</v>
      </c>
      <c r="H46">
        <v>13126.96</v>
      </c>
      <c r="I46" cm="1">
        <f t="array" ref="I46">TREND($X$8:$X$12,$W$8:$W$12,H46)</f>
        <v>5.8304844003046075</v>
      </c>
      <c r="J46">
        <f>I46/(2/0.2)*3</f>
        <v>1.7491453200913822</v>
      </c>
      <c r="K46">
        <v>0.11351678989862611</v>
      </c>
      <c r="L46" s="1">
        <f t="shared" si="0"/>
        <v>15.408692596517408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3.04</v>
      </c>
      <c r="G47">
        <v>8998</v>
      </c>
      <c r="H47">
        <v>8997.77</v>
      </c>
      <c r="I47" cm="1">
        <f t="array" ref="I47">TREND($X$8:$X$12,$W$8:$W$12,H47)</f>
        <v>4.0450898542814713</v>
      </c>
      <c r="J47">
        <f>I47/(2/0.2)*3</f>
        <v>1.2135269562844413</v>
      </c>
      <c r="K47">
        <v>0.10144192332744809</v>
      </c>
      <c r="L47" s="1">
        <f t="shared" si="0"/>
        <v>11.962775512124837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3.04</v>
      </c>
      <c r="G48">
        <v>9546</v>
      </c>
      <c r="H48">
        <v>9545.6849999999995</v>
      </c>
      <c r="I48" cm="1">
        <f t="array" ref="I48">TREND($X$8:$X$12,$W$8:$W$12,H48)</f>
        <v>4.2819993819816418</v>
      </c>
      <c r="J48">
        <f>I48/(2/0.2)*3</f>
        <v>1.2845998145944924</v>
      </c>
      <c r="K48">
        <v>8.3732119023053622E-2</v>
      </c>
      <c r="L48" s="1">
        <f t="shared" si="0"/>
        <v>15.341780783558203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3.04</v>
      </c>
      <c r="G49">
        <v>20417</v>
      </c>
      <c r="H49">
        <v>20416.719000000001</v>
      </c>
      <c r="I49" cm="1">
        <f t="array" ref="I49">TREND($X$8:$X$12,$W$8:$W$12,H49)</f>
        <v>8.9824575379957956</v>
      </c>
      <c r="J49">
        <f>I49/(2/0.2)*3</f>
        <v>2.694737261398739</v>
      </c>
      <c r="K49">
        <v>0.22299558014397355</v>
      </c>
      <c r="L49" s="1">
        <f t="shared" si="0"/>
        <v>12.084263103595706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3.04</v>
      </c>
      <c r="G50">
        <v>21596</v>
      </c>
      <c r="H50">
        <v>21595.528999999999</v>
      </c>
      <c r="I50" cm="1">
        <f t="array" ref="I50">TREND($X$8:$X$12,$W$8:$W$12,H50)</f>
        <v>9.4921557947477329</v>
      </c>
      <c r="J50">
        <f>I50/(2/0.2)*3</f>
        <v>2.84764673842432</v>
      </c>
      <c r="K50">
        <v>0.1175417454223521</v>
      </c>
      <c r="L50" s="1">
        <f t="shared" si="0"/>
        <v>24.226684129898949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3.04</v>
      </c>
      <c r="G51">
        <v>19511</v>
      </c>
      <c r="H51">
        <v>19510.947</v>
      </c>
      <c r="I51" cm="1">
        <f t="array" ref="I51">TREND($X$8:$X$12,$W$8:$W$12,H51)</f>
        <v>8.5908164682604564</v>
      </c>
      <c r="J51">
        <f>I51/(2/0.2)*3</f>
        <v>2.5772449404781366</v>
      </c>
      <c r="K51">
        <v>0.11351678989862611</v>
      </c>
      <c r="L51" s="1">
        <f t="shared" si="0"/>
        <v>22.703645361886057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3.04</v>
      </c>
      <c r="G52">
        <v>7127</v>
      </c>
      <c r="H52">
        <v>7126.9830000000002</v>
      </c>
      <c r="I52" cm="1">
        <f t="array" ref="I52">TREND($X$8:$X$12,$W$8:$W$12,H52)</f>
        <v>3.2361920058969242</v>
      </c>
      <c r="J52">
        <f>I52/(2/0.2)*3</f>
        <v>0.97085760176907721</v>
      </c>
      <c r="K52">
        <v>8.4537110127798853E-2</v>
      </c>
      <c r="L52" s="1">
        <f t="shared" si="0"/>
        <v>11.484395436529409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3.04</v>
      </c>
      <c r="G53">
        <v>15688</v>
      </c>
      <c r="H53">
        <v>15687.644</v>
      </c>
      <c r="I53" cm="1">
        <f t="array" ref="I53">TREND($X$8:$X$12,$W$8:$W$12,H53)</f>
        <v>6.9376824821774958</v>
      </c>
      <c r="J53">
        <f>I53/(2/0.2)*3</f>
        <v>2.0813047446532487</v>
      </c>
      <c r="K53">
        <v>0.1078818521654097</v>
      </c>
      <c r="L53" s="1">
        <f t="shared" si="0"/>
        <v>19.292445419476959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3.04</v>
      </c>
      <c r="G54">
        <v>26171</v>
      </c>
      <c r="H54">
        <v>26171.312999999998</v>
      </c>
      <c r="I54" cm="1">
        <f t="array" ref="I54">TREND($X$8:$X$12,$W$8:$W$12,H54)</f>
        <v>11.470650317252131</v>
      </c>
      <c r="J54">
        <f>I54/(2/0.2)*3</f>
        <v>3.4411950951756394</v>
      </c>
      <c r="K54">
        <v>0.14813140740266978</v>
      </c>
      <c r="L54" s="1">
        <f t="shared" si="0"/>
        <v>23.230691961370095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3.04</v>
      </c>
      <c r="G55">
        <v>18764</v>
      </c>
      <c r="H55">
        <v>18764.131000000001</v>
      </c>
      <c r="I55" cm="1">
        <f t="array" ref="I55">TREND($X$8:$X$12,$W$8:$W$12,H55)</f>
        <v>8.2679053856309785</v>
      </c>
      <c r="J55">
        <f>I55/(2/0.2)*3</f>
        <v>2.4803716156892932</v>
      </c>
      <c r="K55">
        <v>6.6022314718659172E-2</v>
      </c>
      <c r="L55" s="1">
        <f t="shared" si="0"/>
        <v>37.56868607619861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3.04</v>
      </c>
      <c r="G56">
        <v>11073</v>
      </c>
      <c r="H56">
        <v>11072.92</v>
      </c>
      <c r="I56" cm="1">
        <f t="array" ref="I56">TREND($X$8:$X$12,$W$8:$W$12,H56)</f>
        <v>4.942350937491474</v>
      </c>
      <c r="J56">
        <f>I56/(2/0.2)*3</f>
        <v>1.4827052812474424</v>
      </c>
      <c r="K56">
        <v>0.22621554456295434</v>
      </c>
      <c r="L56" s="1">
        <f t="shared" si="0"/>
        <v>6.5543916715007837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3.04</v>
      </c>
      <c r="G57">
        <v>20928</v>
      </c>
      <c r="H57">
        <v>20927.976999999999</v>
      </c>
      <c r="I57" cm="1">
        <f t="array" ref="I57">TREND($X$8:$X$12,$W$8:$W$12,H57)</f>
        <v>9.2035171755544205</v>
      </c>
      <c r="J57">
        <f>I57/(2/0.2)*3</f>
        <v>2.7610551526663265</v>
      </c>
      <c r="K57">
        <v>0.21897062462024752</v>
      </c>
      <c r="L57" s="1">
        <f t="shared" si="0"/>
        <v>12.609249105694976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3.04</v>
      </c>
      <c r="G58">
        <v>36146</v>
      </c>
      <c r="H58">
        <v>36145.586000000003</v>
      </c>
      <c r="I58" cm="1">
        <f t="array" ref="I58">TREND($X$8:$X$12,$W$8:$W$12,H58)</f>
        <v>15.783363613260752</v>
      </c>
      <c r="J58">
        <f>I58/(2/0.2)*3</f>
        <v>4.735009083978226</v>
      </c>
      <c r="K58">
        <v>0.11271179879388092</v>
      </c>
      <c r="L58" s="1">
        <f t="shared" si="0"/>
        <v>42.009879485973457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3.04</v>
      </c>
      <c r="G59">
        <v>33991</v>
      </c>
      <c r="H59">
        <v>33990.940999999999</v>
      </c>
      <c r="I59" cm="1">
        <f t="array" ref="I59">TREND($X$8:$X$12,$W$8:$W$12,H59)</f>
        <v>14.851730185974523</v>
      </c>
      <c r="J59">
        <f>I59/(2/0.2)*3</f>
        <v>4.4555190557923572</v>
      </c>
      <c r="K59">
        <v>9.1782030070505644E-2</v>
      </c>
      <c r="L59" s="1">
        <f t="shared" si="0"/>
        <v>48.544568608579382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3.04</v>
      </c>
      <c r="G60">
        <v>9571</v>
      </c>
      <c r="H60">
        <v>9570.9130000000005</v>
      </c>
      <c r="I60" cm="1">
        <f t="array" ref="I60">TREND($X$8:$X$12,$W$8:$W$12,H60)</f>
        <v>4.2929075585506711</v>
      </c>
      <c r="J60">
        <f>I60/(2/0.2)*3</f>
        <v>1.2878722675652012</v>
      </c>
      <c r="K60">
        <v>0.16584121170706426</v>
      </c>
      <c r="L60" s="1">
        <f t="shared" si="0"/>
        <v>7.76569499407693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3.04</v>
      </c>
      <c r="G61">
        <v>13297</v>
      </c>
      <c r="H61">
        <v>13296.962</v>
      </c>
      <c r="I61" cm="1">
        <f t="array" ref="I61">TREND($X$8:$X$12,$W$8:$W$12,H61)</f>
        <v>5.9039904980169986</v>
      </c>
      <c r="J61">
        <f>I61/(2/0.2)*3</f>
        <v>1.7711971494050998</v>
      </c>
      <c r="K61">
        <v>0.20850574025855992</v>
      </c>
      <c r="L61" s="1">
        <f t="shared" si="0"/>
        <v>8.4947164869835561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3.04</v>
      </c>
      <c r="G62">
        <v>12584</v>
      </c>
      <c r="H62">
        <v>12583.769</v>
      </c>
      <c r="I62" cm="1">
        <f t="array" ref="I62">TREND($X$8:$X$12,$W$8:$W$12,H62)</f>
        <v>5.5956174533128609</v>
      </c>
      <c r="J62">
        <f>I62/(2/0.2)*3</f>
        <v>1.6786852359938584</v>
      </c>
      <c r="K62">
        <v>0.15457133624063138</v>
      </c>
      <c r="L62" s="1">
        <f t="shared" si="0"/>
        <v>10.86026217293314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3.03</v>
      </c>
      <c r="G63">
        <v>18536</v>
      </c>
      <c r="H63">
        <v>18536.330000000002</v>
      </c>
      <c r="I63" cm="1">
        <f t="array" ref="I63">TREND($X$8:$X$12,$W$8:$W$12,H63)</f>
        <v>8.1694079411010296</v>
      </c>
      <c r="J63">
        <f>I63/(2/0.2)*3</f>
        <v>2.4508223823303092</v>
      </c>
      <c r="K63">
        <v>0.22863051787718996</v>
      </c>
      <c r="L63" s="1">
        <f t="shared" si="0"/>
        <v>10.719576743673304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3.03</v>
      </c>
      <c r="G64">
        <v>10351</v>
      </c>
      <c r="H64">
        <v>10351.212</v>
      </c>
      <c r="I64" cm="1">
        <f t="array" ref="I64">TREND($X$8:$X$12,$W$8:$W$12,H64)</f>
        <v>4.6302961453842411</v>
      </c>
      <c r="J64">
        <f>I64/(2/0.2)*3</f>
        <v>1.3890888436152724</v>
      </c>
      <c r="K64">
        <v>0.19079593595416544</v>
      </c>
      <c r="L64" s="1">
        <f t="shared" si="0"/>
        <v>7.2804949259976413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3.04</v>
      </c>
      <c r="G65">
        <v>37438</v>
      </c>
      <c r="H65">
        <v>37437.93</v>
      </c>
      <c r="I65" cm="1">
        <f t="array" ref="I65">TREND($X$8:$X$12,$W$8:$W$12,H65)</f>
        <v>16.34215212364311</v>
      </c>
      <c r="J65">
        <f>I65/(2/0.2)*3</f>
        <v>4.9026456370929328</v>
      </c>
      <c r="K65">
        <v>0.13122659420302052</v>
      </c>
      <c r="L65" s="1">
        <f t="shared" si="0"/>
        <v>37.360152999993701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3.04</v>
      </c>
      <c r="G66">
        <v>21794</v>
      </c>
      <c r="H66">
        <v>21794.118999999999</v>
      </c>
      <c r="I66" cm="1">
        <f t="array" ref="I66">TREND($X$8:$X$12,$W$8:$W$12,H66)</f>
        <v>9.5780228783391248</v>
      </c>
      <c r="J66">
        <f>I66/(2/0.2)*3</f>
        <v>2.8734068635017378</v>
      </c>
      <c r="K66">
        <v>0.13927650525047255</v>
      </c>
      <c r="L66" s="1">
        <f t="shared" si="0"/>
        <v>20.630951777072884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3.04</v>
      </c>
      <c r="G67">
        <v>6324</v>
      </c>
      <c r="H67">
        <v>6323.9120000000003</v>
      </c>
      <c r="I67" cm="1">
        <f t="array" ref="I67">TREND($X$8:$X$12,$W$8:$W$12,H67)</f>
        <v>2.8889571769185181</v>
      </c>
      <c r="J67">
        <f>I67/(2/0.2)*3</f>
        <v>0.86668715307555533</v>
      </c>
      <c r="K67">
        <v>9.7416967803722054E-2</v>
      </c>
      <c r="L67" s="1">
        <f t="shared" si="0"/>
        <v>8.8966755239372315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3.03</v>
      </c>
      <c r="G68">
        <v>9419</v>
      </c>
      <c r="H68">
        <v>9419.3809999999994</v>
      </c>
      <c r="I68" cm="1">
        <f t="array" ref="I68">TREND($X$8:$X$12,$W$8:$W$12,H68)</f>
        <v>4.2273875882058869</v>
      </c>
      <c r="J68">
        <f>I68/(2/0.2)*3</f>
        <v>1.2682162764617662</v>
      </c>
      <c r="K68">
        <v>7.4877216870856411E-2</v>
      </c>
      <c r="L68" s="1">
        <f t="shared" si="0"/>
        <v>16.937278513557832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3.04</v>
      </c>
      <c r="G69">
        <v>20454</v>
      </c>
      <c r="H69">
        <v>20453.748</v>
      </c>
      <c r="I69" cm="1">
        <f t="array" ref="I69">TREND($X$8:$X$12,$W$8:$W$12,H69)</f>
        <v>8.9984682748823737</v>
      </c>
      <c r="J69">
        <f>I69/(2/0.2)*3</f>
        <v>2.6995404824647125</v>
      </c>
      <c r="K69">
        <v>0.14491144298368897</v>
      </c>
      <c r="L69" s="1">
        <f t="shared" si="0"/>
        <v>18.628897945406347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3.03</v>
      </c>
      <c r="G70">
        <v>13756</v>
      </c>
      <c r="H70">
        <v>13755.502</v>
      </c>
      <c r="I70" cm="1">
        <f t="array" ref="I70">TREND($X$8:$X$12,$W$8:$W$12,H70)</f>
        <v>6.1022557304556724</v>
      </c>
      <c r="J70">
        <f>I70/(2/0.2)*3</f>
        <v>1.8306767191367017</v>
      </c>
      <c r="K70">
        <v>0.14571643408843418</v>
      </c>
      <c r="L70" s="1">
        <f t="shared" si="0"/>
        <v>12.563282450527701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3.04</v>
      </c>
      <c r="G71">
        <v>9806</v>
      </c>
      <c r="H71">
        <v>9805.893</v>
      </c>
      <c r="I71" cm="1">
        <f t="array" ref="I71">TREND($X$8:$X$12,$W$8:$W$12,H71)</f>
        <v>4.3945090858295117</v>
      </c>
      <c r="J71">
        <f>I71/(2/0.2)*3</f>
        <v>1.3183527257488534</v>
      </c>
      <c r="K71">
        <v>0.26405012648597881</v>
      </c>
      <c r="L71" s="1">
        <f t="shared" si="0"/>
        <v>4.9928123242874438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3.04</v>
      </c>
      <c r="G72">
        <v>8920</v>
      </c>
      <c r="H72">
        <v>8920.3700000000008</v>
      </c>
      <c r="I72" cm="1">
        <f t="array" ref="I72">TREND($X$8:$X$12,$W$8:$W$12,H72)</f>
        <v>4.0116233541053621</v>
      </c>
      <c r="J72">
        <f>I72/(2/0.2)*3</f>
        <v>1.2034870062316085</v>
      </c>
      <c r="K72">
        <v>0.17469611385926145</v>
      </c>
      <c r="L72" s="1">
        <f t="shared" si="0"/>
        <v>6.889031356479749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3.04</v>
      </c>
      <c r="G73">
        <v>5725</v>
      </c>
      <c r="H73">
        <v>5725.1170000000002</v>
      </c>
      <c r="I73" cm="1">
        <f t="array" ref="I73">TREND($X$8:$X$12,$W$8:$W$12,H73)</f>
        <v>2.6300479653816486</v>
      </c>
      <c r="J73">
        <f>I73/(2/0.2)*3</f>
        <v>0.78901438961449466</v>
      </c>
      <c r="K73">
        <v>0.1175417454223521</v>
      </c>
      <c r="L73" s="1">
        <f t="shared" ref="L73" si="1">J73/K73</f>
        <v>6.7126312169297879</v>
      </c>
    </row>
    <row r="74" spans="1:12" x14ac:dyDescent="0.3">
      <c r="A74">
        <v>34</v>
      </c>
      <c r="B74" t="s">
        <v>235</v>
      </c>
      <c r="C74" t="s">
        <v>236</v>
      </c>
      <c r="D74" t="s">
        <v>237</v>
      </c>
      <c r="E74" t="s">
        <v>238</v>
      </c>
      <c r="F74">
        <v>3.02</v>
      </c>
      <c r="G74">
        <v>155</v>
      </c>
      <c r="H74">
        <v>155.43899999999999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70739-A685-48DA-8DA4-9A11690A7A3D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260</v>
      </c>
      <c r="P3" t="s">
        <v>91</v>
      </c>
    </row>
    <row r="5" spans="1:28" x14ac:dyDescent="0.3">
      <c r="A5" t="s">
        <v>92</v>
      </c>
      <c r="P5" t="s">
        <v>92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3.22</v>
      </c>
      <c r="G8">
        <v>135620</v>
      </c>
      <c r="H8">
        <v>135620.15599999999</v>
      </c>
      <c r="I8" cm="1">
        <f t="array" ref="I8">TREND($X$8:$X$16,$W$8:$W$16,H8)</f>
        <v>69.813489400885956</v>
      </c>
      <c r="J8">
        <f>I8/(2/0.2)*3</f>
        <v>20.94404682026579</v>
      </c>
      <c r="K8">
        <v>0.14813140740266978</v>
      </c>
      <c r="L8" s="1">
        <f>J8/K8</f>
        <v>141.38829291841532</v>
      </c>
      <c r="P8">
        <v>1</v>
      </c>
      <c r="Q8" t="s">
        <v>80</v>
      </c>
      <c r="R8" t="s">
        <v>39</v>
      </c>
      <c r="S8" t="s">
        <v>12</v>
      </c>
      <c r="T8" t="s">
        <v>13</v>
      </c>
      <c r="U8">
        <v>3.12</v>
      </c>
      <c r="V8">
        <v>4104</v>
      </c>
      <c r="W8">
        <v>4104.451</v>
      </c>
      <c r="X8">
        <v>1</v>
      </c>
      <c r="Y8">
        <v>1.04</v>
      </c>
      <c r="Z8">
        <v>4</v>
      </c>
      <c r="AA8">
        <v>12</v>
      </c>
      <c r="AB8">
        <v>23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3.22</v>
      </c>
      <c r="G9">
        <v>161694</v>
      </c>
      <c r="H9">
        <v>161693.59400000001</v>
      </c>
      <c r="I9" cm="1">
        <f t="array" ref="I9">TREND($X$8:$X$16,$W$8:$W$16,H9)</f>
        <v>83.657617388688649</v>
      </c>
      <c r="J9">
        <f>I9/(2/0.2)*3</f>
        <v>25.097285216606597</v>
      </c>
      <c r="K9">
        <v>0.11673675431760691</v>
      </c>
      <c r="L9" s="1">
        <f t="shared" ref="L9:L72" si="0">J9/K9</f>
        <v>214.99043179086641</v>
      </c>
      <c r="P9">
        <v>2</v>
      </c>
      <c r="Q9" t="s">
        <v>81</v>
      </c>
      <c r="R9" t="s">
        <v>40</v>
      </c>
      <c r="S9" t="s">
        <v>12</v>
      </c>
      <c r="T9" t="s">
        <v>14</v>
      </c>
      <c r="U9">
        <v>3.22</v>
      </c>
      <c r="V9">
        <v>6052</v>
      </c>
      <c r="W9">
        <v>6052.2719999999999</v>
      </c>
      <c r="X9">
        <v>2</v>
      </c>
      <c r="Y9">
        <v>2.0350000000000001</v>
      </c>
      <c r="Z9">
        <v>1.8</v>
      </c>
      <c r="AA9">
        <v>45</v>
      </c>
      <c r="AB9">
        <v>28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3.22</v>
      </c>
      <c r="G10">
        <v>174856</v>
      </c>
      <c r="H10">
        <v>174855.59400000001</v>
      </c>
      <c r="I10" cm="1">
        <f t="array" ref="I10">TREND($X$8:$X$16,$W$8:$W$16,H10)</f>
        <v>90.646201424881298</v>
      </c>
      <c r="J10">
        <f>I10/(2/0.2)*3</f>
        <v>27.193860427464386</v>
      </c>
      <c r="K10">
        <v>8.6147092337289247E-2</v>
      </c>
      <c r="L10" s="1">
        <f t="shared" si="0"/>
        <v>315.66776880864467</v>
      </c>
      <c r="P10">
        <v>3</v>
      </c>
      <c r="Q10" t="s">
        <v>82</v>
      </c>
      <c r="R10" t="s">
        <v>41</v>
      </c>
      <c r="S10" t="s">
        <v>12</v>
      </c>
      <c r="T10" t="s">
        <v>15</v>
      </c>
      <c r="U10">
        <v>3.22</v>
      </c>
      <c r="V10">
        <v>11689</v>
      </c>
      <c r="W10">
        <v>11688.611999999999</v>
      </c>
      <c r="X10">
        <v>5</v>
      </c>
      <c r="Y10">
        <v>4.9180000000000001</v>
      </c>
      <c r="Z10">
        <v>-1.6</v>
      </c>
      <c r="AA10">
        <v>84</v>
      </c>
      <c r="AB10">
        <v>61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3.21</v>
      </c>
      <c r="G11">
        <v>258311</v>
      </c>
      <c r="H11">
        <v>258310.82800000001</v>
      </c>
      <c r="I11" cm="1">
        <f t="array" ref="I11">TREND($X$8:$X$16,$W$8:$W$16,H11)</f>
        <v>134.95815371701943</v>
      </c>
      <c r="J11">
        <f>I11/(2/0.2)*3</f>
        <v>40.487446115105826</v>
      </c>
      <c r="K11">
        <v>8.9367056756270047E-2</v>
      </c>
      <c r="L11" s="1">
        <f t="shared" si="0"/>
        <v>453.04665482636256</v>
      </c>
      <c r="P11">
        <v>4</v>
      </c>
      <c r="Q11" t="s">
        <v>83</v>
      </c>
      <c r="R11" t="s">
        <v>42</v>
      </c>
      <c r="S11" t="s">
        <v>12</v>
      </c>
      <c r="T11" t="s">
        <v>16</v>
      </c>
      <c r="U11">
        <v>3.22</v>
      </c>
      <c r="V11">
        <v>22205</v>
      </c>
      <c r="W11">
        <v>22205.248</v>
      </c>
      <c r="X11">
        <v>10</v>
      </c>
      <c r="Y11">
        <v>10.298999999999999</v>
      </c>
      <c r="Z11">
        <v>3</v>
      </c>
      <c r="AA11">
        <v>191</v>
      </c>
      <c r="AB11">
        <v>652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3.22</v>
      </c>
      <c r="G12">
        <v>235715</v>
      </c>
      <c r="H12">
        <v>235715.234</v>
      </c>
      <c r="I12" cm="1">
        <f t="array" ref="I12">TREND($X$8:$X$16,$W$8:$W$16,H12)</f>
        <v>122.96064516841811</v>
      </c>
      <c r="J12">
        <f>I12/(2/0.2)*3</f>
        <v>36.888193550525436</v>
      </c>
      <c r="K12">
        <v>9.3392012279996037E-2</v>
      </c>
      <c r="L12" s="1">
        <f t="shared" si="0"/>
        <v>394.98231861555729</v>
      </c>
      <c r="P12">
        <v>5</v>
      </c>
      <c r="Q12" t="s">
        <v>84</v>
      </c>
      <c r="R12" t="s">
        <v>43</v>
      </c>
      <c r="S12" t="s">
        <v>12</v>
      </c>
      <c r="T12" t="s">
        <v>17</v>
      </c>
      <c r="U12">
        <v>3.22</v>
      </c>
      <c r="V12">
        <v>38303</v>
      </c>
      <c r="W12">
        <v>38303.495999999999</v>
      </c>
      <c r="X12">
        <v>20</v>
      </c>
      <c r="Y12">
        <v>18.545000000000002</v>
      </c>
      <c r="Z12">
        <v>-7.3</v>
      </c>
      <c r="AA12">
        <v>122</v>
      </c>
      <c r="AB12">
        <v>628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3.22</v>
      </c>
      <c r="G13">
        <v>169363</v>
      </c>
      <c r="H13">
        <v>169362.71900000001</v>
      </c>
      <c r="I13" cm="1">
        <f t="array" ref="I13">TREND($X$8:$X$16,$W$8:$W$16,H13)</f>
        <v>87.729667574569675</v>
      </c>
      <c r="J13">
        <f>I13/(2/0.2)*3</f>
        <v>26.3189002723709</v>
      </c>
      <c r="K13">
        <v>0.18918595374467503</v>
      </c>
      <c r="L13" s="1">
        <f t="shared" si="0"/>
        <v>139.11656627473957</v>
      </c>
      <c r="P13">
        <v>6</v>
      </c>
      <c r="Q13" t="s">
        <v>85</v>
      </c>
      <c r="R13" t="s">
        <v>44</v>
      </c>
      <c r="S13" t="s">
        <v>12</v>
      </c>
      <c r="T13" t="s">
        <v>18</v>
      </c>
      <c r="U13">
        <v>3.22</v>
      </c>
      <c r="V13">
        <v>94290</v>
      </c>
      <c r="W13">
        <v>94290.233999999997</v>
      </c>
      <c r="X13">
        <v>50</v>
      </c>
      <c r="Y13">
        <v>47.305999999999997</v>
      </c>
      <c r="Z13">
        <v>-5.4</v>
      </c>
      <c r="AA13">
        <v>882</v>
      </c>
      <c r="AB13">
        <v>1223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3.22</v>
      </c>
      <c r="G14">
        <v>147425</v>
      </c>
      <c r="H14">
        <v>147424.609</v>
      </c>
      <c r="I14" cm="1">
        <f t="array" ref="I14">TREND($X$8:$X$16,$W$8:$W$16,H14)</f>
        <v>76.081261152275303</v>
      </c>
      <c r="J14">
        <f>I14/(2/0.2)*3</f>
        <v>22.824378345682589</v>
      </c>
      <c r="K14">
        <v>9.2587021175250833E-2</v>
      </c>
      <c r="L14" s="1">
        <f t="shared" si="0"/>
        <v>246.51811945089025</v>
      </c>
      <c r="P14">
        <v>7</v>
      </c>
      <c r="Q14" t="s">
        <v>86</v>
      </c>
      <c r="R14" t="s">
        <v>45</v>
      </c>
      <c r="S14" t="s">
        <v>12</v>
      </c>
      <c r="T14" t="s">
        <v>19</v>
      </c>
      <c r="U14">
        <v>3.22</v>
      </c>
      <c r="V14">
        <v>210857</v>
      </c>
      <c r="W14">
        <v>210856.82800000001</v>
      </c>
      <c r="X14">
        <v>100</v>
      </c>
      <c r="Y14">
        <v>107.613</v>
      </c>
      <c r="Z14">
        <v>7.6</v>
      </c>
      <c r="AA14">
        <v>1428</v>
      </c>
      <c r="AB14">
        <v>1516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3.22</v>
      </c>
      <c r="G15">
        <v>108237</v>
      </c>
      <c r="H15">
        <v>108236.609</v>
      </c>
      <c r="I15" cm="1">
        <f t="array" ref="I15">TREND($X$8:$X$16,$W$8:$W$16,H15)</f>
        <v>55.273737127786809</v>
      </c>
      <c r="J15">
        <f>I15/(2/0.2)*3</f>
        <v>16.582121138336042</v>
      </c>
      <c r="K15">
        <v>0.14974138961216016</v>
      </c>
      <c r="L15" s="1">
        <f t="shared" si="0"/>
        <v>110.73839491729576</v>
      </c>
      <c r="P15">
        <v>8</v>
      </c>
      <c r="Q15" t="s">
        <v>87</v>
      </c>
      <c r="R15" t="s">
        <v>46</v>
      </c>
      <c r="S15" t="s">
        <v>12</v>
      </c>
      <c r="T15" t="s">
        <v>20</v>
      </c>
      <c r="U15">
        <v>3.22</v>
      </c>
      <c r="V15">
        <v>379187</v>
      </c>
      <c r="W15">
        <v>379187.25</v>
      </c>
      <c r="X15">
        <v>200</v>
      </c>
      <c r="Y15">
        <v>195.738</v>
      </c>
      <c r="Z15">
        <v>-2.1</v>
      </c>
      <c r="AA15">
        <v>464</v>
      </c>
      <c r="AB15">
        <v>4192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3.22</v>
      </c>
      <c r="G16">
        <v>349423</v>
      </c>
      <c r="H16">
        <v>349423.375</v>
      </c>
      <c r="I16" cm="1">
        <f t="array" ref="I16">TREND($X$8:$X$16,$W$8:$W$16,H16)</f>
        <v>183.33588441608131</v>
      </c>
      <c r="J16">
        <f>I16/(2/0.2)*3</f>
        <v>55.0007653248244</v>
      </c>
      <c r="K16">
        <v>0.19965083810636269</v>
      </c>
      <c r="L16" s="1">
        <f t="shared" si="0"/>
        <v>275.48477054488046</v>
      </c>
      <c r="P16">
        <v>9</v>
      </c>
      <c r="Q16" t="s">
        <v>88</v>
      </c>
      <c r="R16" t="s">
        <v>47</v>
      </c>
      <c r="S16" t="s">
        <v>12</v>
      </c>
      <c r="T16" t="s">
        <v>21</v>
      </c>
      <c r="U16">
        <v>3.22</v>
      </c>
      <c r="V16">
        <v>942961</v>
      </c>
      <c r="W16">
        <v>942960.56299999997</v>
      </c>
      <c r="X16">
        <v>500</v>
      </c>
      <c r="Y16">
        <v>500.51400000000001</v>
      </c>
      <c r="Z16">
        <v>0.1</v>
      </c>
      <c r="AA16">
        <v>6492</v>
      </c>
      <c r="AB16">
        <v>7144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3.22</v>
      </c>
      <c r="G17">
        <v>398602</v>
      </c>
      <c r="H17">
        <v>398601.81300000002</v>
      </c>
      <c r="I17" cm="1">
        <f t="array" ref="I17">TREND($X$8:$X$16,$W$8:$W$16,H17)</f>
        <v>209.44799858806812</v>
      </c>
      <c r="J17">
        <f>I17/(2/0.2)*3</f>
        <v>62.834399576420431</v>
      </c>
      <c r="K17">
        <v>0.22058060682973793</v>
      </c>
      <c r="L17" s="1">
        <f t="shared" si="0"/>
        <v>284.85912918410429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3.22</v>
      </c>
      <c r="G18">
        <v>267304</v>
      </c>
      <c r="H18">
        <v>267303.68800000002</v>
      </c>
      <c r="I18" cm="1">
        <f t="array" ref="I18">TREND($X$8:$X$16,$W$8:$W$16,H18)</f>
        <v>139.7330631407936</v>
      </c>
      <c r="J18">
        <f>I18/(2/0.2)*3</f>
        <v>41.919918942238084</v>
      </c>
      <c r="K18">
        <v>0.12720163867929454</v>
      </c>
      <c r="L18" s="1">
        <f t="shared" si="0"/>
        <v>329.55486562502648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3.22</v>
      </c>
      <c r="G19">
        <v>215562</v>
      </c>
      <c r="H19">
        <v>215562.07800000001</v>
      </c>
      <c r="I19" cm="1">
        <f t="array" ref="I19">TREND($X$8:$X$16,$W$8:$W$16,H19)</f>
        <v>112.25998992601575</v>
      </c>
      <c r="J19">
        <f>I19/(2/0.2)*3</f>
        <v>33.677996977804725</v>
      </c>
      <c r="K19">
        <v>0.1594012828691026</v>
      </c>
      <c r="L19" s="1">
        <f t="shared" si="0"/>
        <v>211.27807989764094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3.22</v>
      </c>
      <c r="G20">
        <v>432680</v>
      </c>
      <c r="H20">
        <v>432679.875</v>
      </c>
      <c r="I20" cm="1">
        <f t="array" ref="I20">TREND($X$8:$X$16,$W$8:$W$16,H20)</f>
        <v>227.54231556706699</v>
      </c>
      <c r="J20">
        <f>I20/(2/0.2)*3</f>
        <v>68.262694670120098</v>
      </c>
      <c r="K20">
        <v>0.14491144298368897</v>
      </c>
      <c r="L20" s="1">
        <f t="shared" si="0"/>
        <v>471.06490187806395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3.22</v>
      </c>
      <c r="G21">
        <v>503425</v>
      </c>
      <c r="H21">
        <v>503424.875</v>
      </c>
      <c r="I21" cm="1">
        <f t="array" ref="I21">TREND($X$8:$X$16,$W$8:$W$16,H21)</f>
        <v>265.10555653655865</v>
      </c>
      <c r="J21">
        <f>I21/(2/0.2)*3</f>
        <v>79.531666960967584</v>
      </c>
      <c r="K21">
        <v>0.24553533107683917</v>
      </c>
      <c r="L21" s="1">
        <f t="shared" si="0"/>
        <v>323.91129460744901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3.22</v>
      </c>
      <c r="G22">
        <v>214951</v>
      </c>
      <c r="H22">
        <v>214951.32800000001</v>
      </c>
      <c r="I22" cm="1">
        <f t="array" ref="I22">TREND($X$8:$X$16,$W$8:$W$16,H22)</f>
        <v>111.93570199864112</v>
      </c>
      <c r="J22">
        <f>I22/(2/0.2)*3</f>
        <v>33.580710599592337</v>
      </c>
      <c r="K22">
        <v>0.3002747261995129</v>
      </c>
      <c r="L22" s="1">
        <f t="shared" si="0"/>
        <v>111.83329021597426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3.21</v>
      </c>
      <c r="G23">
        <v>183594</v>
      </c>
      <c r="H23">
        <v>183593.53099999999</v>
      </c>
      <c r="I23" cm="1">
        <f t="array" ref="I23">TREND($X$8:$X$16,$W$8:$W$16,H23)</f>
        <v>95.285755218184519</v>
      </c>
      <c r="J23">
        <f>I23/(2/0.2)*3</f>
        <v>28.585726565455353</v>
      </c>
      <c r="K23">
        <v>0.17147614944028067</v>
      </c>
      <c r="L23" s="1">
        <f t="shared" si="0"/>
        <v>166.70380492425738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3.22</v>
      </c>
      <c r="G24">
        <v>248367</v>
      </c>
      <c r="H24">
        <v>248366.68799999999</v>
      </c>
      <c r="I24" cm="1">
        <f t="array" ref="I24">TREND($X$8:$X$16,$W$8:$W$16,H24)</f>
        <v>129.67814626696131</v>
      </c>
      <c r="J24">
        <f>I24/(2/0.2)*3</f>
        <v>38.903443880088389</v>
      </c>
      <c r="K24">
        <v>0.18113604269722305</v>
      </c>
      <c r="L24" s="1">
        <f t="shared" si="0"/>
        <v>214.77472567465341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3.22</v>
      </c>
      <c r="G25">
        <v>231582</v>
      </c>
      <c r="H25">
        <v>231582.20300000001</v>
      </c>
      <c r="I25" cm="1">
        <f t="array" ref="I25">TREND($X$8:$X$16,$W$8:$W$16,H25)</f>
        <v>120.76614323347744</v>
      </c>
      <c r="J25">
        <f>I25/(2/0.2)*3</f>
        <v>36.229842970043237</v>
      </c>
      <c r="K25">
        <v>8.2927127918308433E-2</v>
      </c>
      <c r="L25" s="1">
        <f t="shared" si="0"/>
        <v>436.8877094807055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3.22</v>
      </c>
      <c r="G26">
        <v>381257</v>
      </c>
      <c r="H26">
        <v>381256.78100000002</v>
      </c>
      <c r="I26" cm="1">
        <f t="array" ref="I26">TREND($X$8:$X$16,$W$8:$W$16,H26)</f>
        <v>200.23836374971143</v>
      </c>
      <c r="J26">
        <f>I26/(2/0.2)*3</f>
        <v>60.071509124913433</v>
      </c>
      <c r="K26">
        <v>0.11593176321286171</v>
      </c>
      <c r="L26" s="1">
        <f t="shared" si="0"/>
        <v>518.16264550912115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3.22</v>
      </c>
      <c r="G27">
        <v>401925</v>
      </c>
      <c r="H27">
        <v>401925.40600000002</v>
      </c>
      <c r="I27" cm="1">
        <f t="array" ref="I27">TREND($X$8:$X$16,$W$8:$W$16,H27)</f>
        <v>211.21271587895106</v>
      </c>
      <c r="J27">
        <f>I27/(2/0.2)*3</f>
        <v>63.363814763685312</v>
      </c>
      <c r="K27">
        <v>0.17469611385926145</v>
      </c>
      <c r="L27" s="1">
        <f t="shared" si="0"/>
        <v>362.70878249033302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3.22</v>
      </c>
      <c r="G28">
        <v>216786</v>
      </c>
      <c r="H28">
        <v>216786.18799999999</v>
      </c>
      <c r="I28" cm="1">
        <f t="array" ref="I28">TREND($X$8:$X$16,$W$8:$W$16,H28)</f>
        <v>112.90995160391756</v>
      </c>
      <c r="J28">
        <f>I28/(2/0.2)*3</f>
        <v>33.872985481175263</v>
      </c>
      <c r="K28">
        <v>0.17952606048773259</v>
      </c>
      <c r="L28" s="1">
        <f t="shared" si="0"/>
        <v>188.68004672497048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3.22</v>
      </c>
      <c r="G29">
        <v>331684</v>
      </c>
      <c r="H29">
        <v>331684.06300000002</v>
      </c>
      <c r="I29" cm="1">
        <f t="array" ref="I29">TREND($X$8:$X$16,$W$8:$W$16,H29)</f>
        <v>173.91690001733943</v>
      </c>
      <c r="J29">
        <f>I29/(2/0.2)*3</f>
        <v>52.175070005201825</v>
      </c>
      <c r="K29">
        <v>0.19723586479212707</v>
      </c>
      <c r="L29" s="1">
        <f t="shared" si="0"/>
        <v>264.53135214627792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3.22</v>
      </c>
      <c r="G30">
        <v>378329</v>
      </c>
      <c r="H30">
        <v>378329.43800000002</v>
      </c>
      <c r="I30" cm="1">
        <f t="array" ref="I30">TREND($X$8:$X$16,$W$8:$W$16,H30)</f>
        <v>198.68404202366216</v>
      </c>
      <c r="J30">
        <f>I30/(2/0.2)*3</f>
        <v>59.605212607098643</v>
      </c>
      <c r="K30">
        <v>0.28417490410460888</v>
      </c>
      <c r="L30" s="1">
        <f t="shared" si="0"/>
        <v>209.74833367114326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3.22</v>
      </c>
      <c r="G31">
        <v>280808</v>
      </c>
      <c r="H31">
        <v>280807.65600000002</v>
      </c>
      <c r="I31" cm="1">
        <f t="array" ref="I31">TREND($X$8:$X$16,$W$8:$W$16,H31)</f>
        <v>146.90322080604631</v>
      </c>
      <c r="J31">
        <f>I31/(2/0.2)*3</f>
        <v>44.070966241813892</v>
      </c>
      <c r="K31">
        <v>0.17872106938298743</v>
      </c>
      <c r="L31" s="1">
        <f t="shared" si="0"/>
        <v>246.59077071306419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3.21</v>
      </c>
      <c r="G32">
        <v>582406</v>
      </c>
      <c r="H32">
        <v>582405.75</v>
      </c>
      <c r="I32" cm="1">
        <f t="array" ref="I32">TREND($X$8:$X$16,$W$8:$W$16,H32)</f>
        <v>307.04177308340013</v>
      </c>
      <c r="J32">
        <f>I32/(2/0.2)*3</f>
        <v>92.11253192502005</v>
      </c>
      <c r="K32">
        <v>0.19884584700161748</v>
      </c>
      <c r="L32" s="1">
        <f t="shared" si="0"/>
        <v>463.23588505356503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3.22</v>
      </c>
      <c r="G33">
        <v>356371</v>
      </c>
      <c r="H33">
        <v>356370.84399999998</v>
      </c>
      <c r="I33" cm="1">
        <f t="array" ref="I33">TREND($X$8:$X$16,$W$8:$W$16,H33)</f>
        <v>187.02475927897018</v>
      </c>
      <c r="J33">
        <f>I33/(2/0.2)*3</f>
        <v>56.107427783691058</v>
      </c>
      <c r="K33">
        <v>0.17469611385926145</v>
      </c>
      <c r="L33" s="1">
        <f t="shared" si="0"/>
        <v>321.17158501243068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3.21</v>
      </c>
      <c r="G34">
        <v>213375</v>
      </c>
      <c r="H34">
        <v>213374.95300000001</v>
      </c>
      <c r="I34" cm="1">
        <f t="array" ref="I34">TREND($X$8:$X$16,$W$8:$W$16,H34)</f>
        <v>111.09869932731054</v>
      </c>
      <c r="J34">
        <f>I34/(2/0.2)*3</f>
        <v>33.329609798193161</v>
      </c>
      <c r="K34">
        <v>0.24875529549582001</v>
      </c>
      <c r="L34" s="1">
        <f t="shared" si="0"/>
        <v>133.98552875732938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3.22</v>
      </c>
      <c r="G35">
        <v>232633</v>
      </c>
      <c r="H35">
        <v>232633.03099999999</v>
      </c>
      <c r="I35" cm="1">
        <f t="array" ref="I35">TREND($X$8:$X$16,$W$8:$W$16,H35)</f>
        <v>121.32409793531485</v>
      </c>
      <c r="J35">
        <f>I35/(2/0.2)*3</f>
        <v>36.397229380594453</v>
      </c>
      <c r="K35">
        <v>0.18274602490671343</v>
      </c>
      <c r="L35" s="1">
        <f t="shared" si="0"/>
        <v>199.16837807648176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3.22</v>
      </c>
      <c r="G36">
        <v>546239</v>
      </c>
      <c r="H36">
        <v>546238.56299999997</v>
      </c>
      <c r="I36" cm="1">
        <f t="array" ref="I36">TREND($X$8:$X$16,$W$8:$W$16,H36)</f>
        <v>287.83820024475892</v>
      </c>
      <c r="J36">
        <f>I36/(2/0.2)*3</f>
        <v>86.351460073427688</v>
      </c>
      <c r="K36">
        <v>0.18113604269722305</v>
      </c>
      <c r="L36" s="1">
        <f t="shared" si="0"/>
        <v>476.72157781302525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3.22</v>
      </c>
      <c r="G37">
        <v>318006</v>
      </c>
      <c r="H37">
        <v>318005.875</v>
      </c>
      <c r="I37" cm="1">
        <f t="array" ref="I37">TREND($X$8:$X$16,$W$8:$W$16,H37)</f>
        <v>166.65423732923412</v>
      </c>
      <c r="J37">
        <f>I37/(2/0.2)*3</f>
        <v>49.996271198770231</v>
      </c>
      <c r="K37">
        <v>0.12156670094607813</v>
      </c>
      <c r="L37" s="1">
        <f t="shared" si="0"/>
        <v>411.26616754160722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3.22</v>
      </c>
      <c r="G38">
        <v>359526</v>
      </c>
      <c r="H38">
        <v>359526.34399999998</v>
      </c>
      <c r="I38" cm="1">
        <f t="array" ref="I38">TREND($X$8:$X$16,$W$8:$W$16,H38)</f>
        <v>188.70022478012547</v>
      </c>
      <c r="J38">
        <f>I38/(2/0.2)*3</f>
        <v>56.610067434037646</v>
      </c>
      <c r="K38">
        <v>8.8562065651524843E-2</v>
      </c>
      <c r="L38" s="1">
        <f t="shared" si="0"/>
        <v>639.21349414756958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3.21</v>
      </c>
      <c r="G39">
        <v>460618</v>
      </c>
      <c r="H39">
        <v>460618.125</v>
      </c>
      <c r="I39" cm="1">
        <f t="array" ref="I39">TREND($X$8:$X$16,$W$8:$W$16,H39)</f>
        <v>242.37659667549727</v>
      </c>
      <c r="J39">
        <f>I39/(2/0.2)*3</f>
        <v>72.712979002649178</v>
      </c>
      <c r="K39">
        <v>0.13766652304098212</v>
      </c>
      <c r="L39" s="1">
        <f t="shared" si="0"/>
        <v>528.1819965846247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3.21</v>
      </c>
      <c r="G40">
        <v>314698</v>
      </c>
      <c r="H40">
        <v>314697.5</v>
      </c>
      <c r="I40" cm="1">
        <f t="array" ref="I40">TREND($X$8:$X$16,$W$8:$W$16,H40)</f>
        <v>164.89760028997424</v>
      </c>
      <c r="J40">
        <f>I40/(2/0.2)*3</f>
        <v>49.469280086992271</v>
      </c>
      <c r="K40">
        <v>8.2122136813563229E-2</v>
      </c>
      <c r="L40" s="1">
        <f t="shared" si="0"/>
        <v>602.38666462490244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3.22</v>
      </c>
      <c r="G41">
        <v>240202</v>
      </c>
      <c r="H41">
        <v>240201.641</v>
      </c>
      <c r="I41" cm="1">
        <f t="array" ref="I41">TREND($X$8:$X$16,$W$8:$W$16,H41)</f>
        <v>125.34277800081919</v>
      </c>
      <c r="J41">
        <f>I41/(2/0.2)*3</f>
        <v>37.602833400245757</v>
      </c>
      <c r="K41">
        <v>0.10224691443219328</v>
      </c>
      <c r="L41" s="1">
        <f t="shared" si="0"/>
        <v>367.76496981904228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3.21</v>
      </c>
      <c r="G42">
        <v>417546</v>
      </c>
      <c r="H42">
        <v>417546.03100000002</v>
      </c>
      <c r="I42" cm="1">
        <f t="array" ref="I42">TREND($X$8:$X$16,$W$8:$W$16,H42)</f>
        <v>219.50674797972238</v>
      </c>
      <c r="J42">
        <f>I42/(2/0.2)*3</f>
        <v>65.852024393916707</v>
      </c>
      <c r="K42">
        <v>0.12639664757454935</v>
      </c>
      <c r="L42" s="1">
        <f t="shared" si="0"/>
        <v>520.99502366213369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3.21</v>
      </c>
      <c r="G43">
        <v>211391</v>
      </c>
      <c r="H43">
        <v>211390.5</v>
      </c>
      <c r="I43" cm="1">
        <f t="array" ref="I43">TREND($X$8:$X$16,$W$8:$W$16,H43)</f>
        <v>110.04502081672138</v>
      </c>
      <c r="J43">
        <f>I43/(2/0.2)*3</f>
        <v>33.013506245016416</v>
      </c>
      <c r="K43">
        <v>0.15054638071690538</v>
      </c>
      <c r="L43" s="1">
        <f t="shared" si="0"/>
        <v>219.2912648434677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3.22</v>
      </c>
      <c r="G44">
        <v>323977</v>
      </c>
      <c r="H44">
        <v>323976.875</v>
      </c>
      <c r="I44" cm="1">
        <f t="array" ref="I44">TREND($X$8:$X$16,$W$8:$W$16,H44)</f>
        <v>169.82463964499971</v>
      </c>
      <c r="J44">
        <f>I44/(2/0.2)*3</f>
        <v>50.947391893499912</v>
      </c>
      <c r="K44">
        <v>0.14893639850741497</v>
      </c>
      <c r="L44" s="1">
        <f t="shared" si="0"/>
        <v>342.07482122621246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3.22</v>
      </c>
      <c r="G45">
        <v>339011</v>
      </c>
      <c r="H45">
        <v>339011</v>
      </c>
      <c r="I45" cm="1">
        <f t="array" ref="I45">TREND($X$8:$X$16,$W$8:$W$16,H45)</f>
        <v>177.80725976148085</v>
      </c>
      <c r="J45">
        <f>I45/(2/0.2)*3</f>
        <v>53.342177928444251</v>
      </c>
      <c r="K45">
        <v>4.0262599366812736E-2</v>
      </c>
      <c r="L45" s="1">
        <f t="shared" si="0"/>
        <v>1324.8567843936232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3.22</v>
      </c>
      <c r="G46">
        <v>284708</v>
      </c>
      <c r="H46">
        <v>284708.15600000002</v>
      </c>
      <c r="I46" cm="1">
        <f t="array" ref="I46">TREND($X$8:$X$16,$W$8:$W$16,H46)</f>
        <v>148.97425651742523</v>
      </c>
      <c r="J46">
        <f>I46/(2/0.2)*3</f>
        <v>44.69227695522757</v>
      </c>
      <c r="K46">
        <v>0.11351678989862611</v>
      </c>
      <c r="L46" s="1">
        <f t="shared" si="0"/>
        <v>393.70631423896947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3.21</v>
      </c>
      <c r="G47">
        <v>270504</v>
      </c>
      <c r="H47">
        <v>270503.81300000002</v>
      </c>
      <c r="I47" cm="1">
        <f t="array" ref="I47">TREND($X$8:$X$16,$W$8:$W$16,H47)</f>
        <v>141.43222303205792</v>
      </c>
      <c r="J47">
        <f>I47/(2/0.2)*3</f>
        <v>42.429666909617382</v>
      </c>
      <c r="K47">
        <v>0.10144192332744809</v>
      </c>
      <c r="L47" s="1">
        <f t="shared" si="0"/>
        <v>418.26559984137043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3.22</v>
      </c>
      <c r="G48">
        <v>256388</v>
      </c>
      <c r="H48">
        <v>256387.625</v>
      </c>
      <c r="I48" cm="1">
        <f t="array" ref="I48">TREND($X$8:$X$16,$W$8:$W$16,H48)</f>
        <v>133.93699691834462</v>
      </c>
      <c r="J48">
        <f>I48/(2/0.2)*3</f>
        <v>40.181099075503383</v>
      </c>
      <c r="K48">
        <v>8.3732119023053622E-2</v>
      </c>
      <c r="L48" s="1">
        <f t="shared" si="0"/>
        <v>479.87677302709233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3.22</v>
      </c>
      <c r="G49">
        <v>335717</v>
      </c>
      <c r="H49">
        <v>335716.78100000002</v>
      </c>
      <c r="I49" cm="1">
        <f t="array" ref="I49">TREND($X$8:$X$16,$W$8:$W$16,H49)</f>
        <v>176.05813908718193</v>
      </c>
      <c r="J49">
        <f>I49/(2/0.2)*3</f>
        <v>52.817441726154584</v>
      </c>
      <c r="K49">
        <v>0.22299558014397355</v>
      </c>
      <c r="L49" s="1">
        <f t="shared" si="0"/>
        <v>236.85420891326115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3.22</v>
      </c>
      <c r="G50">
        <v>380360</v>
      </c>
      <c r="H50">
        <v>380359.59399999998</v>
      </c>
      <c r="I50" cm="1">
        <f t="array" ref="I50">TREND($X$8:$X$16,$W$8:$W$16,H50)</f>
        <v>199.76198730649003</v>
      </c>
      <c r="J50">
        <f>I50/(2/0.2)*3</f>
        <v>59.928596191947008</v>
      </c>
      <c r="K50">
        <v>0.1175417454223521</v>
      </c>
      <c r="L50" s="1">
        <f t="shared" si="0"/>
        <v>509.849466473473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3.22</v>
      </c>
      <c r="G51">
        <v>453048</v>
      </c>
      <c r="H51">
        <v>453047.71899999998</v>
      </c>
      <c r="I51" cm="1">
        <f t="array" ref="I51">TREND($X$8:$X$16,$W$8:$W$16,H51)</f>
        <v>238.35696299375456</v>
      </c>
      <c r="J51">
        <f>I51/(2/0.2)*3</f>
        <v>71.507088898126369</v>
      </c>
      <c r="K51">
        <v>0.11351678989862611</v>
      </c>
      <c r="L51" s="1">
        <f t="shared" si="0"/>
        <v>629.92522041879738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3.21</v>
      </c>
      <c r="G52">
        <v>209589</v>
      </c>
      <c r="H52">
        <v>209589.40599999999</v>
      </c>
      <c r="I52" cm="1">
        <f t="array" ref="I52">TREND($X$8:$X$16,$W$8:$W$16,H52)</f>
        <v>109.08869983388576</v>
      </c>
      <c r="J52">
        <f>I52/(2/0.2)*3</f>
        <v>32.726609950165724</v>
      </c>
      <c r="K52">
        <v>8.4537110127798853E-2</v>
      </c>
      <c r="L52" s="1">
        <f t="shared" si="0"/>
        <v>387.12714334203429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3.21</v>
      </c>
      <c r="G53">
        <v>613425</v>
      </c>
      <c r="H53">
        <v>613424.56299999997</v>
      </c>
      <c r="I53" cm="1">
        <f t="array" ref="I53">TREND($X$8:$X$16,$W$8:$W$16,H53)</f>
        <v>323.51173063950432</v>
      </c>
      <c r="J53">
        <f>I53/(2/0.2)*3</f>
        <v>97.053519191851308</v>
      </c>
      <c r="K53">
        <v>0.1078818521654097</v>
      </c>
      <c r="L53" s="1">
        <f t="shared" si="0"/>
        <v>899.6278543961605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3.21</v>
      </c>
      <c r="G54">
        <v>476196</v>
      </c>
      <c r="H54">
        <v>476195.90600000002</v>
      </c>
      <c r="I54" cm="1">
        <f t="array" ref="I54">TREND($X$8:$X$16,$W$8:$W$16,H54)</f>
        <v>250.64788003789698</v>
      </c>
      <c r="J54">
        <f>I54/(2/0.2)*3</f>
        <v>75.194364011369089</v>
      </c>
      <c r="K54">
        <v>0.14813140740266978</v>
      </c>
      <c r="L54" s="1">
        <f t="shared" si="0"/>
        <v>507.61931807591708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3.22</v>
      </c>
      <c r="G55">
        <v>249108</v>
      </c>
      <c r="H55">
        <v>249107.56299999999</v>
      </c>
      <c r="I55" cm="1">
        <f t="array" ref="I55">TREND($X$8:$X$16,$W$8:$W$16,H55)</f>
        <v>130.07152623944378</v>
      </c>
      <c r="J55">
        <f>I55/(2/0.2)*3</f>
        <v>39.021457871833135</v>
      </c>
      <c r="K55">
        <v>6.6022314718659172E-2</v>
      </c>
      <c r="L55" s="1">
        <f t="shared" si="0"/>
        <v>591.03438039267837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3.22</v>
      </c>
      <c r="G56">
        <v>323196</v>
      </c>
      <c r="H56">
        <v>323195.65600000002</v>
      </c>
      <c r="I56" cm="1">
        <f t="array" ref="I56">TREND($X$8:$X$16,$W$8:$W$16,H56)</f>
        <v>169.40983835095849</v>
      </c>
      <c r="J56">
        <f>I56/(2/0.2)*3</f>
        <v>50.822951505287548</v>
      </c>
      <c r="K56">
        <v>0.22621554456295434</v>
      </c>
      <c r="L56" s="1">
        <f t="shared" si="0"/>
        <v>224.66604407525074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3.21</v>
      </c>
      <c r="G57">
        <v>349286</v>
      </c>
      <c r="H57">
        <v>349285.90600000002</v>
      </c>
      <c r="I57" cm="1">
        <f t="array" ref="I57">TREND($X$8:$X$16,$W$8:$W$16,H57)</f>
        <v>183.2628929513441</v>
      </c>
      <c r="J57">
        <f>I57/(2/0.2)*3</f>
        <v>54.978867885403226</v>
      </c>
      <c r="K57">
        <v>0.21897062462024752</v>
      </c>
      <c r="L57" s="1">
        <f t="shared" si="0"/>
        <v>251.07873707147249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3.21</v>
      </c>
      <c r="G58">
        <v>633987</v>
      </c>
      <c r="H58">
        <v>633987</v>
      </c>
      <c r="I58" cm="1">
        <f t="array" ref="I58">TREND($X$8:$X$16,$W$8:$W$16,H58)</f>
        <v>334.42970047413564</v>
      </c>
      <c r="J58">
        <f>I58/(2/0.2)*3</f>
        <v>100.3289101422407</v>
      </c>
      <c r="K58">
        <v>0.11271179879388092</v>
      </c>
      <c r="L58" s="1">
        <f t="shared" si="0"/>
        <v>890.13671342176747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3.22</v>
      </c>
      <c r="G59">
        <v>543437</v>
      </c>
      <c r="H59">
        <v>543437.43799999997</v>
      </c>
      <c r="I59" cm="1">
        <f t="array" ref="I59">TREND($X$8:$X$16,$W$8:$W$16,H59)</f>
        <v>286.35089607682244</v>
      </c>
      <c r="J59">
        <f>I59/(2/0.2)*3</f>
        <v>85.905268823046725</v>
      </c>
      <c r="K59">
        <v>9.1782030070505644E-2</v>
      </c>
      <c r="L59" s="1">
        <f t="shared" si="0"/>
        <v>935.97045910899476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3.21</v>
      </c>
      <c r="G60">
        <v>350519</v>
      </c>
      <c r="H60">
        <v>350519.43800000002</v>
      </c>
      <c r="I60" cm="1">
        <f t="array" ref="I60">TREND($X$8:$X$16,$W$8:$W$16,H60)</f>
        <v>183.91785739773013</v>
      </c>
      <c r="J60">
        <f>I60/(2/0.2)*3</f>
        <v>55.175357219319039</v>
      </c>
      <c r="K60">
        <v>0.16584121170706426</v>
      </c>
      <c r="L60" s="1">
        <f t="shared" si="0"/>
        <v>332.69991609069245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3.21</v>
      </c>
      <c r="G61">
        <v>323031</v>
      </c>
      <c r="H61">
        <v>323030.78100000002</v>
      </c>
      <c r="I61" cm="1">
        <f t="array" ref="I61">TREND($X$8:$X$16,$W$8:$W$16,H61)</f>
        <v>169.32229521215228</v>
      </c>
      <c r="J61">
        <f>I61/(2/0.2)*3</f>
        <v>50.796688563645681</v>
      </c>
      <c r="K61">
        <v>0.20850574025855992</v>
      </c>
      <c r="L61" s="1">
        <f t="shared" si="0"/>
        <v>243.62249452055693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3.21</v>
      </c>
      <c r="G62">
        <v>247252</v>
      </c>
      <c r="H62">
        <v>247252.45300000001</v>
      </c>
      <c r="I62" cm="1">
        <f t="array" ref="I62">TREND($X$8:$X$16,$W$8:$W$16,H62)</f>
        <v>129.08652455798344</v>
      </c>
      <c r="J62">
        <f>I62/(2/0.2)*3</f>
        <v>38.725957367395026</v>
      </c>
      <c r="K62">
        <v>0.15457133624063138</v>
      </c>
      <c r="L62" s="1">
        <f t="shared" si="0"/>
        <v>250.5377666342211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3.21</v>
      </c>
      <c r="G63">
        <v>375709</v>
      </c>
      <c r="H63">
        <v>375709.18800000002</v>
      </c>
      <c r="I63" cm="1">
        <f t="array" ref="I63">TREND($X$8:$X$16,$W$8:$W$16,H63)</f>
        <v>197.29277646213399</v>
      </c>
      <c r="J63">
        <f>I63/(2/0.2)*3</f>
        <v>59.187832938640192</v>
      </c>
      <c r="K63">
        <v>0.22863051787718996</v>
      </c>
      <c r="L63" s="1">
        <f t="shared" si="0"/>
        <v>258.87984459901907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3.22</v>
      </c>
      <c r="G64">
        <v>272533</v>
      </c>
      <c r="H64">
        <v>272533.375</v>
      </c>
      <c r="I64" cm="1">
        <f t="array" ref="I64">TREND($X$8:$X$16,$W$8:$W$16,H64)</f>
        <v>142.50985292065107</v>
      </c>
      <c r="J64">
        <f>I64/(2/0.2)*3</f>
        <v>42.752955876195315</v>
      </c>
      <c r="K64">
        <v>0.19079593595416544</v>
      </c>
      <c r="L64" s="1">
        <f t="shared" si="0"/>
        <v>224.07686863134117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3.21</v>
      </c>
      <c r="G65">
        <v>384642</v>
      </c>
      <c r="H65">
        <v>384642.03100000002</v>
      </c>
      <c r="I65" cm="1">
        <f t="array" ref="I65">TREND($X$8:$X$16,$W$8:$W$16,H65)</f>
        <v>202.03581885596589</v>
      </c>
      <c r="J65">
        <f>I65/(2/0.2)*3</f>
        <v>60.61074565678976</v>
      </c>
      <c r="K65">
        <v>0.13122659420302052</v>
      </c>
      <c r="L65" s="1">
        <f t="shared" si="0"/>
        <v>461.87852412765466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3.21</v>
      </c>
      <c r="G66">
        <v>557474</v>
      </c>
      <c r="H66">
        <v>557473.56299999997</v>
      </c>
      <c r="I66" cm="1">
        <f t="array" ref="I66">TREND($X$8:$X$16,$W$8:$W$16,H66)</f>
        <v>293.80361140162142</v>
      </c>
      <c r="J66">
        <f>I66/(2/0.2)*3</f>
        <v>88.141083420486439</v>
      </c>
      <c r="K66">
        <v>0.13927650525047255</v>
      </c>
      <c r="L66" s="1">
        <f t="shared" si="0"/>
        <v>632.84961998418169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3.21</v>
      </c>
      <c r="G67">
        <v>166133</v>
      </c>
      <c r="H67">
        <v>166132.53099999999</v>
      </c>
      <c r="I67" cm="1">
        <f t="array" ref="I67">TREND($X$8:$X$16,$W$8:$W$16,H67)</f>
        <v>86.014545230647684</v>
      </c>
      <c r="J67">
        <f>I67/(2/0.2)*3</f>
        <v>25.804363569194308</v>
      </c>
      <c r="K67">
        <v>9.7416967803722054E-2</v>
      </c>
      <c r="L67" s="1">
        <f t="shared" si="0"/>
        <v>264.88571909962883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3.21</v>
      </c>
      <c r="G68">
        <v>234067</v>
      </c>
      <c r="H68">
        <v>234066.641</v>
      </c>
      <c r="I68" cm="1">
        <f t="array" ref="I68">TREND($X$8:$X$16,$W$8:$W$16,H68)</f>
        <v>122.08529714213192</v>
      </c>
      <c r="J68">
        <f>I68/(2/0.2)*3</f>
        <v>36.625589142639576</v>
      </c>
      <c r="K68">
        <v>7.4877216870856411E-2</v>
      </c>
      <c r="L68" s="1">
        <f t="shared" si="0"/>
        <v>489.14196698588739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3.21</v>
      </c>
      <c r="G69">
        <v>391604</v>
      </c>
      <c r="H69">
        <v>391603.5</v>
      </c>
      <c r="I69" cm="1">
        <f t="array" ref="I69">TREND($X$8:$X$16,$W$8:$W$16,H69)</f>
        <v>205.73212725300658</v>
      </c>
      <c r="J69">
        <f>I69/(2/0.2)*3</f>
        <v>61.71963817590197</v>
      </c>
      <c r="K69">
        <v>0.14491144298368897</v>
      </c>
      <c r="L69" s="1">
        <f t="shared" si="0"/>
        <v>425.9127982242855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3.21</v>
      </c>
      <c r="G70">
        <v>460118</v>
      </c>
      <c r="H70">
        <v>460117.71899999998</v>
      </c>
      <c r="I70" cm="1">
        <f t="array" ref="I70">TREND($X$8:$X$16,$W$8:$W$16,H70)</f>
        <v>242.11089774044063</v>
      </c>
      <c r="J70">
        <f>I70/(2/0.2)*3</f>
        <v>72.633269322132179</v>
      </c>
      <c r="K70">
        <v>0.14571643408843418</v>
      </c>
      <c r="L70" s="1">
        <f t="shared" si="0"/>
        <v>498.45626388339701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3.21</v>
      </c>
      <c r="G71">
        <v>257945</v>
      </c>
      <c r="H71">
        <v>257944.96900000001</v>
      </c>
      <c r="I71" cm="1">
        <f t="array" ref="I71">TREND($X$8:$X$16,$W$8:$W$16,H71)</f>
        <v>134.76389476192921</v>
      </c>
      <c r="J71">
        <f>I71/(2/0.2)*3</f>
        <v>40.429168428578762</v>
      </c>
      <c r="K71">
        <v>0.26405012648597881</v>
      </c>
      <c r="L71" s="1">
        <f t="shared" si="0"/>
        <v>153.1117177129077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3.21</v>
      </c>
      <c r="G72">
        <v>223012</v>
      </c>
      <c r="H72">
        <v>223011.96900000001</v>
      </c>
      <c r="I72" cm="1">
        <f t="array" ref="I72">TREND($X$8:$X$16,$W$8:$W$16,H72)</f>
        <v>116.21563415287909</v>
      </c>
      <c r="J72">
        <f>I72/(2/0.2)*3</f>
        <v>34.864690245863727</v>
      </c>
      <c r="K72">
        <v>0.17469611385926145</v>
      </c>
      <c r="L72" s="1">
        <f t="shared" si="0"/>
        <v>199.57335899269856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3.22</v>
      </c>
      <c r="G73">
        <v>99568</v>
      </c>
      <c r="H73">
        <v>99567.710999999996</v>
      </c>
      <c r="I73" cm="1">
        <f t="array" ref="I73">TREND($X$8:$X$16,$W$8:$W$16,H73)</f>
        <v>50.670840746219994</v>
      </c>
      <c r="J73">
        <f>I73/(2/0.2)*3</f>
        <v>15.201252223866</v>
      </c>
      <c r="K73">
        <v>0.1175417454223521</v>
      </c>
      <c r="L73" s="1">
        <f t="shared" ref="L73" si="1">J73/K73</f>
        <v>129.3264122397087</v>
      </c>
    </row>
    <row r="74" spans="1:12" x14ac:dyDescent="0.3">
      <c r="A74">
        <v>34</v>
      </c>
      <c r="B74" t="s">
        <v>235</v>
      </c>
      <c r="C74" t="s">
        <v>236</v>
      </c>
      <c r="D74" t="s">
        <v>237</v>
      </c>
      <c r="E74" t="s">
        <v>238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C82E-BA3F-4739-9A52-F4B8D44DEB69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261</v>
      </c>
      <c r="P3" t="s">
        <v>91</v>
      </c>
    </row>
    <row r="5" spans="1:28" x14ac:dyDescent="0.3">
      <c r="A5" t="s">
        <v>262</v>
      </c>
      <c r="P5" t="s">
        <v>92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3.29</v>
      </c>
      <c r="G8">
        <v>46665</v>
      </c>
      <c r="H8">
        <v>46665.406000000003</v>
      </c>
      <c r="I8" cm="1">
        <f t="array" ref="I8">TREND($X$8:$X$16,$W$8:$W$16,H8)</f>
        <v>22.581477108414603</v>
      </c>
      <c r="J8">
        <f>I8/(2/0.2)*3</f>
        <v>6.7744431325243815</v>
      </c>
      <c r="K8">
        <v>0.14813140740266978</v>
      </c>
      <c r="L8" s="1">
        <f>J8/K8</f>
        <v>45.732658936461881</v>
      </c>
      <c r="P8">
        <v>1</v>
      </c>
      <c r="Q8" t="s">
        <v>80</v>
      </c>
      <c r="R8" t="s">
        <v>39</v>
      </c>
      <c r="S8" t="s">
        <v>12</v>
      </c>
      <c r="T8" t="s">
        <v>13</v>
      </c>
      <c r="U8">
        <v>3.12</v>
      </c>
      <c r="V8">
        <v>4104</v>
      </c>
      <c r="W8">
        <v>4104.451</v>
      </c>
      <c r="X8">
        <v>1</v>
      </c>
      <c r="Y8">
        <v>1.04</v>
      </c>
      <c r="Z8">
        <v>4</v>
      </c>
      <c r="AA8">
        <v>12</v>
      </c>
      <c r="AB8">
        <v>23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3.29</v>
      </c>
      <c r="G9">
        <v>70262</v>
      </c>
      <c r="H9">
        <v>70262.460999999996</v>
      </c>
      <c r="I9" cm="1">
        <f t="array" ref="I9">TREND($X$8:$X$16,$W$8:$W$16,H9)</f>
        <v>35.110728124533729</v>
      </c>
      <c r="J9">
        <f>I9/(2/0.2)*3</f>
        <v>10.533218437360119</v>
      </c>
      <c r="K9">
        <v>0.11673675431760691</v>
      </c>
      <c r="L9" s="1">
        <f t="shared" ref="L9:L72" si="0">J9/K9</f>
        <v>90.230523359440696</v>
      </c>
      <c r="P9">
        <v>2</v>
      </c>
      <c r="Q9" t="s">
        <v>81</v>
      </c>
      <c r="R9" t="s">
        <v>40</v>
      </c>
      <c r="S9" t="s">
        <v>12</v>
      </c>
      <c r="T9" t="s">
        <v>14</v>
      </c>
      <c r="U9">
        <v>3.22</v>
      </c>
      <c r="V9">
        <v>6052</v>
      </c>
      <c r="W9">
        <v>6052.2719999999999</v>
      </c>
      <c r="X9">
        <v>2</v>
      </c>
      <c r="Y9">
        <v>2.0350000000000001</v>
      </c>
      <c r="Z9">
        <v>1.8</v>
      </c>
      <c r="AA9">
        <v>45</v>
      </c>
      <c r="AB9">
        <v>28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3.29</v>
      </c>
      <c r="G10">
        <v>73231</v>
      </c>
      <c r="H10">
        <v>73230.508000000002</v>
      </c>
      <c r="I10" cm="1">
        <f t="array" ref="I10">TREND($X$8:$X$16,$W$8:$W$16,H10)</f>
        <v>36.686662320162775</v>
      </c>
      <c r="J10">
        <f>I10/(2/0.2)*3</f>
        <v>11.005998696048831</v>
      </c>
      <c r="K10">
        <v>8.6147092337289247E-2</v>
      </c>
      <c r="L10" s="1">
        <f t="shared" si="0"/>
        <v>127.75821443813054</v>
      </c>
      <c r="P10">
        <v>3</v>
      </c>
      <c r="Q10" t="s">
        <v>82</v>
      </c>
      <c r="R10" t="s">
        <v>41</v>
      </c>
      <c r="S10" t="s">
        <v>12</v>
      </c>
      <c r="T10" t="s">
        <v>15</v>
      </c>
      <c r="U10">
        <v>3.22</v>
      </c>
      <c r="V10">
        <v>11689</v>
      </c>
      <c r="W10">
        <v>11688.611999999999</v>
      </c>
      <c r="X10">
        <v>5</v>
      </c>
      <c r="Y10">
        <v>4.9180000000000001</v>
      </c>
      <c r="Z10">
        <v>-1.6</v>
      </c>
      <c r="AA10">
        <v>84</v>
      </c>
      <c r="AB10">
        <v>61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3.29</v>
      </c>
      <c r="G11">
        <v>81442</v>
      </c>
      <c r="H11">
        <v>81442.25</v>
      </c>
      <c r="I11" cm="1">
        <f t="array" ref="I11">TREND($X$8:$X$16,$W$8:$W$16,H11)</f>
        <v>41.046824077534957</v>
      </c>
      <c r="J11">
        <f>I11/(2/0.2)*3</f>
        <v>12.314047223260486</v>
      </c>
      <c r="K11">
        <v>8.9367056756270047E-2</v>
      </c>
      <c r="L11" s="1">
        <f t="shared" si="0"/>
        <v>137.79179565960726</v>
      </c>
      <c r="P11">
        <v>4</v>
      </c>
      <c r="Q11" t="s">
        <v>83</v>
      </c>
      <c r="R11" t="s">
        <v>42</v>
      </c>
      <c r="S11" t="s">
        <v>12</v>
      </c>
      <c r="T11" t="s">
        <v>16</v>
      </c>
      <c r="U11">
        <v>3.22</v>
      </c>
      <c r="V11">
        <v>22205</v>
      </c>
      <c r="W11">
        <v>22205.248</v>
      </c>
      <c r="X11">
        <v>10</v>
      </c>
      <c r="Y11">
        <v>10.298999999999999</v>
      </c>
      <c r="Z11">
        <v>3</v>
      </c>
      <c r="AA11">
        <v>191</v>
      </c>
      <c r="AB11">
        <v>652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3.29</v>
      </c>
      <c r="G12">
        <v>67306</v>
      </c>
      <c r="H12">
        <v>67305.812999999995</v>
      </c>
      <c r="I12" cm="1">
        <f t="array" ref="I12">TREND($X$8:$X$16,$W$8:$W$16,H12)</f>
        <v>33.540846418604467</v>
      </c>
      <c r="J12">
        <f>I12/(2/0.2)*3</f>
        <v>10.062253925581341</v>
      </c>
      <c r="K12">
        <v>9.3392012279996037E-2</v>
      </c>
      <c r="L12" s="1">
        <f t="shared" si="0"/>
        <v>107.74212569072796</v>
      </c>
      <c r="P12">
        <v>5</v>
      </c>
      <c r="Q12" t="s">
        <v>84</v>
      </c>
      <c r="R12" t="s">
        <v>43</v>
      </c>
      <c r="S12" t="s">
        <v>12</v>
      </c>
      <c r="T12" t="s">
        <v>17</v>
      </c>
      <c r="U12">
        <v>3.22</v>
      </c>
      <c r="V12">
        <v>38303</v>
      </c>
      <c r="W12">
        <v>38303.495999999999</v>
      </c>
      <c r="X12">
        <v>20</v>
      </c>
      <c r="Y12">
        <v>18.545000000000002</v>
      </c>
      <c r="Z12">
        <v>-7.3</v>
      </c>
      <c r="AA12">
        <v>122</v>
      </c>
      <c r="AB12">
        <v>628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3.29</v>
      </c>
      <c r="G13">
        <v>47479</v>
      </c>
      <c r="H13">
        <v>47478.597999999998</v>
      </c>
      <c r="I13" cm="1">
        <f t="array" ref="I13">TREND($X$8:$X$16,$W$8:$W$16,H13)</f>
        <v>23.013255001558466</v>
      </c>
      <c r="J13">
        <f>I13/(2/0.2)*3</f>
        <v>6.9039765004675404</v>
      </c>
      <c r="K13">
        <v>0.18918595374467503</v>
      </c>
      <c r="L13" s="1">
        <f t="shared" si="0"/>
        <v>36.493071307953088</v>
      </c>
      <c r="P13">
        <v>6</v>
      </c>
      <c r="Q13" t="s">
        <v>85</v>
      </c>
      <c r="R13" t="s">
        <v>44</v>
      </c>
      <c r="S13" t="s">
        <v>12</v>
      </c>
      <c r="T13" t="s">
        <v>18</v>
      </c>
      <c r="U13">
        <v>3.22</v>
      </c>
      <c r="V13">
        <v>94290</v>
      </c>
      <c r="W13">
        <v>94290.233999999997</v>
      </c>
      <c r="X13">
        <v>50</v>
      </c>
      <c r="Y13">
        <v>47.305999999999997</v>
      </c>
      <c r="Z13">
        <v>-5.4</v>
      </c>
      <c r="AA13">
        <v>882</v>
      </c>
      <c r="AB13">
        <v>1223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3.29</v>
      </c>
      <c r="G14">
        <v>63238</v>
      </c>
      <c r="H14">
        <v>63237.722999999998</v>
      </c>
      <c r="I14" cm="1">
        <f t="array" ref="I14">TREND($X$8:$X$16,$W$8:$W$16,H14)</f>
        <v>31.380825993760602</v>
      </c>
      <c r="J14">
        <f>I14/(2/0.2)*3</f>
        <v>9.41424779812818</v>
      </c>
      <c r="K14">
        <v>9.2587021175250833E-2</v>
      </c>
      <c r="L14" s="1">
        <f t="shared" si="0"/>
        <v>101.67999443797503</v>
      </c>
      <c r="P14">
        <v>7</v>
      </c>
      <c r="Q14" t="s">
        <v>86</v>
      </c>
      <c r="R14" t="s">
        <v>45</v>
      </c>
      <c r="S14" t="s">
        <v>12</v>
      </c>
      <c r="T14" t="s">
        <v>19</v>
      </c>
      <c r="U14">
        <v>3.22</v>
      </c>
      <c r="V14">
        <v>210857</v>
      </c>
      <c r="W14">
        <v>210856.82800000001</v>
      </c>
      <c r="X14">
        <v>100</v>
      </c>
      <c r="Y14">
        <v>107.613</v>
      </c>
      <c r="Z14">
        <v>7.6</v>
      </c>
      <c r="AA14">
        <v>1428</v>
      </c>
      <c r="AB14">
        <v>1516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3.29</v>
      </c>
      <c r="G15">
        <v>31507</v>
      </c>
      <c r="H15">
        <v>31506.848000000002</v>
      </c>
      <c r="I15" cm="1">
        <f t="array" ref="I15">TREND($X$8:$X$16,$W$8:$W$16,H15)</f>
        <v>14.532787209425056</v>
      </c>
      <c r="J15">
        <f>I15/(2/0.2)*3</f>
        <v>4.3598361628275164</v>
      </c>
      <c r="K15">
        <v>0.14974138961216016</v>
      </c>
      <c r="L15" s="1">
        <f t="shared" si="0"/>
        <v>29.115772026156382</v>
      </c>
      <c r="P15">
        <v>8</v>
      </c>
      <c r="Q15" t="s">
        <v>87</v>
      </c>
      <c r="R15" t="s">
        <v>46</v>
      </c>
      <c r="S15" t="s">
        <v>12</v>
      </c>
      <c r="T15" t="s">
        <v>20</v>
      </c>
      <c r="U15">
        <v>3.22</v>
      </c>
      <c r="V15">
        <v>379187</v>
      </c>
      <c r="W15">
        <v>379187.25</v>
      </c>
      <c r="X15">
        <v>200</v>
      </c>
      <c r="Y15">
        <v>195.738</v>
      </c>
      <c r="Z15">
        <v>-2.1</v>
      </c>
      <c r="AA15">
        <v>464</v>
      </c>
      <c r="AB15">
        <v>4192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3.29</v>
      </c>
      <c r="G16">
        <v>94492</v>
      </c>
      <c r="H16">
        <v>94492.375</v>
      </c>
      <c r="I16" cm="1">
        <f t="array" ref="I16">TREND($X$8:$X$16,$W$8:$W$16,H16)</f>
        <v>47.976006211353422</v>
      </c>
      <c r="J16">
        <f>I16/(2/0.2)*3</f>
        <v>14.392801863406028</v>
      </c>
      <c r="K16">
        <v>0.19965083810636269</v>
      </c>
      <c r="L16" s="1">
        <f t="shared" si="0"/>
        <v>72.089864485008349</v>
      </c>
      <c r="P16">
        <v>9</v>
      </c>
      <c r="Q16" t="s">
        <v>88</v>
      </c>
      <c r="R16" t="s">
        <v>47</v>
      </c>
      <c r="S16" t="s">
        <v>12</v>
      </c>
      <c r="T16" t="s">
        <v>21</v>
      </c>
      <c r="U16">
        <v>3.22</v>
      </c>
      <c r="V16">
        <v>942961</v>
      </c>
      <c r="W16">
        <v>942960.56299999997</v>
      </c>
      <c r="X16">
        <v>500</v>
      </c>
      <c r="Y16">
        <v>500.51400000000001</v>
      </c>
      <c r="Z16">
        <v>0.1</v>
      </c>
      <c r="AA16">
        <v>6492</v>
      </c>
      <c r="AB16">
        <v>7144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3.29</v>
      </c>
      <c r="G17">
        <v>134475</v>
      </c>
      <c r="H17">
        <v>134474.641</v>
      </c>
      <c r="I17" cm="1">
        <f t="array" ref="I17">TREND($X$8:$X$16,$W$8:$W$16,H17)</f>
        <v>69.20525905274593</v>
      </c>
      <c r="J17">
        <f>I17/(2/0.2)*3</f>
        <v>20.761577715823776</v>
      </c>
      <c r="K17">
        <v>0.22058060682973793</v>
      </c>
      <c r="L17" s="1">
        <f t="shared" si="0"/>
        <v>94.122407287823137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3.29</v>
      </c>
      <c r="G18">
        <v>114201</v>
      </c>
      <c r="H18">
        <v>114200.57799999999</v>
      </c>
      <c r="I18" cm="1">
        <f t="array" ref="I18">TREND($X$8:$X$16,$W$8:$W$16,H18)</f>
        <v>58.440406216507959</v>
      </c>
      <c r="J18">
        <f>I18/(2/0.2)*3</f>
        <v>17.532121864952387</v>
      </c>
      <c r="K18">
        <v>0.12720163867929454</v>
      </c>
      <c r="L18" s="1">
        <f t="shared" si="0"/>
        <v>137.82937112276531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3.29</v>
      </c>
      <c r="G19">
        <v>79046</v>
      </c>
      <c r="H19">
        <v>79046.391000000003</v>
      </c>
      <c r="I19" cm="1">
        <f t="array" ref="I19">TREND($X$8:$X$16,$W$8:$W$16,H19)</f>
        <v>39.774702670425974</v>
      </c>
      <c r="J19">
        <f>I19/(2/0.2)*3</f>
        <v>11.932410801127791</v>
      </c>
      <c r="K19">
        <v>0.1594012828691026</v>
      </c>
      <c r="L19" s="1">
        <f t="shared" si="0"/>
        <v>74.85768361680293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3.29</v>
      </c>
      <c r="G20">
        <v>138120</v>
      </c>
      <c r="H20">
        <v>138120.31299999999</v>
      </c>
      <c r="I20" cm="1">
        <f t="array" ref="I20">TREND($X$8:$X$16,$W$8:$W$16,H20)</f>
        <v>71.14098957549281</v>
      </c>
      <c r="J20">
        <f>I20/(2/0.2)*3</f>
        <v>21.342296872647843</v>
      </c>
      <c r="K20">
        <v>0.14491144298368897</v>
      </c>
      <c r="L20" s="1">
        <f t="shared" si="0"/>
        <v>147.27820269549107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3.29</v>
      </c>
      <c r="G21">
        <v>165099</v>
      </c>
      <c r="H21">
        <v>165099.34400000001</v>
      </c>
      <c r="I21" cm="1">
        <f t="array" ref="I21">TREND($X$8:$X$16,$W$8:$W$16,H21)</f>
        <v>85.465957312808328</v>
      </c>
      <c r="J21">
        <f>I21/(2/0.2)*3</f>
        <v>25.639787193842501</v>
      </c>
      <c r="K21">
        <v>0.24553533107683917</v>
      </c>
      <c r="L21" s="1">
        <f t="shared" si="0"/>
        <v>104.42402354640622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3.29</v>
      </c>
      <c r="G22">
        <v>85883</v>
      </c>
      <c r="H22">
        <v>85882.547000000006</v>
      </c>
      <c r="I22" cm="1">
        <f t="array" ref="I22">TREND($X$8:$X$16,$W$8:$W$16,H22)</f>
        <v>43.404474034240181</v>
      </c>
      <c r="J22">
        <f>I22/(2/0.2)*3</f>
        <v>13.021342210272053</v>
      </c>
      <c r="K22">
        <v>0.3002747261995129</v>
      </c>
      <c r="L22" s="1">
        <f t="shared" si="0"/>
        <v>43.364762579519343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3.29</v>
      </c>
      <c r="G23">
        <v>96806</v>
      </c>
      <c r="H23">
        <v>96805.625</v>
      </c>
      <c r="I23" cm="1">
        <f t="array" ref="I23">TREND($X$8:$X$16,$W$8:$W$16,H23)</f>
        <v>49.204264988265948</v>
      </c>
      <c r="J23">
        <f>I23/(2/0.2)*3</f>
        <v>14.761279496479785</v>
      </c>
      <c r="K23">
        <v>0.17147614944028067</v>
      </c>
      <c r="L23" s="1">
        <f t="shared" si="0"/>
        <v>86.083572232420806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3.29</v>
      </c>
      <c r="G24">
        <v>78349</v>
      </c>
      <c r="H24">
        <v>78348.648000000001</v>
      </c>
      <c r="I24" cm="1">
        <f t="array" ref="I24">TREND($X$8:$X$16,$W$8:$W$16,H24)</f>
        <v>39.404224354731916</v>
      </c>
      <c r="J24">
        <f>I24/(2/0.2)*3</f>
        <v>11.821267306419575</v>
      </c>
      <c r="K24">
        <v>0.18113604269722305</v>
      </c>
      <c r="L24" s="1">
        <f t="shared" si="0"/>
        <v>65.261817197692395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3.29</v>
      </c>
      <c r="G25">
        <v>96551</v>
      </c>
      <c r="H25">
        <v>96550.898000000001</v>
      </c>
      <c r="I25" cm="1">
        <f t="array" ref="I25">TREND($X$8:$X$16,$W$8:$W$16,H25)</f>
        <v>49.069013427273148</v>
      </c>
      <c r="J25">
        <f>I25/(2/0.2)*3</f>
        <v>14.720704028181943</v>
      </c>
      <c r="K25">
        <v>8.2927127918308433E-2</v>
      </c>
      <c r="L25" s="1">
        <f t="shared" si="0"/>
        <v>177.513732812299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3.29</v>
      </c>
      <c r="G26">
        <v>129772</v>
      </c>
      <c r="H26">
        <v>129771.914</v>
      </c>
      <c r="I26" cm="1">
        <f t="array" ref="I26">TREND($X$8:$X$16,$W$8:$W$16,H26)</f>
        <v>66.708267498364208</v>
      </c>
      <c r="J26">
        <f>I26/(2/0.2)*3</f>
        <v>20.01248024950926</v>
      </c>
      <c r="K26">
        <v>0.11593176321286171</v>
      </c>
      <c r="L26" s="1">
        <f t="shared" si="0"/>
        <v>172.62292658108242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3.29</v>
      </c>
      <c r="G27">
        <v>167130</v>
      </c>
      <c r="H27">
        <v>167129.71900000001</v>
      </c>
      <c r="I27" cm="1">
        <f t="array" ref="I27">TREND($X$8:$X$16,$W$8:$W$16,H27)</f>
        <v>86.544018877349018</v>
      </c>
      <c r="J27">
        <f>I27/(2/0.2)*3</f>
        <v>25.963205663204707</v>
      </c>
      <c r="K27">
        <v>0.17469611385926145</v>
      </c>
      <c r="L27" s="1">
        <f t="shared" si="0"/>
        <v>148.61925139400162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3.29</v>
      </c>
      <c r="G28">
        <v>80584</v>
      </c>
      <c r="H28">
        <v>80584.258000000002</v>
      </c>
      <c r="I28" cm="1">
        <f t="array" ref="I28">TREND($X$8:$X$16,$W$8:$W$16,H28)</f>
        <v>40.591258875105162</v>
      </c>
      <c r="J28">
        <f>I28/(2/0.2)*3</f>
        <v>12.17737766253155</v>
      </c>
      <c r="K28">
        <v>0.17952606048773259</v>
      </c>
      <c r="L28" s="1">
        <f t="shared" si="0"/>
        <v>67.830696164380299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3.29</v>
      </c>
      <c r="G29">
        <v>114541</v>
      </c>
      <c r="H29">
        <v>114541.273</v>
      </c>
      <c r="I29" cm="1">
        <f t="array" ref="I29">TREND($X$8:$X$16,$W$8:$W$16,H29)</f>
        <v>58.621303924926949</v>
      </c>
      <c r="J29">
        <f>I29/(2/0.2)*3</f>
        <v>17.586391177478085</v>
      </c>
      <c r="K29">
        <v>0.19723586479212707</v>
      </c>
      <c r="L29" s="1">
        <f t="shared" si="0"/>
        <v>89.164266326577689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3.29</v>
      </c>
      <c r="G30">
        <v>99975</v>
      </c>
      <c r="H30">
        <v>99975.437999999995</v>
      </c>
      <c r="I30" cm="1">
        <f t="array" ref="I30">TREND($X$8:$X$16,$W$8:$W$16,H30)</f>
        <v>50.887330216158048</v>
      </c>
      <c r="J30">
        <f>I30/(2/0.2)*3</f>
        <v>15.266199064847413</v>
      </c>
      <c r="K30">
        <v>0.28417490410460888</v>
      </c>
      <c r="L30" s="1">
        <f t="shared" si="0"/>
        <v>53.721137385262232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3.29</v>
      </c>
      <c r="G31">
        <v>108854</v>
      </c>
      <c r="H31">
        <v>108853.57799999999</v>
      </c>
      <c r="I31" cm="1">
        <f t="array" ref="I31">TREND($X$8:$X$16,$W$8:$W$16,H31)</f>
        <v>55.60132713722502</v>
      </c>
      <c r="J31">
        <f>I31/(2/0.2)*3</f>
        <v>16.680398141167505</v>
      </c>
      <c r="K31">
        <v>0.17872106938298743</v>
      </c>
      <c r="L31" s="1">
        <f t="shared" si="0"/>
        <v>93.332018428238669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3.29</v>
      </c>
      <c r="G32">
        <v>204803</v>
      </c>
      <c r="H32">
        <v>204802.625</v>
      </c>
      <c r="I32" cm="1">
        <f t="array" ref="I32">TREND($X$8:$X$16,$W$8:$W$16,H32)</f>
        <v>106.54707840238976</v>
      </c>
      <c r="J32">
        <f>I32/(2/0.2)*3</f>
        <v>31.964123520716925</v>
      </c>
      <c r="K32">
        <v>0.19884584700161748</v>
      </c>
      <c r="L32" s="1">
        <f t="shared" si="0"/>
        <v>160.74825802349756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3.29</v>
      </c>
      <c r="G33">
        <v>136429</v>
      </c>
      <c r="H33">
        <v>136429.42199999999</v>
      </c>
      <c r="I33" cm="1">
        <f t="array" ref="I33">TREND($X$8:$X$16,$W$8:$W$16,H33)</f>
        <v>70.243182718666958</v>
      </c>
      <c r="J33">
        <f>I33/(2/0.2)*3</f>
        <v>21.072954815600085</v>
      </c>
      <c r="K33">
        <v>0.17469611385926145</v>
      </c>
      <c r="L33" s="1">
        <f t="shared" si="0"/>
        <v>120.62635138281817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3.29</v>
      </c>
      <c r="G34">
        <v>78611</v>
      </c>
      <c r="H34">
        <v>78610.789000000004</v>
      </c>
      <c r="I34" cm="1">
        <f t="array" ref="I34">TREND($X$8:$X$16,$W$8:$W$16,H34)</f>
        <v>39.543412503024854</v>
      </c>
      <c r="J34">
        <f>I34/(2/0.2)*3</f>
        <v>11.863023750907455</v>
      </c>
      <c r="K34">
        <v>0.24875529549582001</v>
      </c>
      <c r="L34" s="1">
        <f t="shared" si="0"/>
        <v>47.689532507286053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3.29</v>
      </c>
      <c r="G35">
        <v>92849</v>
      </c>
      <c r="H35">
        <v>92848.945000000007</v>
      </c>
      <c r="I35" cm="1">
        <f t="array" ref="I35">TREND($X$8:$X$16,$W$8:$W$16,H35)</f>
        <v>47.103399566269083</v>
      </c>
      <c r="J35">
        <f>I35/(2/0.2)*3</f>
        <v>14.131019869880726</v>
      </c>
      <c r="K35">
        <v>0.18274602490671343</v>
      </c>
      <c r="L35" s="1">
        <f t="shared" si="0"/>
        <v>77.326004092806969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3.29</v>
      </c>
      <c r="G36">
        <v>188842</v>
      </c>
      <c r="H36">
        <v>188841.95300000001</v>
      </c>
      <c r="I36" cm="1">
        <f t="array" ref="I36">TREND($X$8:$X$16,$W$8:$W$16,H36)</f>
        <v>98.072492659637376</v>
      </c>
      <c r="J36">
        <f>I36/(2/0.2)*3</f>
        <v>29.421747797891211</v>
      </c>
      <c r="K36">
        <v>0.18113604269722305</v>
      </c>
      <c r="L36" s="1">
        <f t="shared" si="0"/>
        <v>162.42900838388618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3.29</v>
      </c>
      <c r="G37">
        <v>103734</v>
      </c>
      <c r="H37">
        <v>103734.125</v>
      </c>
      <c r="I37" cm="1">
        <f t="array" ref="I37">TREND($X$8:$X$16,$W$8:$W$16,H37)</f>
        <v>52.883067943345779</v>
      </c>
      <c r="J37">
        <f>I37/(2/0.2)*3</f>
        <v>15.864920383003735</v>
      </c>
      <c r="K37">
        <v>0.12156670094607813</v>
      </c>
      <c r="L37" s="1">
        <f t="shared" si="0"/>
        <v>130.50383254243894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3.29</v>
      </c>
      <c r="G38">
        <v>115205</v>
      </c>
      <c r="H38">
        <v>115204.508</v>
      </c>
      <c r="I38" cm="1">
        <f t="array" ref="I38">TREND($X$8:$X$16,$W$8:$W$16,H38)</f>
        <v>58.973459640870139</v>
      </c>
      <c r="J38">
        <f>I38/(2/0.2)*3</f>
        <v>17.692037892261041</v>
      </c>
      <c r="K38">
        <v>8.8562065651524843E-2</v>
      </c>
      <c r="L38" s="1">
        <f t="shared" si="0"/>
        <v>199.7699326693203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3.29</v>
      </c>
      <c r="G39">
        <v>181375</v>
      </c>
      <c r="H39">
        <v>181374.71900000001</v>
      </c>
      <c r="I39" cm="1">
        <f t="array" ref="I39">TREND($X$8:$X$16,$W$8:$W$16,H39)</f>
        <v>94.107639876860063</v>
      </c>
      <c r="J39">
        <f>I39/(2/0.2)*3</f>
        <v>28.232291963058021</v>
      </c>
      <c r="K39">
        <v>0.13766652304098212</v>
      </c>
      <c r="L39" s="1">
        <f t="shared" si="0"/>
        <v>205.07739528406273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3.29</v>
      </c>
      <c r="G40">
        <v>109289</v>
      </c>
      <c r="H40">
        <v>109288.719</v>
      </c>
      <c r="I40" cm="1">
        <f t="array" ref="I40">TREND($X$8:$X$16,$W$8:$W$16,H40)</f>
        <v>55.832372528965855</v>
      </c>
      <c r="J40">
        <f>I40/(2/0.2)*3</f>
        <v>16.749711758689756</v>
      </c>
      <c r="K40">
        <v>8.2122136813563229E-2</v>
      </c>
      <c r="L40" s="1">
        <f t="shared" si="0"/>
        <v>203.96098309905869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3.29</v>
      </c>
      <c r="G41">
        <v>76620</v>
      </c>
      <c r="H41">
        <v>76620.195000000007</v>
      </c>
      <c r="I41" cm="1">
        <f t="array" ref="I41">TREND($X$8:$X$16,$W$8:$W$16,H41)</f>
        <v>38.48647332577665</v>
      </c>
      <c r="J41">
        <f>I41/(2/0.2)*3</f>
        <v>11.545941997732996</v>
      </c>
      <c r="K41">
        <v>0.10224691443219328</v>
      </c>
      <c r="L41" s="1">
        <f t="shared" si="0"/>
        <v>112.92215576236168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3.29</v>
      </c>
      <c r="G42">
        <v>158935</v>
      </c>
      <c r="H42">
        <v>158935.46900000001</v>
      </c>
      <c r="I42" cm="1">
        <f t="array" ref="I42">TREND($X$8:$X$16,$W$8:$W$16,H42)</f>
        <v>82.193144789932845</v>
      </c>
      <c r="J42">
        <f>I42/(2/0.2)*3</f>
        <v>24.657943436979856</v>
      </c>
      <c r="K42">
        <v>0.12639664757454935</v>
      </c>
      <c r="L42" s="1">
        <f t="shared" si="0"/>
        <v>195.0838405143339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3.29</v>
      </c>
      <c r="G43">
        <v>88900</v>
      </c>
      <c r="H43">
        <v>88899.656000000003</v>
      </c>
      <c r="I43" cm="1">
        <f t="array" ref="I43">TREND($X$8:$X$16,$W$8:$W$16,H43)</f>
        <v>45.00645851933767</v>
      </c>
      <c r="J43">
        <f>I43/(2/0.2)*3</f>
        <v>13.5019375558013</v>
      </c>
      <c r="K43">
        <v>0.15054638071690538</v>
      </c>
      <c r="L43" s="1">
        <f t="shared" si="0"/>
        <v>89.68623152217117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3.29</v>
      </c>
      <c r="G44">
        <v>104473</v>
      </c>
      <c r="H44">
        <v>104473.148</v>
      </c>
      <c r="I44" cm="1">
        <f t="array" ref="I44">TREND($X$8:$X$16,$W$8:$W$16,H44)</f>
        <v>53.275464565453305</v>
      </c>
      <c r="J44">
        <f>I44/(2/0.2)*3</f>
        <v>15.98263936963599</v>
      </c>
      <c r="K44">
        <v>0.14893639850741497</v>
      </c>
      <c r="L44" s="1">
        <f t="shared" si="0"/>
        <v>107.31184270472524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3.29</v>
      </c>
      <c r="G45">
        <v>120953</v>
      </c>
      <c r="H45">
        <v>120953.32799999999</v>
      </c>
      <c r="I45" cm="1">
        <f t="array" ref="I45">TREND($X$8:$X$16,$W$8:$W$16,H45)</f>
        <v>62.025891769645781</v>
      </c>
      <c r="J45">
        <f>I45/(2/0.2)*3</f>
        <v>18.607767530893732</v>
      </c>
      <c r="K45">
        <v>4.0262599366812736E-2</v>
      </c>
      <c r="L45" s="1">
        <f t="shared" si="0"/>
        <v>462.16011443691241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3.29</v>
      </c>
      <c r="G46">
        <v>94195</v>
      </c>
      <c r="H46">
        <v>94194.601999999999</v>
      </c>
      <c r="I46" cm="1">
        <f t="array" ref="I46">TREND($X$8:$X$16,$W$8:$W$16,H46)</f>
        <v>47.817898656710568</v>
      </c>
      <c r="J46">
        <f>I46/(2/0.2)*3</f>
        <v>14.345369597013169</v>
      </c>
      <c r="K46">
        <v>0.11351678989862611</v>
      </c>
      <c r="L46" s="1">
        <f t="shared" si="0"/>
        <v>126.3722274900833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3.29</v>
      </c>
      <c r="G47">
        <v>127070</v>
      </c>
      <c r="H47">
        <v>127070.44500000001</v>
      </c>
      <c r="I47" cm="1">
        <f t="array" ref="I47">TREND($X$8:$X$16,$W$8:$W$16,H47)</f>
        <v>65.273877350387508</v>
      </c>
      <c r="J47">
        <f>I47/(2/0.2)*3</f>
        <v>19.582163205116252</v>
      </c>
      <c r="K47">
        <v>0.10144192332744809</v>
      </c>
      <c r="L47" s="1">
        <f t="shared" si="0"/>
        <v>193.03816965207051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3.29</v>
      </c>
      <c r="G48">
        <v>87760</v>
      </c>
      <c r="H48">
        <v>87759.516000000003</v>
      </c>
      <c r="I48" cm="1">
        <f t="array" ref="I48">TREND($X$8:$X$16,$W$8:$W$16,H48)</f>
        <v>44.401082117345219</v>
      </c>
      <c r="J48">
        <f>I48/(2/0.2)*3</f>
        <v>13.320324635203566</v>
      </c>
      <c r="K48">
        <v>8.3732119023053622E-2</v>
      </c>
      <c r="L48" s="1">
        <f t="shared" si="0"/>
        <v>159.08261716792495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3.29</v>
      </c>
      <c r="G49">
        <v>116690</v>
      </c>
      <c r="H49">
        <v>116689.617</v>
      </c>
      <c r="I49" cm="1">
        <f t="array" ref="I49">TREND($X$8:$X$16,$W$8:$W$16,H49)</f>
        <v>59.762003103064785</v>
      </c>
      <c r="J49">
        <f>I49/(2/0.2)*3</f>
        <v>17.928600930919437</v>
      </c>
      <c r="K49">
        <v>0.22299558014397355</v>
      </c>
      <c r="L49" s="1">
        <f t="shared" si="0"/>
        <v>80.398907096473039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3.29</v>
      </c>
      <c r="G50">
        <v>125835</v>
      </c>
      <c r="H50">
        <v>125834.55499999999</v>
      </c>
      <c r="I50" cm="1">
        <f t="array" ref="I50">TREND($X$8:$X$16,$W$8:$W$16,H50)</f>
        <v>64.617660884463632</v>
      </c>
      <c r="J50">
        <f>I50/(2/0.2)*3</f>
        <v>19.385298265339088</v>
      </c>
      <c r="K50">
        <v>0.1175417454223521</v>
      </c>
      <c r="L50" s="1">
        <f t="shared" si="0"/>
        <v>164.92266807578579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3.29</v>
      </c>
      <c r="G51">
        <v>168501</v>
      </c>
      <c r="H51">
        <v>168501.21900000001</v>
      </c>
      <c r="I51" cm="1">
        <f t="array" ref="I51">TREND($X$8:$X$16,$W$8:$W$16,H51)</f>
        <v>87.272239740868102</v>
      </c>
      <c r="J51">
        <f>I51/(2/0.2)*3</f>
        <v>26.181671922260428</v>
      </c>
      <c r="K51">
        <v>0.11351678989862611</v>
      </c>
      <c r="L51" s="1">
        <f t="shared" si="0"/>
        <v>230.64140507885611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3.29</v>
      </c>
      <c r="G52">
        <v>72064</v>
      </c>
      <c r="H52">
        <v>72064.312999999995</v>
      </c>
      <c r="I52" cm="1">
        <f t="array" ref="I52">TREND($X$8:$X$16,$W$8:$W$16,H52)</f>
        <v>36.067451580146994</v>
      </c>
      <c r="J52">
        <f>I52/(2/0.2)*3</f>
        <v>10.820235474044097</v>
      </c>
      <c r="K52">
        <v>8.4537110127798853E-2</v>
      </c>
      <c r="L52" s="1">
        <f t="shared" si="0"/>
        <v>127.99391246857884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3.29</v>
      </c>
      <c r="G53">
        <v>203491</v>
      </c>
      <c r="H53">
        <v>203491.28099999999</v>
      </c>
      <c r="I53" cm="1">
        <f t="array" ref="I53">TREND($X$8:$X$16,$W$8:$W$16,H53)</f>
        <v>105.85079837318773</v>
      </c>
      <c r="J53">
        <f>I53/(2/0.2)*3</f>
        <v>31.755239511956319</v>
      </c>
      <c r="K53">
        <v>0.1078818521654097</v>
      </c>
      <c r="L53" s="1">
        <f t="shared" si="0"/>
        <v>294.35200522204275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3.29</v>
      </c>
      <c r="G54">
        <v>148520</v>
      </c>
      <c r="H54">
        <v>148520.40599999999</v>
      </c>
      <c r="I54" cm="1">
        <f t="array" ref="I54">TREND($X$8:$X$16,$W$8:$W$16,H54)</f>
        <v>76.663092896775211</v>
      </c>
      <c r="J54">
        <f>I54/(2/0.2)*3</f>
        <v>22.998927869032563</v>
      </c>
      <c r="K54">
        <v>0.14813140740266978</v>
      </c>
      <c r="L54" s="1">
        <f t="shared" si="0"/>
        <v>155.26030753568639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3.29</v>
      </c>
      <c r="G55">
        <v>85854</v>
      </c>
      <c r="H55">
        <v>85853.82</v>
      </c>
      <c r="I55" cm="1">
        <f t="array" ref="I55">TREND($X$8:$X$16,$W$8:$W$16,H55)</f>
        <v>43.389220953127307</v>
      </c>
      <c r="J55">
        <f>I55/(2/0.2)*3</f>
        <v>13.016766285938191</v>
      </c>
      <c r="K55">
        <v>6.6022314718659172E-2</v>
      </c>
      <c r="L55" s="1">
        <f t="shared" si="0"/>
        <v>197.15707244446858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3.29</v>
      </c>
      <c r="G56">
        <v>137789</v>
      </c>
      <c r="H56">
        <v>137789.25</v>
      </c>
      <c r="I56" cm="1">
        <f t="array" ref="I56">TREND($X$8:$X$16,$W$8:$W$16,H56)</f>
        <v>70.965206138570309</v>
      </c>
      <c r="J56">
        <f>I56/(2/0.2)*3</f>
        <v>21.289561841571093</v>
      </c>
      <c r="K56">
        <v>0.22621554456295434</v>
      </c>
      <c r="L56" s="1">
        <f t="shared" si="0"/>
        <v>94.111843121577991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3.29</v>
      </c>
      <c r="G57">
        <v>102963</v>
      </c>
      <c r="H57">
        <v>102963.141</v>
      </c>
      <c r="I57" cm="1">
        <f t="array" ref="I57">TREND($X$8:$X$16,$W$8:$W$16,H57)</f>
        <v>52.473701093736302</v>
      </c>
      <c r="J57">
        <f>I57/(2/0.2)*3</f>
        <v>15.742110328120891</v>
      </c>
      <c r="K57">
        <v>0.21897062462024752</v>
      </c>
      <c r="L57" s="1">
        <f t="shared" si="0"/>
        <v>71.891425415723404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3.29</v>
      </c>
      <c r="G58">
        <v>153585</v>
      </c>
      <c r="H58">
        <v>153584.609</v>
      </c>
      <c r="I58" cm="1">
        <f t="array" ref="I58">TREND($X$8:$X$16,$W$8:$W$16,H58)</f>
        <v>79.352016179090882</v>
      </c>
      <c r="J58">
        <f>I58/(2/0.2)*3</f>
        <v>23.805604853727267</v>
      </c>
      <c r="K58">
        <v>0.11271179879388092</v>
      </c>
      <c r="L58" s="1">
        <f t="shared" si="0"/>
        <v>211.20774496076683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3.29</v>
      </c>
      <c r="G59">
        <v>150105</v>
      </c>
      <c r="H59">
        <v>150105.45300000001</v>
      </c>
      <c r="I59" cm="1">
        <f t="array" ref="I59">TREND($X$8:$X$16,$W$8:$W$16,H59)</f>
        <v>77.504700111546157</v>
      </c>
      <c r="J59">
        <f>I59/(2/0.2)*3</f>
        <v>23.251410033463848</v>
      </c>
      <c r="K59">
        <v>9.1782030070505644E-2</v>
      </c>
      <c r="L59" s="1">
        <f t="shared" si="0"/>
        <v>253.33292383707843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3.29</v>
      </c>
      <c r="G60">
        <v>146335</v>
      </c>
      <c r="H60">
        <v>146334.93799999999</v>
      </c>
      <c r="I60" cm="1">
        <f t="array" ref="I60">TREND($X$8:$X$16,$W$8:$W$16,H60)</f>
        <v>75.502682109933559</v>
      </c>
      <c r="J60">
        <f>I60/(2/0.2)*3</f>
        <v>22.650804632980069</v>
      </c>
      <c r="K60">
        <v>0.16584121170706426</v>
      </c>
      <c r="L60" s="1">
        <f t="shared" si="0"/>
        <v>136.58127795755379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3.29</v>
      </c>
      <c r="G61">
        <v>118524</v>
      </c>
      <c r="H61">
        <v>118524.398</v>
      </c>
      <c r="I61" cm="1">
        <f t="array" ref="I61">TREND($X$8:$X$16,$W$8:$W$16,H61)</f>
        <v>60.736210761969943</v>
      </c>
      <c r="J61">
        <f>I61/(2/0.2)*3</f>
        <v>18.220863228590986</v>
      </c>
      <c r="K61">
        <v>0.20850574025855992</v>
      </c>
      <c r="L61" s="1">
        <f t="shared" si="0"/>
        <v>87.387825419079576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3.29</v>
      </c>
      <c r="G62">
        <v>90911</v>
      </c>
      <c r="H62">
        <v>90911.468999999997</v>
      </c>
      <c r="I62" cm="1">
        <f t="array" ref="I62">TREND($X$8:$X$16,$W$8:$W$16,H62)</f>
        <v>46.074664279526459</v>
      </c>
      <c r="J62">
        <f>I62/(2/0.2)*3</f>
        <v>13.822399283857939</v>
      </c>
      <c r="K62">
        <v>0.15457133624063138</v>
      </c>
      <c r="L62" s="1">
        <f t="shared" si="0"/>
        <v>89.424078357837956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3.29</v>
      </c>
      <c r="G63">
        <v>96500</v>
      </c>
      <c r="H63">
        <v>96500.343999999997</v>
      </c>
      <c r="I63" cm="1">
        <f t="array" ref="I63">TREND($X$8:$X$16,$W$8:$W$16,H63)</f>
        <v>49.042170935450798</v>
      </c>
      <c r="J63">
        <f>I63/(2/0.2)*3</f>
        <v>14.712651280635241</v>
      </c>
      <c r="K63">
        <v>0.22863051787718996</v>
      </c>
      <c r="L63" s="1">
        <f t="shared" si="0"/>
        <v>64.351213552944031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3.29</v>
      </c>
      <c r="G64">
        <v>109730</v>
      </c>
      <c r="H64">
        <v>109730.25</v>
      </c>
      <c r="I64" cm="1">
        <f t="array" ref="I64">TREND($X$8:$X$16,$W$8:$W$16,H64)</f>
        <v>56.06681079808029</v>
      </c>
      <c r="J64">
        <f>I64/(2/0.2)*3</f>
        <v>16.820043239424088</v>
      </c>
      <c r="K64">
        <v>0.19079593595416544</v>
      </c>
      <c r="L64" s="1">
        <f t="shared" si="0"/>
        <v>88.157240641984828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3.29</v>
      </c>
      <c r="G65">
        <v>135909</v>
      </c>
      <c r="H65">
        <v>135909.46900000001</v>
      </c>
      <c r="I65" cm="1">
        <f t="array" ref="I65">TREND($X$8:$X$16,$W$8:$W$16,H65)</f>
        <v>69.967104977034211</v>
      </c>
      <c r="J65">
        <f>I65/(2/0.2)*3</f>
        <v>20.990131493110262</v>
      </c>
      <c r="K65">
        <v>0.13122659420302052</v>
      </c>
      <c r="L65" s="1">
        <f t="shared" si="0"/>
        <v>159.95333583554302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3.29</v>
      </c>
      <c r="G66">
        <v>174900</v>
      </c>
      <c r="H66">
        <v>174899.5</v>
      </c>
      <c r="I66" cm="1">
        <f t="array" ref="I66">TREND($X$8:$X$16,$W$8:$W$16,H66)</f>
        <v>90.669514049914952</v>
      </c>
      <c r="J66">
        <f>I66/(2/0.2)*3</f>
        <v>27.200854214974488</v>
      </c>
      <c r="K66">
        <v>0.13927650525047255</v>
      </c>
      <c r="L66" s="1">
        <f t="shared" si="0"/>
        <v>195.30109666419992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3.29</v>
      </c>
      <c r="G67">
        <v>73818</v>
      </c>
      <c r="H67">
        <v>73817.858999999997</v>
      </c>
      <c r="I67" cm="1">
        <f t="array" ref="I67">TREND($X$8:$X$16,$W$8:$W$16,H67)</f>
        <v>36.998526157136013</v>
      </c>
      <c r="J67">
        <f>I67/(2/0.2)*3</f>
        <v>11.099557847140805</v>
      </c>
      <c r="K67">
        <v>9.7416967803722054E-2</v>
      </c>
      <c r="L67" s="1">
        <f t="shared" si="0"/>
        <v>113.93865049777004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3.29</v>
      </c>
      <c r="G68">
        <v>91589</v>
      </c>
      <c r="H68">
        <v>91588.726999999999</v>
      </c>
      <c r="I68" cm="1">
        <f t="array" ref="I68">TREND($X$8:$X$16,$W$8:$W$16,H68)</f>
        <v>46.43426574185618</v>
      </c>
      <c r="J68">
        <f>I68/(2/0.2)*3</f>
        <v>13.930279722556854</v>
      </c>
      <c r="K68">
        <v>7.4877216870856411E-2</v>
      </c>
      <c r="L68" s="1">
        <f t="shared" si="0"/>
        <v>186.04163328590241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3.29</v>
      </c>
      <c r="G69">
        <v>127744</v>
      </c>
      <c r="H69">
        <v>127743.56299999999</v>
      </c>
      <c r="I69" cm="1">
        <f t="array" ref="I69">TREND($X$8:$X$16,$W$8:$W$16,H69)</f>
        <v>65.631280610475173</v>
      </c>
      <c r="J69">
        <f>I69/(2/0.2)*3</f>
        <v>19.68938418314255</v>
      </c>
      <c r="K69">
        <v>0.14491144298368897</v>
      </c>
      <c r="L69" s="1">
        <f t="shared" si="0"/>
        <v>135.87183853630358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3.29</v>
      </c>
      <c r="G70">
        <v>144177</v>
      </c>
      <c r="H70">
        <v>144177.125</v>
      </c>
      <c r="I70" cm="1">
        <f t="array" ref="I70">TREND($X$8:$X$16,$W$8:$W$16,H70)</f>
        <v>74.356955207875444</v>
      </c>
      <c r="J70">
        <f>I70/(2/0.2)*3</f>
        <v>22.307086562362635</v>
      </c>
      <c r="K70">
        <v>0.14571643408843418</v>
      </c>
      <c r="L70" s="1">
        <f t="shared" si="0"/>
        <v>153.08559190258961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3.29</v>
      </c>
      <c r="G71">
        <v>90125</v>
      </c>
      <c r="H71">
        <v>90125.133000000002</v>
      </c>
      <c r="I71" cm="1">
        <f t="array" ref="I71">TREND($X$8:$X$16,$W$8:$W$16,H71)</f>
        <v>45.657146028752749</v>
      </c>
      <c r="J71">
        <f>I71/(2/0.2)*3</f>
        <v>13.697143808625825</v>
      </c>
      <c r="K71">
        <v>0.26405012648597881</v>
      </c>
      <c r="L71" s="1">
        <f t="shared" si="0"/>
        <v>51.873271150859111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3.29</v>
      </c>
      <c r="G72">
        <v>84370</v>
      </c>
      <c r="H72">
        <v>84369.516000000003</v>
      </c>
      <c r="I72" cm="1">
        <f t="array" ref="I72">TREND($X$8:$X$16,$W$8:$W$16,H72)</f>
        <v>42.60110491914638</v>
      </c>
      <c r="J72">
        <f>I72/(2/0.2)*3</f>
        <v>12.780331475743914</v>
      </c>
      <c r="K72">
        <v>0.17469611385926145</v>
      </c>
      <c r="L72" s="1">
        <f t="shared" si="0"/>
        <v>73.157503011429284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3.29</v>
      </c>
      <c r="G73">
        <v>39313</v>
      </c>
      <c r="H73">
        <v>39313.038999999997</v>
      </c>
      <c r="I73" cm="1">
        <f t="array" ref="I73">TREND($X$8:$X$16,$W$8:$W$16,H73)</f>
        <v>18.677614880453071</v>
      </c>
      <c r="J73">
        <f>I73/(2/0.2)*3</f>
        <v>5.6032844641359212</v>
      </c>
      <c r="K73">
        <v>0.1175417454223521</v>
      </c>
      <c r="L73" s="1">
        <f t="shared" ref="L73" si="1">J73/K73</f>
        <v>47.670590937731504</v>
      </c>
    </row>
    <row r="74" spans="1:12" x14ac:dyDescent="0.3">
      <c r="A74">
        <v>34</v>
      </c>
      <c r="B74" t="s">
        <v>235</v>
      </c>
      <c r="C74" t="s">
        <v>236</v>
      </c>
      <c r="D74" t="s">
        <v>237</v>
      </c>
      <c r="E74" t="s">
        <v>238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7730-3F7A-4285-9C54-DE4E9E25C28A}">
  <dimension ref="A1:AB74"/>
  <sheetViews>
    <sheetView topLeftCell="A5" workbookViewId="0">
      <selection activeCell="L5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263</v>
      </c>
      <c r="P3" t="s">
        <v>91</v>
      </c>
    </row>
    <row r="5" spans="1:28" x14ac:dyDescent="0.3">
      <c r="A5" t="s">
        <v>264</v>
      </c>
      <c r="P5" t="s">
        <v>92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3.37</v>
      </c>
      <c r="G8">
        <v>102161</v>
      </c>
      <c r="H8">
        <v>102160.859</v>
      </c>
      <c r="I8" cm="1">
        <f t="array" ref="I8">TREND($X$8:$X$16,$W$8:$W$16,H8)</f>
        <v>52.047716047563625</v>
      </c>
      <c r="J8">
        <f>I8/(2/0.2)*3</f>
        <v>15.614314814269086</v>
      </c>
      <c r="K8">
        <v>0.14813140740266978</v>
      </c>
      <c r="L8" s="1">
        <f>J8/K8</f>
        <v>105.40853616427376</v>
      </c>
      <c r="P8">
        <v>1</v>
      </c>
      <c r="Q8" t="s">
        <v>80</v>
      </c>
      <c r="R8" t="s">
        <v>39</v>
      </c>
      <c r="S8" t="s">
        <v>12</v>
      </c>
      <c r="T8" t="s">
        <v>13</v>
      </c>
      <c r="U8">
        <v>3.12</v>
      </c>
      <c r="V8">
        <v>4104</v>
      </c>
      <c r="W8">
        <v>4104.451</v>
      </c>
      <c r="X8">
        <v>1</v>
      </c>
      <c r="Y8">
        <v>1.04</v>
      </c>
      <c r="Z8">
        <v>4</v>
      </c>
      <c r="AA8">
        <v>12</v>
      </c>
      <c r="AB8">
        <v>23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3.38</v>
      </c>
      <c r="G9">
        <v>159059</v>
      </c>
      <c r="H9">
        <v>159059.21900000001</v>
      </c>
      <c r="I9" cm="1">
        <f t="array" ref="I9">TREND($X$8:$X$16,$W$8:$W$16,H9)</f>
        <v>82.258851922167977</v>
      </c>
      <c r="J9">
        <f>I9/(2/0.2)*3</f>
        <v>24.677655576650391</v>
      </c>
      <c r="K9">
        <v>0.11673675431760691</v>
      </c>
      <c r="L9" s="1">
        <f t="shared" ref="L9:L72" si="0">J9/K9</f>
        <v>211.39576580576872</v>
      </c>
      <c r="P9">
        <v>2</v>
      </c>
      <c r="Q9" t="s">
        <v>81</v>
      </c>
      <c r="R9" t="s">
        <v>40</v>
      </c>
      <c r="S9" t="s">
        <v>12</v>
      </c>
      <c r="T9" t="s">
        <v>14</v>
      </c>
      <c r="U9">
        <v>3.22</v>
      </c>
      <c r="V9">
        <v>6052</v>
      </c>
      <c r="W9">
        <v>6052.2719999999999</v>
      </c>
      <c r="X9">
        <v>2</v>
      </c>
      <c r="Y9">
        <v>2.0350000000000001</v>
      </c>
      <c r="Z9">
        <v>1.8</v>
      </c>
      <c r="AA9">
        <v>45</v>
      </c>
      <c r="AB9">
        <v>28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3.38</v>
      </c>
      <c r="G10">
        <v>110468</v>
      </c>
      <c r="H10">
        <v>110468.125</v>
      </c>
      <c r="I10" cm="1">
        <f t="array" ref="I10">TREND($X$8:$X$16,$W$8:$W$16,H10)</f>
        <v>56.458597870387365</v>
      </c>
      <c r="J10">
        <f>I10/(2/0.2)*3</f>
        <v>16.937579361116207</v>
      </c>
      <c r="K10">
        <v>8.6147092337289247E-2</v>
      </c>
      <c r="L10" s="1">
        <f t="shared" si="0"/>
        <v>196.61231623234579</v>
      </c>
      <c r="P10">
        <v>3</v>
      </c>
      <c r="Q10" t="s">
        <v>82</v>
      </c>
      <c r="R10" t="s">
        <v>41</v>
      </c>
      <c r="S10" t="s">
        <v>12</v>
      </c>
      <c r="T10" t="s">
        <v>15</v>
      </c>
      <c r="U10">
        <v>3.22</v>
      </c>
      <c r="V10">
        <v>11689</v>
      </c>
      <c r="W10">
        <v>11688.611999999999</v>
      </c>
      <c r="X10">
        <v>5</v>
      </c>
      <c r="Y10">
        <v>4.9180000000000001</v>
      </c>
      <c r="Z10">
        <v>-1.6</v>
      </c>
      <c r="AA10">
        <v>84</v>
      </c>
      <c r="AB10">
        <v>61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3.37</v>
      </c>
      <c r="G11">
        <v>193121</v>
      </c>
      <c r="H11">
        <v>193120.516</v>
      </c>
      <c r="I11" cm="1">
        <f t="array" ref="I11">TREND($X$8:$X$16,$W$8:$W$16,H11)</f>
        <v>100.34426724402003</v>
      </c>
      <c r="J11">
        <f>I11/(2/0.2)*3</f>
        <v>30.103280173206009</v>
      </c>
      <c r="K11">
        <v>8.9367056756270047E-2</v>
      </c>
      <c r="L11" s="1">
        <f t="shared" si="0"/>
        <v>336.84985570584928</v>
      </c>
      <c r="P11">
        <v>4</v>
      </c>
      <c r="Q11" t="s">
        <v>83</v>
      </c>
      <c r="R11" t="s">
        <v>42</v>
      </c>
      <c r="S11" t="s">
        <v>12</v>
      </c>
      <c r="T11" t="s">
        <v>16</v>
      </c>
      <c r="U11">
        <v>3.22</v>
      </c>
      <c r="V11">
        <v>22205</v>
      </c>
      <c r="W11">
        <v>22205.248</v>
      </c>
      <c r="X11">
        <v>10</v>
      </c>
      <c r="Y11">
        <v>10.298999999999999</v>
      </c>
      <c r="Z11">
        <v>3</v>
      </c>
      <c r="AA11">
        <v>191</v>
      </c>
      <c r="AB11">
        <v>652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3.38</v>
      </c>
      <c r="G12">
        <v>134565</v>
      </c>
      <c r="H12">
        <v>134564.70300000001</v>
      </c>
      <c r="I12" cm="1">
        <f t="array" ref="I12">TREND($X$8:$X$16,$W$8:$W$16,H12)</f>
        <v>69.25307897794481</v>
      </c>
      <c r="J12">
        <f>I12/(2/0.2)*3</f>
        <v>20.77592369338344</v>
      </c>
      <c r="K12">
        <v>9.3392012279996037E-2</v>
      </c>
      <c r="L12" s="1">
        <f t="shared" si="0"/>
        <v>222.45932158625848</v>
      </c>
      <c r="P12">
        <v>5</v>
      </c>
      <c r="Q12" t="s">
        <v>84</v>
      </c>
      <c r="R12" t="s">
        <v>43</v>
      </c>
      <c r="S12" t="s">
        <v>12</v>
      </c>
      <c r="T12" t="s">
        <v>17</v>
      </c>
      <c r="U12">
        <v>3.22</v>
      </c>
      <c r="V12">
        <v>38303</v>
      </c>
      <c r="W12">
        <v>38303.495999999999</v>
      </c>
      <c r="X12">
        <v>20</v>
      </c>
      <c r="Y12">
        <v>18.545000000000002</v>
      </c>
      <c r="Z12">
        <v>-7.3</v>
      </c>
      <c r="AA12">
        <v>122</v>
      </c>
      <c r="AB12">
        <v>628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3.37</v>
      </c>
      <c r="G13">
        <v>92247</v>
      </c>
      <c r="H13">
        <v>92246.952999999994</v>
      </c>
      <c r="I13" cm="1">
        <f t="array" ref="I13">TREND($X$8:$X$16,$W$8:$W$16,H13)</f>
        <v>46.783761845473173</v>
      </c>
      <c r="J13">
        <f>I13/(2/0.2)*3</f>
        <v>14.03512855364195</v>
      </c>
      <c r="K13">
        <v>0.18918595374467503</v>
      </c>
      <c r="L13" s="1">
        <f t="shared" si="0"/>
        <v>74.186948215953336</v>
      </c>
      <c r="P13">
        <v>6</v>
      </c>
      <c r="Q13" t="s">
        <v>85</v>
      </c>
      <c r="R13" t="s">
        <v>44</v>
      </c>
      <c r="S13" t="s">
        <v>12</v>
      </c>
      <c r="T13" t="s">
        <v>18</v>
      </c>
      <c r="U13">
        <v>3.22</v>
      </c>
      <c r="V13">
        <v>94290</v>
      </c>
      <c r="W13">
        <v>94290.233999999997</v>
      </c>
      <c r="X13">
        <v>50</v>
      </c>
      <c r="Y13">
        <v>47.305999999999997</v>
      </c>
      <c r="Z13">
        <v>-5.4</v>
      </c>
      <c r="AA13">
        <v>882</v>
      </c>
      <c r="AB13">
        <v>1223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3.37</v>
      </c>
      <c r="G14">
        <v>134871</v>
      </c>
      <c r="H14">
        <v>134871.04699999999</v>
      </c>
      <c r="I14" cm="1">
        <f t="array" ref="I14">TREND($X$8:$X$16,$W$8:$W$16,H14)</f>
        <v>69.415737448388754</v>
      </c>
      <c r="J14">
        <f>I14/(2/0.2)*3</f>
        <v>20.824721234516623</v>
      </c>
      <c r="K14">
        <v>9.2587021175250833E-2</v>
      </c>
      <c r="L14" s="1">
        <f t="shared" si="0"/>
        <v>224.92052309469071</v>
      </c>
      <c r="P14">
        <v>7</v>
      </c>
      <c r="Q14" t="s">
        <v>86</v>
      </c>
      <c r="R14" t="s">
        <v>45</v>
      </c>
      <c r="S14" t="s">
        <v>12</v>
      </c>
      <c r="T14" t="s">
        <v>19</v>
      </c>
      <c r="U14">
        <v>3.22</v>
      </c>
      <c r="V14">
        <v>210857</v>
      </c>
      <c r="W14">
        <v>210856.82800000001</v>
      </c>
      <c r="X14">
        <v>100</v>
      </c>
      <c r="Y14">
        <v>107.613</v>
      </c>
      <c r="Z14">
        <v>7.6</v>
      </c>
      <c r="AA14">
        <v>1428</v>
      </c>
      <c r="AB14">
        <v>1516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3.37</v>
      </c>
      <c r="G15">
        <v>63303</v>
      </c>
      <c r="H15">
        <v>63303.222999999998</v>
      </c>
      <c r="I15" cm="1">
        <f t="array" ref="I15">TREND($X$8:$X$16,$W$8:$W$16,H15)</f>
        <v>31.415604314256775</v>
      </c>
      <c r="J15">
        <f>I15/(2/0.2)*3</f>
        <v>9.4246812942770326</v>
      </c>
      <c r="K15">
        <v>0.14974138961216016</v>
      </c>
      <c r="L15" s="1">
        <f t="shared" si="0"/>
        <v>62.939721066350216</v>
      </c>
      <c r="P15">
        <v>8</v>
      </c>
      <c r="Q15" t="s">
        <v>87</v>
      </c>
      <c r="R15" t="s">
        <v>46</v>
      </c>
      <c r="S15" t="s">
        <v>12</v>
      </c>
      <c r="T15" t="s">
        <v>20</v>
      </c>
      <c r="U15">
        <v>3.22</v>
      </c>
      <c r="V15">
        <v>379187</v>
      </c>
      <c r="W15">
        <v>379187.25</v>
      </c>
      <c r="X15">
        <v>200</v>
      </c>
      <c r="Y15">
        <v>195.738</v>
      </c>
      <c r="Z15">
        <v>-2.1</v>
      </c>
      <c r="AA15">
        <v>464</v>
      </c>
      <c r="AB15">
        <v>4192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3.37</v>
      </c>
      <c r="G16">
        <v>198990</v>
      </c>
      <c r="H16">
        <v>198990.28099999999</v>
      </c>
      <c r="I16" cm="1">
        <f t="array" ref="I16">TREND($X$8:$X$16,$W$8:$W$16,H16)</f>
        <v>103.4609171433668</v>
      </c>
      <c r="J16">
        <f>I16/(2/0.2)*3</f>
        <v>31.03827514301004</v>
      </c>
      <c r="K16">
        <v>0.19965083810636269</v>
      </c>
      <c r="L16" s="1">
        <f t="shared" si="0"/>
        <v>155.46278411550969</v>
      </c>
      <c r="P16">
        <v>9</v>
      </c>
      <c r="Q16" t="s">
        <v>88</v>
      </c>
      <c r="R16" t="s">
        <v>47</v>
      </c>
      <c r="S16" t="s">
        <v>12</v>
      </c>
      <c r="T16" t="s">
        <v>21</v>
      </c>
      <c r="U16">
        <v>3.22</v>
      </c>
      <c r="V16">
        <v>942961</v>
      </c>
      <c r="W16">
        <v>942960.56299999997</v>
      </c>
      <c r="X16">
        <v>500</v>
      </c>
      <c r="Y16">
        <v>500.51400000000001</v>
      </c>
      <c r="Z16">
        <v>0.1</v>
      </c>
      <c r="AA16">
        <v>6492</v>
      </c>
      <c r="AB16">
        <v>7144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3.37</v>
      </c>
      <c r="G17">
        <v>356991</v>
      </c>
      <c r="H17">
        <v>356990.84399999998</v>
      </c>
      <c r="I17" cm="1">
        <f t="array" ref="I17">TREND($X$8:$X$16,$W$8:$W$16,H17)</f>
        <v>187.35395864855226</v>
      </c>
      <c r="J17">
        <f>I17/(2/0.2)*3</f>
        <v>56.206187594565684</v>
      </c>
      <c r="K17">
        <v>0.22058060682973793</v>
      </c>
      <c r="L17" s="1">
        <f t="shared" si="0"/>
        <v>254.81019570297127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3.37</v>
      </c>
      <c r="G18">
        <v>256767</v>
      </c>
      <c r="H18">
        <v>256766.81299999999</v>
      </c>
      <c r="I18" cm="1">
        <f t="array" ref="I18">TREND($X$8:$X$16,$W$8:$W$16,H18)</f>
        <v>134.13833312891413</v>
      </c>
      <c r="J18">
        <f>I18/(2/0.2)*3</f>
        <v>40.241499938674238</v>
      </c>
      <c r="K18">
        <v>0.12720163867929454</v>
      </c>
      <c r="L18" s="1">
        <f t="shared" si="0"/>
        <v>316.35991765902162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3.38</v>
      </c>
      <c r="G19">
        <v>231009</v>
      </c>
      <c r="H19">
        <v>231008.609</v>
      </c>
      <c r="I19" cm="1">
        <f t="array" ref="I19">TREND($X$8:$X$16,$W$8:$W$16,H19)</f>
        <v>120.46158390574183</v>
      </c>
      <c r="J19">
        <f>I19/(2/0.2)*3</f>
        <v>36.138475171722547</v>
      </c>
      <c r="K19">
        <v>0.1594012828691026</v>
      </c>
      <c r="L19" s="1">
        <f t="shared" si="0"/>
        <v>226.71382890562305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3.37</v>
      </c>
      <c r="G20">
        <v>325315</v>
      </c>
      <c r="H20">
        <v>325315.25</v>
      </c>
      <c r="I20" cm="1">
        <f t="array" ref="I20">TREND($X$8:$X$16,$W$8:$W$16,H20)</f>
        <v>170.53527223574878</v>
      </c>
      <c r="J20">
        <f>I20/(2/0.2)*3</f>
        <v>51.160581670724639</v>
      </c>
      <c r="K20">
        <v>0.14491144298368897</v>
      </c>
      <c r="L20" s="1">
        <f t="shared" si="0"/>
        <v>353.04721709577626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3.38</v>
      </c>
      <c r="G21">
        <v>267588</v>
      </c>
      <c r="H21">
        <v>267588.18800000002</v>
      </c>
      <c r="I21" cm="1">
        <f t="array" ref="I21">TREND($X$8:$X$16,$W$8:$W$16,H21)</f>
        <v>139.88412317409376</v>
      </c>
      <c r="J21">
        <f>I21/(2/0.2)*3</f>
        <v>41.965236952228125</v>
      </c>
      <c r="K21">
        <v>0.24553533107683917</v>
      </c>
      <c r="L21" s="1">
        <f t="shared" si="0"/>
        <v>170.91323178697772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3.37</v>
      </c>
      <c r="G22">
        <v>199606</v>
      </c>
      <c r="H22">
        <v>199606.31299999999</v>
      </c>
      <c r="I22" cm="1">
        <f t="array" ref="I22">TREND($X$8:$X$16,$W$8:$W$16,H22)</f>
        <v>103.78800963698356</v>
      </c>
      <c r="J22">
        <f>I22/(2/0.2)*3</f>
        <v>31.13640289109507</v>
      </c>
      <c r="K22">
        <v>0.3002747261995129</v>
      </c>
      <c r="L22" s="1">
        <f t="shared" si="0"/>
        <v>103.69305230972709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3.37</v>
      </c>
      <c r="G23">
        <v>228005</v>
      </c>
      <c r="H23">
        <v>228004.984</v>
      </c>
      <c r="I23" cm="1">
        <f t="array" ref="I23">TREND($X$8:$X$16,$W$8:$W$16,H23)</f>
        <v>118.86675897596602</v>
      </c>
      <c r="J23">
        <f>I23/(2/0.2)*3</f>
        <v>35.660027692789804</v>
      </c>
      <c r="K23">
        <v>0.17147614944028067</v>
      </c>
      <c r="L23" s="1">
        <f t="shared" si="0"/>
        <v>207.95911156850991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3.37</v>
      </c>
      <c r="G24">
        <v>213289</v>
      </c>
      <c r="H24">
        <v>213288.82800000001</v>
      </c>
      <c r="I24" cm="1">
        <f t="array" ref="I24">TREND($X$8:$X$16,$W$8:$W$16,H24)</f>
        <v>111.05296981810851</v>
      </c>
      <c r="J24">
        <f>I24/(2/0.2)*3</f>
        <v>33.31589094543255</v>
      </c>
      <c r="K24">
        <v>0.18113604269722305</v>
      </c>
      <c r="L24" s="1">
        <f t="shared" si="0"/>
        <v>183.92745281027001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3.37</v>
      </c>
      <c r="G25">
        <v>208387</v>
      </c>
      <c r="H25">
        <v>208387.15599999999</v>
      </c>
      <c r="I25" cm="1">
        <f t="array" ref="I25">TREND($X$8:$X$16,$W$8:$W$16,H25)</f>
        <v>108.45034508859533</v>
      </c>
      <c r="J25">
        <f>I25/(2/0.2)*3</f>
        <v>32.535103526578595</v>
      </c>
      <c r="K25">
        <v>8.2927127918308433E-2</v>
      </c>
      <c r="L25" s="1">
        <f t="shared" si="0"/>
        <v>392.33365900033277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3.37</v>
      </c>
      <c r="G26">
        <v>244336</v>
      </c>
      <c r="H26">
        <v>244336.40599999999</v>
      </c>
      <c r="I26" cm="1">
        <f t="array" ref="I26">TREND($X$8:$X$16,$W$8:$W$16,H26)</f>
        <v>127.53820063206126</v>
      </c>
      <c r="J26">
        <f>I26/(2/0.2)*3</f>
        <v>38.261460189618376</v>
      </c>
      <c r="K26">
        <v>0.11593176321286171</v>
      </c>
      <c r="L26" s="1">
        <f t="shared" si="0"/>
        <v>330.03431612927949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3.37</v>
      </c>
      <c r="G27">
        <v>317638</v>
      </c>
      <c r="H27">
        <v>317637.59399999998</v>
      </c>
      <c r="I27" cm="1">
        <f t="array" ref="I27">TREND($X$8:$X$16,$W$8:$W$16,H27)</f>
        <v>166.45869237273564</v>
      </c>
      <c r="J27">
        <f>I27/(2/0.2)*3</f>
        <v>49.937607711820696</v>
      </c>
      <c r="K27">
        <v>0.17469611385926145</v>
      </c>
      <c r="L27" s="1">
        <f t="shared" si="0"/>
        <v>285.85414185029549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3.37</v>
      </c>
      <c r="G28">
        <v>201332</v>
      </c>
      <c r="H28">
        <v>201331.57800000001</v>
      </c>
      <c r="I28" cm="1">
        <f t="array" ref="I28">TREND($X$8:$X$16,$W$8:$W$16,H28)</f>
        <v>104.70406794401912</v>
      </c>
      <c r="J28">
        <f>I28/(2/0.2)*3</f>
        <v>31.411220383205738</v>
      </c>
      <c r="K28">
        <v>0.17952606048773259</v>
      </c>
      <c r="L28" s="1">
        <f t="shared" si="0"/>
        <v>174.96746877789442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3.37</v>
      </c>
      <c r="G29">
        <v>254845</v>
      </c>
      <c r="H29">
        <v>254845.234</v>
      </c>
      <c r="I29" cm="1">
        <f t="array" ref="I29">TREND($X$8:$X$16,$W$8:$W$16,H29)</f>
        <v>133.11803862020093</v>
      </c>
      <c r="J29">
        <f>I29/(2/0.2)*3</f>
        <v>39.935411586060283</v>
      </c>
      <c r="K29">
        <v>0.19723586479212707</v>
      </c>
      <c r="L29" s="1">
        <f t="shared" si="0"/>
        <v>202.4754049074667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3.37</v>
      </c>
      <c r="G30">
        <v>235217</v>
      </c>
      <c r="H30">
        <v>235216.59400000001</v>
      </c>
      <c r="I30" cm="1">
        <f t="array" ref="I30">TREND($X$8:$X$16,$W$8:$W$16,H30)</f>
        <v>122.69588392059811</v>
      </c>
      <c r="J30">
        <f>I30/(2/0.2)*3</f>
        <v>36.808765176179435</v>
      </c>
      <c r="K30">
        <v>0.28417490410460888</v>
      </c>
      <c r="L30" s="1">
        <f t="shared" si="0"/>
        <v>129.52855668996582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3.37</v>
      </c>
      <c r="G31">
        <v>236500</v>
      </c>
      <c r="H31">
        <v>236500.28099999999</v>
      </c>
      <c r="I31" cm="1">
        <f t="array" ref="I31">TREND($X$8:$X$16,$W$8:$W$16,H31)</f>
        <v>123.37747900308312</v>
      </c>
      <c r="J31">
        <f>I31/(2/0.2)*3</f>
        <v>37.013243700924932</v>
      </c>
      <c r="K31">
        <v>0.17872106938298743</v>
      </c>
      <c r="L31" s="1">
        <f t="shared" si="0"/>
        <v>207.10061678071094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3.37</v>
      </c>
      <c r="G32">
        <v>404797</v>
      </c>
      <c r="H32">
        <v>404796.78100000002</v>
      </c>
      <c r="I32" cm="1">
        <f t="array" ref="I32">TREND($X$8:$X$16,$W$8:$W$16,H32)</f>
        <v>212.73732045932812</v>
      </c>
      <c r="J32">
        <f>I32/(2/0.2)*3</f>
        <v>63.821196137798431</v>
      </c>
      <c r="K32">
        <v>0.19884584700161748</v>
      </c>
      <c r="L32" s="1">
        <f t="shared" si="0"/>
        <v>320.95815477242172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3.37</v>
      </c>
      <c r="G33">
        <v>263611</v>
      </c>
      <c r="H33">
        <v>263611.09399999998</v>
      </c>
      <c r="I33" cm="1">
        <f t="array" ref="I33">TREND($X$8:$X$16,$W$8:$W$16,H33)</f>
        <v>137.77241859737003</v>
      </c>
      <c r="J33">
        <f>I33/(2/0.2)*3</f>
        <v>41.33172557921101</v>
      </c>
      <c r="K33">
        <v>0.17469611385926145</v>
      </c>
      <c r="L33" s="1">
        <f t="shared" si="0"/>
        <v>236.5921294191389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3.37</v>
      </c>
      <c r="G34">
        <v>165151</v>
      </c>
      <c r="H34">
        <v>165150.93799999999</v>
      </c>
      <c r="I34" cm="1">
        <f t="array" ref="I34">TREND($X$8:$X$16,$W$8:$W$16,H34)</f>
        <v>85.493352010024793</v>
      </c>
      <c r="J34">
        <f>I34/(2/0.2)*3</f>
        <v>25.648005603007441</v>
      </c>
      <c r="K34">
        <v>0.24875529549582001</v>
      </c>
      <c r="L34" s="1">
        <f t="shared" si="0"/>
        <v>103.10536526221779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3.37</v>
      </c>
      <c r="G35">
        <v>161537</v>
      </c>
      <c r="H35">
        <v>161536.766</v>
      </c>
      <c r="I35" cm="1">
        <f t="array" ref="I35">TREND($X$8:$X$16,$W$8:$W$16,H35)</f>
        <v>83.574346939119579</v>
      </c>
      <c r="J35">
        <f>I35/(2/0.2)*3</f>
        <v>25.072304081735876</v>
      </c>
      <c r="K35">
        <v>0.18274602490671343</v>
      </c>
      <c r="L35" s="1">
        <f t="shared" si="0"/>
        <v>137.19753463603141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3.38</v>
      </c>
      <c r="G36">
        <v>349495</v>
      </c>
      <c r="H36">
        <v>349494.90600000002</v>
      </c>
      <c r="I36" cm="1">
        <f t="array" ref="I36">TREND($X$8:$X$16,$W$8:$W$16,H36)</f>
        <v>183.37386499689677</v>
      </c>
      <c r="J36">
        <f>I36/(2/0.2)*3</f>
        <v>55.012159499069035</v>
      </c>
      <c r="K36">
        <v>0.18113604269722305</v>
      </c>
      <c r="L36" s="1">
        <f t="shared" si="0"/>
        <v>303.70631200674018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3.37</v>
      </c>
      <c r="G37">
        <v>253516</v>
      </c>
      <c r="H37">
        <v>253515.641</v>
      </c>
      <c r="I37" cm="1">
        <f t="array" ref="I37">TREND($X$8:$X$16,$W$8:$W$16,H37)</f>
        <v>132.41206897923198</v>
      </c>
      <c r="J37">
        <f>I37/(2/0.2)*3</f>
        <v>39.72362069376959</v>
      </c>
      <c r="K37">
        <v>0.12156670094607813</v>
      </c>
      <c r="L37" s="1">
        <f t="shared" si="0"/>
        <v>326.76399363168798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3.37</v>
      </c>
      <c r="G38">
        <v>249863</v>
      </c>
      <c r="H38">
        <v>249863.31299999999</v>
      </c>
      <c r="I38" cm="1">
        <f t="array" ref="I38">TREND($X$8:$X$16,$W$8:$W$16,H38)</f>
        <v>130.47280434196259</v>
      </c>
      <c r="J38">
        <f>I38/(2/0.2)*3</f>
        <v>39.141841302588773</v>
      </c>
      <c r="K38">
        <v>8.8562065651524843E-2</v>
      </c>
      <c r="L38" s="1">
        <f t="shared" si="0"/>
        <v>441.97073560371314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3.37</v>
      </c>
      <c r="G39">
        <v>355392</v>
      </c>
      <c r="H39">
        <v>355391.75</v>
      </c>
      <c r="I39" cm="1">
        <f t="array" ref="I39">TREND($X$8:$X$16,$W$8:$W$16,H39)</f>
        <v>186.50489294419339</v>
      </c>
      <c r="J39">
        <f>I39/(2/0.2)*3</f>
        <v>55.951467883258012</v>
      </c>
      <c r="K39">
        <v>0.13766652304098212</v>
      </c>
      <c r="L39" s="1">
        <f t="shared" si="0"/>
        <v>406.42755150140425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3.37</v>
      </c>
      <c r="G40">
        <v>251463</v>
      </c>
      <c r="H40">
        <v>251463.06299999999</v>
      </c>
      <c r="I40" cm="1">
        <f t="array" ref="I40">TREND($X$8:$X$16,$W$8:$W$16,H40)</f>
        <v>131.32221836049317</v>
      </c>
      <c r="J40">
        <f>I40/(2/0.2)*3</f>
        <v>39.396665508147947</v>
      </c>
      <c r="K40">
        <v>8.2122136813563229E-2</v>
      </c>
      <c r="L40" s="1">
        <f t="shared" si="0"/>
        <v>479.73259143984211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3.37</v>
      </c>
      <c r="G41">
        <v>139089</v>
      </c>
      <c r="H41">
        <v>139088.93799999999</v>
      </c>
      <c r="I41" cm="1">
        <f t="array" ref="I41">TREND($X$8:$X$16,$W$8:$W$16,H41)</f>
        <v>71.655297219624188</v>
      </c>
      <c r="J41">
        <f>I41/(2/0.2)*3</f>
        <v>21.496589165887258</v>
      </c>
      <c r="K41">
        <v>0.10224691443219328</v>
      </c>
      <c r="L41" s="1">
        <f t="shared" si="0"/>
        <v>210.24193527270768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3.37</v>
      </c>
      <c r="G42">
        <v>331446</v>
      </c>
      <c r="H42">
        <v>331445.625</v>
      </c>
      <c r="I42" cm="1">
        <f t="array" ref="I42">TREND($X$8:$X$16,$W$8:$W$16,H42)</f>
        <v>173.79029737333229</v>
      </c>
      <c r="J42">
        <f>I42/(2/0.2)*3</f>
        <v>52.137089211999694</v>
      </c>
      <c r="K42">
        <v>0.12639664757454935</v>
      </c>
      <c r="L42" s="1">
        <f t="shared" si="0"/>
        <v>412.4879117640283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3.37</v>
      </c>
      <c r="G43">
        <v>205503</v>
      </c>
      <c r="H43">
        <v>205503.125</v>
      </c>
      <c r="I43" cm="1">
        <f t="array" ref="I43">TREND($X$8:$X$16,$W$8:$W$16,H43)</f>
        <v>106.91902059334501</v>
      </c>
      <c r="J43">
        <f>I43/(2/0.2)*3</f>
        <v>32.0757061780035</v>
      </c>
      <c r="K43">
        <v>0.15054638071690538</v>
      </c>
      <c r="L43" s="1">
        <f t="shared" si="0"/>
        <v>213.06195489561583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3.37</v>
      </c>
      <c r="G44">
        <v>285612</v>
      </c>
      <c r="H44">
        <v>285612.25</v>
      </c>
      <c r="I44" cm="1">
        <f t="array" ref="I44">TREND($X$8:$X$16,$W$8:$W$16,H44)</f>
        <v>149.45430034781708</v>
      </c>
      <c r="J44">
        <f>I44/(2/0.2)*3</f>
        <v>44.836290104345125</v>
      </c>
      <c r="K44">
        <v>0.14893639850741497</v>
      </c>
      <c r="L44" s="1">
        <f t="shared" si="0"/>
        <v>301.04320067946924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3.37</v>
      </c>
      <c r="G45">
        <v>285077</v>
      </c>
      <c r="H45">
        <v>285077</v>
      </c>
      <c r="I45" cm="1">
        <f t="array" ref="I45">TREND($X$8:$X$16,$W$8:$W$16,H45)</f>
        <v>149.17010040818997</v>
      </c>
      <c r="J45">
        <f>I45/(2/0.2)*3</f>
        <v>44.751030122456996</v>
      </c>
      <c r="K45">
        <v>4.0262599366812736E-2</v>
      </c>
      <c r="L45" s="1">
        <f t="shared" si="0"/>
        <v>1111.4789116011209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3.37</v>
      </c>
      <c r="G46">
        <v>219701</v>
      </c>
      <c r="H46">
        <v>219700.71900000001</v>
      </c>
      <c r="I46" cm="1">
        <f t="array" ref="I46">TREND($X$8:$X$16,$W$8:$W$16,H46)</f>
        <v>114.45747058428442</v>
      </c>
      <c r="J46">
        <f>I46/(2/0.2)*3</f>
        <v>34.337241175285328</v>
      </c>
      <c r="K46">
        <v>0.11351678989862611</v>
      </c>
      <c r="L46" s="1">
        <f t="shared" si="0"/>
        <v>302.48601291447295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3.37</v>
      </c>
      <c r="G47">
        <v>291415</v>
      </c>
      <c r="H47">
        <v>291415</v>
      </c>
      <c r="I47" cm="1">
        <f t="array" ref="I47">TREND($X$8:$X$16,$W$8:$W$16,H47)</f>
        <v>152.53536751207912</v>
      </c>
      <c r="J47">
        <f>I47/(2/0.2)*3</f>
        <v>45.760610253623739</v>
      </c>
      <c r="K47">
        <v>0.10144192332744809</v>
      </c>
      <c r="L47" s="1">
        <f t="shared" si="0"/>
        <v>451.10156385650731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3.37</v>
      </c>
      <c r="G48">
        <v>184227</v>
      </c>
      <c r="H48">
        <v>184226.71900000001</v>
      </c>
      <c r="I48" cm="1">
        <f t="array" ref="I48">TREND($X$8:$X$16,$W$8:$W$16,H48)</f>
        <v>95.621956976937668</v>
      </c>
      <c r="J48">
        <f>I48/(2/0.2)*3</f>
        <v>28.6865870930813</v>
      </c>
      <c r="K48">
        <v>8.3732119023053622E-2</v>
      </c>
      <c r="L48" s="1">
        <f t="shared" si="0"/>
        <v>342.59955949739117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3.37</v>
      </c>
      <c r="G49">
        <v>258465</v>
      </c>
      <c r="H49">
        <v>258465.109</v>
      </c>
      <c r="I49" cm="1">
        <f t="array" ref="I49">TREND($X$8:$X$16,$W$8:$W$16,H49)</f>
        <v>135.04007179433958</v>
      </c>
      <c r="J49">
        <f>I49/(2/0.2)*3</f>
        <v>40.51202153830188</v>
      </c>
      <c r="K49">
        <v>0.22299558014397355</v>
      </c>
      <c r="L49" s="1">
        <f t="shared" si="0"/>
        <v>181.67185875229427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3.37</v>
      </c>
      <c r="G50">
        <v>307839</v>
      </c>
      <c r="H50">
        <v>307838.59399999998</v>
      </c>
      <c r="I50" cm="1">
        <f t="array" ref="I50">TREND($X$8:$X$16,$W$8:$W$16,H50)</f>
        <v>161.25574943316326</v>
      </c>
      <c r="J50">
        <f>I50/(2/0.2)*3</f>
        <v>48.376724829948984</v>
      </c>
      <c r="K50">
        <v>0.1175417454223521</v>
      </c>
      <c r="L50" s="1">
        <f t="shared" si="0"/>
        <v>411.57058418795197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3.37</v>
      </c>
      <c r="G51">
        <v>379885</v>
      </c>
      <c r="H51">
        <v>379885.21899999998</v>
      </c>
      <c r="I51" cm="1">
        <f t="array" ref="I51">TREND($X$8:$X$16,$W$8:$W$16,H51)</f>
        <v>199.51010996625536</v>
      </c>
      <c r="J51">
        <f>I51/(2/0.2)*3</f>
        <v>59.853032989876603</v>
      </c>
      <c r="K51">
        <v>0.11351678989862611</v>
      </c>
      <c r="L51" s="1">
        <f t="shared" si="0"/>
        <v>527.26150064080525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3.37</v>
      </c>
      <c r="G52">
        <v>189275</v>
      </c>
      <c r="H52">
        <v>189274.92199999999</v>
      </c>
      <c r="I52" cm="1">
        <f t="array" ref="I52">TREND($X$8:$X$16,$W$8:$W$16,H52)</f>
        <v>98.302384791651207</v>
      </c>
      <c r="J52">
        <f>I52/(2/0.2)*3</f>
        <v>29.490715437495364</v>
      </c>
      <c r="K52">
        <v>8.4537110127798853E-2</v>
      </c>
      <c r="L52" s="1">
        <f t="shared" si="0"/>
        <v>348.84934430468252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3.37</v>
      </c>
      <c r="G53">
        <v>474344</v>
      </c>
      <c r="H53">
        <v>474344.125</v>
      </c>
      <c r="I53" cm="1">
        <f t="array" ref="I53">TREND($X$8:$X$16,$W$8:$W$16,H53)</f>
        <v>249.66464594466458</v>
      </c>
      <c r="J53">
        <f>I53/(2/0.2)*3</f>
        <v>74.899393783399375</v>
      </c>
      <c r="K53">
        <v>0.1078818521654097</v>
      </c>
      <c r="L53" s="1">
        <f t="shared" si="0"/>
        <v>694.27241264415807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3.37</v>
      </c>
      <c r="G54">
        <v>255447</v>
      </c>
      <c r="H54">
        <v>255446.96900000001</v>
      </c>
      <c r="I54" cm="1">
        <f t="array" ref="I54">TREND($X$8:$X$16,$W$8:$W$16,H54)</f>
        <v>133.43753988254849</v>
      </c>
      <c r="J54">
        <f>I54/(2/0.2)*3</f>
        <v>40.031261964764553</v>
      </c>
      <c r="K54">
        <v>0.14813140740266978</v>
      </c>
      <c r="L54" s="1">
        <f t="shared" si="0"/>
        <v>270.24155556658184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3.37</v>
      </c>
      <c r="G55">
        <v>161539</v>
      </c>
      <c r="H55">
        <v>161538.609</v>
      </c>
      <c r="I55" cm="1">
        <f t="array" ref="I55">TREND($X$8:$X$16,$W$8:$W$16,H55)</f>
        <v>83.575325510794002</v>
      </c>
      <c r="J55">
        <f>I55/(2/0.2)*3</f>
        <v>25.072597653238198</v>
      </c>
      <c r="K55">
        <v>6.6022314718659172E-2</v>
      </c>
      <c r="L55" s="1">
        <f t="shared" si="0"/>
        <v>379.75944587947322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3.37</v>
      </c>
      <c r="G56">
        <v>276412</v>
      </c>
      <c r="H56">
        <v>276412.06300000002</v>
      </c>
      <c r="I56" cm="1">
        <f t="array" ref="I56">TREND($X$8:$X$16,$W$8:$W$16,H56)</f>
        <v>144.56930718582143</v>
      </c>
      <c r="J56">
        <f>I56/(2/0.2)*3</f>
        <v>43.370792155746429</v>
      </c>
      <c r="K56">
        <v>0.22621554456295434</v>
      </c>
      <c r="L56" s="1">
        <f t="shared" si="0"/>
        <v>191.72330636932253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3.37</v>
      </c>
      <c r="G57">
        <v>243351</v>
      </c>
      <c r="H57">
        <v>243350.609</v>
      </c>
      <c r="I57" cm="1">
        <f t="array" ref="I57">TREND($X$8:$X$16,$W$8:$W$16,H57)</f>
        <v>127.01477522732591</v>
      </c>
      <c r="J57">
        <f>I57/(2/0.2)*3</f>
        <v>38.10443256819778</v>
      </c>
      <c r="K57">
        <v>0.21897062462024752</v>
      </c>
      <c r="L57" s="1">
        <f t="shared" si="0"/>
        <v>174.01618429084201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3.37</v>
      </c>
      <c r="G58">
        <v>335369</v>
      </c>
      <c r="H58">
        <v>335369.125</v>
      </c>
      <c r="I58" cm="1">
        <f t="array" ref="I58">TREND($X$8:$X$16,$W$8:$W$16,H58)</f>
        <v>175.87354531938928</v>
      </c>
      <c r="J58">
        <f>I58/(2/0.2)*3</f>
        <v>52.762063595816784</v>
      </c>
      <c r="K58">
        <v>0.11271179879388092</v>
      </c>
      <c r="L58" s="1">
        <f t="shared" si="0"/>
        <v>468.11482169940507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3.37</v>
      </c>
      <c r="G59">
        <v>246389</v>
      </c>
      <c r="H59">
        <v>246388.92199999999</v>
      </c>
      <c r="I59" cm="1">
        <f t="array" ref="I59">TREND($X$8:$X$16,$W$8:$W$16,H59)</f>
        <v>128.62801833086311</v>
      </c>
      <c r="J59">
        <f>I59/(2/0.2)*3</f>
        <v>38.58840549925894</v>
      </c>
      <c r="K59">
        <v>9.1782030070505644E-2</v>
      </c>
      <c r="L59" s="1">
        <f t="shared" si="0"/>
        <v>420.43530165562777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3.37</v>
      </c>
      <c r="G60">
        <v>325177</v>
      </c>
      <c r="H60">
        <v>325177.375</v>
      </c>
      <c r="I60" cm="1">
        <f t="array" ref="I60">TREND($X$8:$X$16,$W$8:$W$16,H60)</f>
        <v>170.46206519852115</v>
      </c>
      <c r="J60">
        <f>I60/(2/0.2)*3</f>
        <v>51.138619559556339</v>
      </c>
      <c r="K60">
        <v>0.16584121170706426</v>
      </c>
      <c r="L60" s="1">
        <f t="shared" si="0"/>
        <v>308.35893583487376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3.37</v>
      </c>
      <c r="G61">
        <v>248224</v>
      </c>
      <c r="H61">
        <v>248224.484</v>
      </c>
      <c r="I61" cm="1">
        <f t="array" ref="I61">TREND($X$8:$X$16,$W$8:$W$16,H61)</f>
        <v>129.60264067478059</v>
      </c>
      <c r="J61">
        <f>I61/(2/0.2)*3</f>
        <v>38.880792202434179</v>
      </c>
      <c r="K61">
        <v>0.20850574025855992</v>
      </c>
      <c r="L61" s="1">
        <f t="shared" si="0"/>
        <v>186.47348583410513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3.37</v>
      </c>
      <c r="G62">
        <v>173568</v>
      </c>
      <c r="H62">
        <v>173567.875</v>
      </c>
      <c r="I62" cm="1">
        <f t="array" ref="I62">TREND($X$8:$X$16,$W$8:$W$16,H62)</f>
        <v>89.962465484560525</v>
      </c>
      <c r="J62">
        <f>I62/(2/0.2)*3</f>
        <v>26.98873964536816</v>
      </c>
      <c r="K62">
        <v>0.15457133624063138</v>
      </c>
      <c r="L62" s="1">
        <f t="shared" si="0"/>
        <v>174.6037803758972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3.37</v>
      </c>
      <c r="G63">
        <v>245319</v>
      </c>
      <c r="H63">
        <v>245318.93799999999</v>
      </c>
      <c r="I63" cm="1">
        <f t="array" ref="I63">TREND($X$8:$X$16,$W$8:$W$16,H63)</f>
        <v>128.05989243043905</v>
      </c>
      <c r="J63">
        <f>I63/(2/0.2)*3</f>
        <v>38.417967729131718</v>
      </c>
      <c r="K63">
        <v>0.22863051787718996</v>
      </c>
      <c r="L63" s="1">
        <f t="shared" si="0"/>
        <v>168.03516908345597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3.37</v>
      </c>
      <c r="G64">
        <v>262102</v>
      </c>
      <c r="H64">
        <v>262101.79699999999</v>
      </c>
      <c r="I64" cm="1">
        <f t="array" ref="I64">TREND($X$8:$X$16,$W$8:$W$16,H64)</f>
        <v>136.97103211202787</v>
      </c>
      <c r="J64">
        <f>I64/(2/0.2)*3</f>
        <v>41.091309633608361</v>
      </c>
      <c r="K64">
        <v>0.19079593595416544</v>
      </c>
      <c r="L64" s="1">
        <f t="shared" si="0"/>
        <v>215.36784537947207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3.37</v>
      </c>
      <c r="G65">
        <v>263701</v>
      </c>
      <c r="H65">
        <v>263701.34399999998</v>
      </c>
      <c r="I65" cm="1">
        <f t="array" ref="I65">TREND($X$8:$X$16,$W$8:$W$16,H65)</f>
        <v>137.82033834431323</v>
      </c>
      <c r="J65">
        <f>I65/(2/0.2)*3</f>
        <v>41.346101503293966</v>
      </c>
      <c r="K65">
        <v>0.13122659420302052</v>
      </c>
      <c r="L65" s="1">
        <f t="shared" si="0"/>
        <v>315.07410334316427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3.37</v>
      </c>
      <c r="G66">
        <v>378436</v>
      </c>
      <c r="H66">
        <v>378435.65600000002</v>
      </c>
      <c r="I66" cm="1">
        <f t="array" ref="I66">TREND($X$8:$X$16,$W$8:$W$16,H66)</f>
        <v>198.74044024727226</v>
      </c>
      <c r="J66">
        <f>I66/(2/0.2)*3</f>
        <v>59.622132074181678</v>
      </c>
      <c r="K66">
        <v>0.13927650525047255</v>
      </c>
      <c r="L66" s="1">
        <f t="shared" si="0"/>
        <v>428.0846361484891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3.37</v>
      </c>
      <c r="G67">
        <v>154698</v>
      </c>
      <c r="H67">
        <v>154697.84400000001</v>
      </c>
      <c r="I67" cm="1">
        <f t="array" ref="I67">TREND($X$8:$X$16,$W$8:$W$16,H67)</f>
        <v>79.94310692134367</v>
      </c>
      <c r="J67">
        <f>I67/(2/0.2)*3</f>
        <v>23.982932076403102</v>
      </c>
      <c r="K67">
        <v>9.7416967803722054E-2</v>
      </c>
      <c r="L67" s="1">
        <f t="shared" si="0"/>
        <v>246.1884476298263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3.37</v>
      </c>
      <c r="G68">
        <v>164056</v>
      </c>
      <c r="H68">
        <v>164056.15599999999</v>
      </c>
      <c r="I68" cm="1">
        <f t="array" ref="I68">TREND($X$8:$X$16,$W$8:$W$16,H68)</f>
        <v>84.912059196750889</v>
      </c>
      <c r="J68">
        <f>I68/(2/0.2)*3</f>
        <v>25.473617759025267</v>
      </c>
      <c r="K68">
        <v>7.4877216870856411E-2</v>
      </c>
      <c r="L68" s="1">
        <f t="shared" si="0"/>
        <v>340.20518955666563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3.37</v>
      </c>
      <c r="G69">
        <v>270251</v>
      </c>
      <c r="H69">
        <v>270251.28100000002</v>
      </c>
      <c r="I69" cm="1">
        <f t="array" ref="I69">TREND($X$8:$X$16,$W$8:$W$16,H69)</f>
        <v>141.29813694302678</v>
      </c>
      <c r="J69">
        <f>I69/(2/0.2)*3</f>
        <v>42.389441082908036</v>
      </c>
      <c r="K69">
        <v>0.14491144298368897</v>
      </c>
      <c r="L69" s="1">
        <f t="shared" si="0"/>
        <v>292.51962584955652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3.37</v>
      </c>
      <c r="G70">
        <v>348247</v>
      </c>
      <c r="H70">
        <v>348246.5</v>
      </c>
      <c r="I70" cm="1">
        <f t="array" ref="I70">TREND($X$8:$X$16,$W$8:$W$16,H70)</f>
        <v>182.71100295144112</v>
      </c>
      <c r="J70">
        <f>I70/(2/0.2)*3</f>
        <v>54.813300885432341</v>
      </c>
      <c r="K70">
        <v>0.14571643408843418</v>
      </c>
      <c r="L70" s="1">
        <f t="shared" si="0"/>
        <v>376.1641658906268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3.37</v>
      </c>
      <c r="G71">
        <v>198560</v>
      </c>
      <c r="H71">
        <v>198560.43799999999</v>
      </c>
      <c r="I71" cm="1">
        <f t="array" ref="I71">TREND($X$8:$X$16,$W$8:$W$16,H71)</f>
        <v>103.23268481333571</v>
      </c>
      <c r="J71">
        <f>I71/(2/0.2)*3</f>
        <v>30.969805444000713</v>
      </c>
      <c r="K71">
        <v>0.26405012648597881</v>
      </c>
      <c r="L71" s="1">
        <f t="shared" si="0"/>
        <v>117.28759935150126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3.37</v>
      </c>
      <c r="G72">
        <v>192386</v>
      </c>
      <c r="H72">
        <v>192385.625</v>
      </c>
      <c r="I72" cm="1">
        <f t="array" ref="I72">TREND($X$8:$X$16,$W$8:$W$16,H72)</f>
        <v>99.954064576420748</v>
      </c>
      <c r="J72">
        <f>I72/(2/0.2)*3</f>
        <v>29.986219372926222</v>
      </c>
      <c r="K72">
        <v>0.17469611385926145</v>
      </c>
      <c r="L72" s="1">
        <f t="shared" si="0"/>
        <v>171.6478902162855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3.37</v>
      </c>
      <c r="G73">
        <v>78237</v>
      </c>
      <c r="H73">
        <v>78236.922000000006</v>
      </c>
      <c r="I73" cm="1">
        <f t="array" ref="I73">TREND($X$8:$X$16,$W$8:$W$16,H73)</f>
        <v>39.344901566399777</v>
      </c>
      <c r="J73">
        <f>I73/(2/0.2)*3</f>
        <v>11.803470469919933</v>
      </c>
      <c r="K73">
        <v>0.1175417454223521</v>
      </c>
      <c r="L73" s="1">
        <f t="shared" ref="L73" si="1">J73/K73</f>
        <v>100.41939080883641</v>
      </c>
    </row>
    <row r="74" spans="1:12" x14ac:dyDescent="0.3">
      <c r="A74">
        <v>34</v>
      </c>
      <c r="B74" t="s">
        <v>235</v>
      </c>
      <c r="C74" t="s">
        <v>236</v>
      </c>
      <c r="D74" t="s">
        <v>237</v>
      </c>
      <c r="E74" t="s">
        <v>238</v>
      </c>
      <c r="F74">
        <v>3.34</v>
      </c>
      <c r="G74">
        <v>3131</v>
      </c>
      <c r="H74">
        <v>3131.15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8C8D-5801-4CDA-92B6-DA74DC423FAA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265</v>
      </c>
      <c r="P3" t="s">
        <v>91</v>
      </c>
    </row>
    <row r="5" spans="1:28" x14ac:dyDescent="0.3">
      <c r="A5" t="s">
        <v>266</v>
      </c>
      <c r="P5" t="s">
        <v>92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3.51</v>
      </c>
      <c r="G8">
        <v>23394</v>
      </c>
      <c r="H8">
        <v>23394.271000000001</v>
      </c>
      <c r="I8" cm="1">
        <f t="array" ref="I8">TREND($X$8:$X$13,$W$8:$W$13,H8)</f>
        <v>11.367769428410762</v>
      </c>
      <c r="J8">
        <f>I8/(2/0.2)*3</f>
        <v>3.4103308285232283</v>
      </c>
      <c r="K8">
        <v>0.14813140740266978</v>
      </c>
      <c r="L8" s="1">
        <f>J8/K8</f>
        <v>23.022334617079753</v>
      </c>
      <c r="P8">
        <v>1</v>
      </c>
      <c r="Q8" t="s">
        <v>80</v>
      </c>
      <c r="R8" t="s">
        <v>39</v>
      </c>
      <c r="S8" t="s">
        <v>12</v>
      </c>
      <c r="T8" t="s">
        <v>13</v>
      </c>
      <c r="U8">
        <v>3.12</v>
      </c>
      <c r="V8">
        <v>4104</v>
      </c>
      <c r="W8">
        <v>4104.451</v>
      </c>
      <c r="X8">
        <v>1</v>
      </c>
      <c r="Y8">
        <v>1.04</v>
      </c>
      <c r="Z8">
        <v>4</v>
      </c>
      <c r="AA8">
        <v>12</v>
      </c>
      <c r="AB8">
        <v>23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3.52</v>
      </c>
      <c r="G9">
        <v>45171</v>
      </c>
      <c r="H9">
        <v>45171.491999999998</v>
      </c>
      <c r="I9" cm="1">
        <f t="array" ref="I9">TREND($X$8:$X$13,$W$8:$W$13,H9)</f>
        <v>23.249260213419902</v>
      </c>
      <c r="J9">
        <f>I9/(2/0.2)*3</f>
        <v>6.97477806402597</v>
      </c>
      <c r="K9">
        <v>0.11673675431760691</v>
      </c>
      <c r="L9" s="1">
        <f t="shared" ref="L9:L72" si="0">J9/K9</f>
        <v>59.747918338123554</v>
      </c>
      <c r="P9">
        <v>2</v>
      </c>
      <c r="Q9" t="s">
        <v>81</v>
      </c>
      <c r="R9" t="s">
        <v>40</v>
      </c>
      <c r="S9" t="s">
        <v>12</v>
      </c>
      <c r="T9" t="s">
        <v>14</v>
      </c>
      <c r="U9">
        <v>3.22</v>
      </c>
      <c r="V9">
        <v>6052</v>
      </c>
      <c r="W9">
        <v>6052.2719999999999</v>
      </c>
      <c r="X9">
        <v>2</v>
      </c>
      <c r="Y9">
        <v>2.0350000000000001</v>
      </c>
      <c r="Z9">
        <v>1.8</v>
      </c>
      <c r="AA9">
        <v>45</v>
      </c>
      <c r="AB9">
        <v>28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3.52</v>
      </c>
      <c r="G10">
        <v>21725</v>
      </c>
      <c r="H10">
        <v>21725.050999999999</v>
      </c>
      <c r="I10" cm="1">
        <f t="array" ref="I10">TREND($X$8:$X$13,$W$8:$W$13,H10)</f>
        <v>10.457055336463355</v>
      </c>
      <c r="J10">
        <f>I10/(2/0.2)*3</f>
        <v>3.1371166009390064</v>
      </c>
      <c r="K10">
        <v>8.6147092337289247E-2</v>
      </c>
      <c r="L10" s="1">
        <f t="shared" si="0"/>
        <v>36.415815273907832</v>
      </c>
      <c r="P10">
        <v>3</v>
      </c>
      <c r="Q10" t="s">
        <v>82</v>
      </c>
      <c r="R10" t="s">
        <v>41</v>
      </c>
      <c r="S10" t="s">
        <v>12</v>
      </c>
      <c r="T10" t="s">
        <v>15</v>
      </c>
      <c r="U10">
        <v>3.22</v>
      </c>
      <c r="V10">
        <v>11689</v>
      </c>
      <c r="W10">
        <v>11688.611999999999</v>
      </c>
      <c r="X10">
        <v>5</v>
      </c>
      <c r="Y10">
        <v>4.9180000000000001</v>
      </c>
      <c r="Z10">
        <v>-1.6</v>
      </c>
      <c r="AA10">
        <v>84</v>
      </c>
      <c r="AB10">
        <v>61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3.51</v>
      </c>
      <c r="G11">
        <v>43004</v>
      </c>
      <c r="H11">
        <v>43004.313000000002</v>
      </c>
      <c r="I11" cm="1">
        <f t="array" ref="I11">TREND($X$8:$X$13,$W$8:$W$13,H11)</f>
        <v>22.066863372336954</v>
      </c>
      <c r="J11">
        <f>I11/(2/0.2)*3</f>
        <v>6.6200590117010867</v>
      </c>
      <c r="K11">
        <v>8.9367056756270047E-2</v>
      </c>
      <c r="L11" s="1">
        <f t="shared" si="0"/>
        <v>74.077173983204048</v>
      </c>
      <c r="P11">
        <v>4</v>
      </c>
      <c r="Q11" t="s">
        <v>83</v>
      </c>
      <c r="R11" t="s">
        <v>42</v>
      </c>
      <c r="S11" t="s">
        <v>12</v>
      </c>
      <c r="T11" t="s">
        <v>16</v>
      </c>
      <c r="U11">
        <v>3.22</v>
      </c>
      <c r="V11">
        <v>22205</v>
      </c>
      <c r="W11">
        <v>22205.248</v>
      </c>
      <c r="X11">
        <v>10</v>
      </c>
      <c r="Y11">
        <v>10.298999999999999</v>
      </c>
      <c r="Z11">
        <v>3</v>
      </c>
      <c r="AA11">
        <v>191</v>
      </c>
      <c r="AB11">
        <v>652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3.52</v>
      </c>
      <c r="G12">
        <v>27673</v>
      </c>
      <c r="H12">
        <v>27672.877</v>
      </c>
      <c r="I12" cm="1">
        <f t="array" ref="I12">TREND($X$8:$X$13,$W$8:$W$13,H12)</f>
        <v>13.702145231534807</v>
      </c>
      <c r="J12">
        <f>I12/(2/0.2)*3</f>
        <v>4.1106435694604428</v>
      </c>
      <c r="K12">
        <v>9.3392012279996037E-2</v>
      </c>
      <c r="L12" s="1">
        <f t="shared" si="0"/>
        <v>44.014937349635801</v>
      </c>
      <c r="P12">
        <v>5</v>
      </c>
      <c r="Q12" t="s">
        <v>84</v>
      </c>
      <c r="R12" t="s">
        <v>43</v>
      </c>
      <c r="S12" t="s">
        <v>12</v>
      </c>
      <c r="T12" t="s">
        <v>17</v>
      </c>
      <c r="U12">
        <v>3.22</v>
      </c>
      <c r="V12">
        <v>38303</v>
      </c>
      <c r="W12">
        <v>38303.495999999999</v>
      </c>
      <c r="X12">
        <v>20</v>
      </c>
      <c r="Y12">
        <v>18.545000000000002</v>
      </c>
      <c r="Z12">
        <v>-7.3</v>
      </c>
      <c r="AA12">
        <v>122</v>
      </c>
      <c r="AB12">
        <v>628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3.52</v>
      </c>
      <c r="G13">
        <v>17937</v>
      </c>
      <c r="H13">
        <v>17936.82</v>
      </c>
      <c r="I13" cm="1">
        <f t="array" ref="I13">TREND($X$8:$X$13,$W$8:$W$13,H13)</f>
        <v>8.3902245081411397</v>
      </c>
      <c r="J13">
        <f>I13/(2/0.2)*3</f>
        <v>2.5170673524423419</v>
      </c>
      <c r="K13">
        <v>0.18918595374467503</v>
      </c>
      <c r="L13" s="1">
        <f t="shared" si="0"/>
        <v>13.304726395487959</v>
      </c>
      <c r="P13">
        <v>6</v>
      </c>
      <c r="Q13" t="s">
        <v>85</v>
      </c>
      <c r="R13" t="s">
        <v>44</v>
      </c>
      <c r="S13" t="s">
        <v>12</v>
      </c>
      <c r="T13" t="s">
        <v>18</v>
      </c>
      <c r="U13">
        <v>3.22</v>
      </c>
      <c r="V13">
        <v>94290</v>
      </c>
      <c r="W13">
        <v>94290.233999999997</v>
      </c>
      <c r="X13">
        <v>50</v>
      </c>
      <c r="Y13">
        <v>47.305999999999997</v>
      </c>
      <c r="Z13">
        <v>-5.4</v>
      </c>
      <c r="AA13">
        <v>882</v>
      </c>
      <c r="AB13">
        <v>1223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3.51</v>
      </c>
      <c r="G14">
        <v>26225</v>
      </c>
      <c r="H14">
        <v>26225.275000000001</v>
      </c>
      <c r="I14" cm="1">
        <f t="array" ref="I14">TREND($X$8:$X$13,$W$8:$W$13,H14)</f>
        <v>12.912344282030698</v>
      </c>
      <c r="J14">
        <f>I14/(2/0.2)*3</f>
        <v>3.8737032846092099</v>
      </c>
      <c r="K14">
        <v>9.2587021175250833E-2</v>
      </c>
      <c r="L14" s="1">
        <f t="shared" si="0"/>
        <v>41.83851295179889</v>
      </c>
      <c r="P14">
        <v>7</v>
      </c>
      <c r="Q14" t="s">
        <v>86</v>
      </c>
      <c r="R14" t="s">
        <v>45</v>
      </c>
      <c r="S14" t="s">
        <v>12</v>
      </c>
      <c r="T14" t="s">
        <v>19</v>
      </c>
      <c r="U14">
        <v>3.22</v>
      </c>
      <c r="V14">
        <v>210857</v>
      </c>
      <c r="W14">
        <v>210856.82800000001</v>
      </c>
      <c r="X14">
        <v>100</v>
      </c>
      <c r="Y14">
        <v>107.613</v>
      </c>
      <c r="Z14">
        <v>7.6</v>
      </c>
      <c r="AA14">
        <v>1428</v>
      </c>
      <c r="AB14">
        <v>1516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3.51</v>
      </c>
      <c r="G15">
        <v>11501</v>
      </c>
      <c r="H15">
        <v>11501.045</v>
      </c>
      <c r="I15" cm="1">
        <f t="array" ref="I15">TREND($X$8:$X$13,$W$8:$W$13,H15)</f>
        <v>4.8789132459331555</v>
      </c>
      <c r="J15">
        <f>I15/(2/0.2)*3</f>
        <v>1.4636739737799465</v>
      </c>
      <c r="K15">
        <v>0.14974138961216016</v>
      </c>
      <c r="L15" s="1">
        <f t="shared" si="0"/>
        <v>9.7746787148894256</v>
      </c>
      <c r="P15">
        <v>8</v>
      </c>
      <c r="Q15" t="s">
        <v>87</v>
      </c>
      <c r="R15" t="s">
        <v>46</v>
      </c>
      <c r="S15" t="s">
        <v>12</v>
      </c>
      <c r="T15" t="s">
        <v>20</v>
      </c>
      <c r="U15">
        <v>3.22</v>
      </c>
      <c r="V15">
        <v>379187</v>
      </c>
      <c r="W15">
        <v>379187.25</v>
      </c>
      <c r="X15">
        <v>200</v>
      </c>
      <c r="Y15">
        <v>195.738</v>
      </c>
      <c r="Z15">
        <v>-2.1</v>
      </c>
      <c r="AA15">
        <v>464</v>
      </c>
      <c r="AB15">
        <v>4192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3.51</v>
      </c>
      <c r="G16">
        <v>44506</v>
      </c>
      <c r="H16">
        <v>44505.75</v>
      </c>
      <c r="I16" cm="1">
        <f t="array" ref="I16">TREND($X$8:$X$13,$W$8:$W$13,H16)</f>
        <v>22.886036299854737</v>
      </c>
      <c r="J16">
        <f>I16/(2/0.2)*3</f>
        <v>6.8658108899564212</v>
      </c>
      <c r="K16">
        <v>0.19965083810636269</v>
      </c>
      <c r="L16" s="1">
        <f t="shared" si="0"/>
        <v>34.389091250890239</v>
      </c>
      <c r="P16">
        <v>9</v>
      </c>
      <c r="Q16" t="s">
        <v>88</v>
      </c>
      <c r="R16" t="s">
        <v>47</v>
      </c>
      <c r="S16" t="s">
        <v>12</v>
      </c>
      <c r="T16" t="s">
        <v>21</v>
      </c>
      <c r="U16">
        <v>3.22</v>
      </c>
      <c r="V16">
        <v>942961</v>
      </c>
      <c r="W16">
        <v>942960.56299999997</v>
      </c>
      <c r="X16">
        <v>500</v>
      </c>
      <c r="Y16">
        <v>500.51400000000001</v>
      </c>
      <c r="Z16">
        <v>0.1</v>
      </c>
      <c r="AA16">
        <v>6492</v>
      </c>
      <c r="AB16">
        <v>7144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3.51</v>
      </c>
      <c r="G17">
        <v>84883</v>
      </c>
      <c r="H17">
        <v>84883.062999999995</v>
      </c>
      <c r="I17" cm="1">
        <f t="array" ref="I17">TREND($X$8:$X$13,$W$8:$W$13,H17)</f>
        <v>44.915599775053423</v>
      </c>
      <c r="J17">
        <f>I17/(2/0.2)*3</f>
        <v>13.474679932516025</v>
      </c>
      <c r="K17">
        <v>0.22058060682973793</v>
      </c>
      <c r="L17" s="1">
        <f t="shared" si="0"/>
        <v>61.087328238773409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3.51</v>
      </c>
      <c r="G18">
        <v>63082</v>
      </c>
      <c r="H18">
        <v>63082.468999999997</v>
      </c>
      <c r="I18" cm="1">
        <f t="array" ref="I18">TREND($X$8:$X$13,$W$8:$W$13,H18)</f>
        <v>33.021356854033996</v>
      </c>
      <c r="J18">
        <f>I18/(2/0.2)*3</f>
        <v>9.9064070562101989</v>
      </c>
      <c r="K18">
        <v>0.12720163867929454</v>
      </c>
      <c r="L18" s="1">
        <f t="shared" si="0"/>
        <v>77.879555319146462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3.52</v>
      </c>
      <c r="G19">
        <v>57352</v>
      </c>
      <c r="H19">
        <v>57352.207000000002</v>
      </c>
      <c r="I19" cm="1">
        <f t="array" ref="I19">TREND($X$8:$X$13,$W$8:$W$13,H19)</f>
        <v>29.894968268975873</v>
      </c>
      <c r="J19">
        <f>I19/(2/0.2)*3</f>
        <v>8.9684904806927612</v>
      </c>
      <c r="K19">
        <v>0.1594012828691026</v>
      </c>
      <c r="L19" s="1">
        <f t="shared" si="0"/>
        <v>56.263602897459243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3.51</v>
      </c>
      <c r="G20">
        <v>67216</v>
      </c>
      <c r="H20">
        <v>67216.108999999997</v>
      </c>
      <c r="I20" cm="1">
        <f t="array" ref="I20">TREND($X$8:$X$13,$W$8:$W$13,H20)</f>
        <v>35.276640279249051</v>
      </c>
      <c r="J20">
        <f>I20/(2/0.2)*3</f>
        <v>10.582992083774716</v>
      </c>
      <c r="K20">
        <v>0.14491144298368897</v>
      </c>
      <c r="L20" s="1">
        <f t="shared" si="0"/>
        <v>73.03075496229738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3.51</v>
      </c>
      <c r="G21">
        <v>56837</v>
      </c>
      <c r="H21">
        <v>56837.171999999999</v>
      </c>
      <c r="I21" cm="1">
        <f t="array" ref="I21">TREND($X$8:$X$13,$W$8:$W$13,H21)</f>
        <v>29.613968980478177</v>
      </c>
      <c r="J21">
        <f>I21/(2/0.2)*3</f>
        <v>8.8841906941434523</v>
      </c>
      <c r="K21">
        <v>0.24553533107683917</v>
      </c>
      <c r="L21" s="1">
        <f t="shared" si="0"/>
        <v>36.182942207055262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3.51</v>
      </c>
      <c r="G22">
        <v>51647</v>
      </c>
      <c r="H22">
        <v>51646.913999999997</v>
      </c>
      <c r="I22" cm="1">
        <f t="array" ref="I22">TREND($X$8:$X$13,$W$8:$W$13,H22)</f>
        <v>26.782202585729273</v>
      </c>
      <c r="J22">
        <f>I22/(2/0.2)*3</f>
        <v>8.0346607757187805</v>
      </c>
      <c r="K22">
        <v>0.3002747261995129</v>
      </c>
      <c r="L22" s="1">
        <f t="shared" si="0"/>
        <v>26.757699115776646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3.51</v>
      </c>
      <c r="G23">
        <v>62440</v>
      </c>
      <c r="H23">
        <v>62440.324000000001</v>
      </c>
      <c r="I23" cm="1">
        <f t="array" ref="I23">TREND($X$8:$X$13,$W$8:$W$13,H23)</f>
        <v>32.671007289223148</v>
      </c>
      <c r="J23">
        <f>I23/(2/0.2)*3</f>
        <v>9.801302186766943</v>
      </c>
      <c r="K23">
        <v>0.17147614944028067</v>
      </c>
      <c r="L23" s="1">
        <f t="shared" si="0"/>
        <v>57.158399105412641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3.51</v>
      </c>
      <c r="G24">
        <v>60204</v>
      </c>
      <c r="H24">
        <v>60203.843999999997</v>
      </c>
      <c r="I24" cm="1">
        <f t="array" ref="I24">TREND($X$8:$X$13,$W$8:$W$13,H24)</f>
        <v>31.450800334862109</v>
      </c>
      <c r="J24">
        <f>I24/(2/0.2)*3</f>
        <v>9.4352401004586319</v>
      </c>
      <c r="K24">
        <v>0.18113604269722305</v>
      </c>
      <c r="L24" s="1">
        <f t="shared" si="0"/>
        <v>52.089247175561049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3.51</v>
      </c>
      <c r="G25">
        <v>64095</v>
      </c>
      <c r="H25">
        <v>64095.027000000002</v>
      </c>
      <c r="I25" cm="1">
        <f t="array" ref="I25">TREND($X$8:$X$13,$W$8:$W$13,H25)</f>
        <v>33.573801013290463</v>
      </c>
      <c r="J25">
        <f>I25/(2/0.2)*3</f>
        <v>10.07214030398714</v>
      </c>
      <c r="K25">
        <v>8.2927127918308433E-2</v>
      </c>
      <c r="L25" s="1">
        <f t="shared" si="0"/>
        <v>121.45772507531206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3.51</v>
      </c>
      <c r="G26">
        <v>60660</v>
      </c>
      <c r="H26">
        <v>60659.629000000001</v>
      </c>
      <c r="I26" cm="1">
        <f t="array" ref="I26">TREND($X$8:$X$13,$W$8:$W$13,H26)</f>
        <v>31.699473261377634</v>
      </c>
      <c r="J26">
        <f>I26/(2/0.2)*3</f>
        <v>9.5098419784132915</v>
      </c>
      <c r="K26">
        <v>0.11593176321286171</v>
      </c>
      <c r="L26" s="1">
        <f t="shared" si="0"/>
        <v>82.029650156810945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3.51</v>
      </c>
      <c r="G27">
        <v>75010</v>
      </c>
      <c r="H27">
        <v>75009.983999999997</v>
      </c>
      <c r="I27" cm="1">
        <f t="array" ref="I27">TREND($X$8:$X$13,$W$8:$W$13,H27)</f>
        <v>39.52892086142311</v>
      </c>
      <c r="J27">
        <f>I27/(2/0.2)*3</f>
        <v>11.858676258426932</v>
      </c>
      <c r="K27">
        <v>0.17469611385926145</v>
      </c>
      <c r="L27" s="1">
        <f t="shared" si="0"/>
        <v>67.881740448906086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3.51</v>
      </c>
      <c r="G28">
        <v>51927</v>
      </c>
      <c r="H28">
        <v>51926.847999999998</v>
      </c>
      <c r="I28" cm="1">
        <f t="array" ref="I28">TREND($X$8:$X$13,$W$8:$W$13,H28)</f>
        <v>26.934932506659536</v>
      </c>
      <c r="J28">
        <f>I28/(2/0.2)*3</f>
        <v>8.0804797519978599</v>
      </c>
      <c r="K28">
        <v>0.17952606048773259</v>
      </c>
      <c r="L28" s="1">
        <f t="shared" si="0"/>
        <v>45.010065558420791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3.51</v>
      </c>
      <c r="G29">
        <v>62417</v>
      </c>
      <c r="H29">
        <v>62417.43</v>
      </c>
      <c r="I29" cm="1">
        <f t="array" ref="I29">TREND($X$8:$X$13,$W$8:$W$13,H29)</f>
        <v>32.658516492071755</v>
      </c>
      <c r="J29">
        <f>I29/(2/0.2)*3</f>
        <v>9.7975549476215278</v>
      </c>
      <c r="K29">
        <v>0.19723586479212707</v>
      </c>
      <c r="L29" s="1">
        <f t="shared" si="0"/>
        <v>49.67430724603495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3.52</v>
      </c>
      <c r="G30">
        <v>45497</v>
      </c>
      <c r="H30">
        <v>45497.351999999999</v>
      </c>
      <c r="I30" cm="1">
        <f t="array" ref="I30">TREND($X$8:$X$13,$W$8:$W$13,H30)</f>
        <v>23.427047020432752</v>
      </c>
      <c r="J30">
        <f>I30/(2/0.2)*3</f>
        <v>7.0281141061298262</v>
      </c>
      <c r="K30">
        <v>0.28417490410460888</v>
      </c>
      <c r="L30" s="1">
        <f t="shared" si="0"/>
        <v>24.731649433556864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3.51</v>
      </c>
      <c r="G31">
        <v>67549</v>
      </c>
      <c r="H31">
        <v>67549.25</v>
      </c>
      <c r="I31" cm="1">
        <f t="array" ref="I31">TREND($X$8:$X$13,$W$8:$W$13,H31)</f>
        <v>35.458399546035601</v>
      </c>
      <c r="J31">
        <f>I31/(2/0.2)*3</f>
        <v>10.637519863810681</v>
      </c>
      <c r="K31">
        <v>0.17872106938298743</v>
      </c>
      <c r="L31" s="1">
        <f t="shared" si="0"/>
        <v>59.520233963099109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3.51</v>
      </c>
      <c r="G32">
        <v>100605</v>
      </c>
      <c r="H32">
        <v>100605.391</v>
      </c>
      <c r="I32" cm="1">
        <f t="array" ref="I32">TREND($X$8:$X$13,$W$8:$W$13,H32)</f>
        <v>53.493585701305967</v>
      </c>
      <c r="J32">
        <f>I32/(2/0.2)*3</f>
        <v>16.048075710391789</v>
      </c>
      <c r="K32">
        <v>0.19884584700161748</v>
      </c>
      <c r="L32" s="1">
        <f t="shared" si="0"/>
        <v>80.7061145725676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3.51</v>
      </c>
      <c r="G33">
        <v>65560</v>
      </c>
      <c r="H33">
        <v>65559.976999999999</v>
      </c>
      <c r="I33" cm="1">
        <f t="array" ref="I33">TREND($X$8:$X$13,$W$8:$W$13,H33)</f>
        <v>34.373066903345908</v>
      </c>
      <c r="J33">
        <f>I33/(2/0.2)*3</f>
        <v>10.311920071003772</v>
      </c>
      <c r="K33">
        <v>0.17469611385926145</v>
      </c>
      <c r="L33" s="1">
        <f t="shared" si="0"/>
        <v>59.027758793256574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3.51</v>
      </c>
      <c r="G34">
        <v>45328</v>
      </c>
      <c r="H34">
        <v>45327.940999999999</v>
      </c>
      <c r="I34" cm="1">
        <f t="array" ref="I34">TREND($X$8:$X$13,$W$8:$W$13,H34)</f>
        <v>23.334617631238451</v>
      </c>
      <c r="J34">
        <f>I34/(2/0.2)*3</f>
        <v>7.0003852893715361</v>
      </c>
      <c r="K34">
        <v>0.24875529549582001</v>
      </c>
      <c r="L34" s="1">
        <f t="shared" si="0"/>
        <v>28.141653328096357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3.51</v>
      </c>
      <c r="G35">
        <v>42956</v>
      </c>
      <c r="H35">
        <v>42955.91</v>
      </c>
      <c r="I35" cm="1">
        <f t="array" ref="I35">TREND($X$8:$X$13,$W$8:$W$13,H35)</f>
        <v>22.040455053366102</v>
      </c>
      <c r="J35">
        <f>I35/(2/0.2)*3</f>
        <v>6.61213651600983</v>
      </c>
      <c r="K35">
        <v>0.18274602490671343</v>
      </c>
      <c r="L35" s="1">
        <f t="shared" si="0"/>
        <v>36.182108581486986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3.51</v>
      </c>
      <c r="G36">
        <v>96067</v>
      </c>
      <c r="H36">
        <v>96067.062999999995</v>
      </c>
      <c r="I36" cm="1">
        <f t="array" ref="I36">TREND($X$8:$X$13,$W$8:$W$13,H36)</f>
        <v>51.017507495030287</v>
      </c>
      <c r="J36">
        <f>I36/(2/0.2)*3</f>
        <v>15.305252248509085</v>
      </c>
      <c r="K36">
        <v>0.18113604269722305</v>
      </c>
      <c r="L36" s="1">
        <f t="shared" si="0"/>
        <v>84.495896126495893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3.51</v>
      </c>
      <c r="G37">
        <v>54005</v>
      </c>
      <c r="H37">
        <v>54004.745999999999</v>
      </c>
      <c r="I37" cm="1">
        <f t="array" ref="I37">TREND($X$8:$X$13,$W$8:$W$13,H37)</f>
        <v>28.068618294170662</v>
      </c>
      <c r="J37">
        <f>I37/(2/0.2)*3</f>
        <v>8.4205854882511986</v>
      </c>
      <c r="K37">
        <v>0.12156670094607813</v>
      </c>
      <c r="L37" s="1">
        <f t="shared" si="0"/>
        <v>69.267204116908758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3.51</v>
      </c>
      <c r="G38">
        <v>64717</v>
      </c>
      <c r="H38">
        <v>64717.129000000001</v>
      </c>
      <c r="I38" cm="1">
        <f t="array" ref="I38">TREND($X$8:$X$13,$W$8:$W$13,H38)</f>
        <v>33.913215265473319</v>
      </c>
      <c r="J38">
        <f>I38/(2/0.2)*3</f>
        <v>10.173964579641996</v>
      </c>
      <c r="K38">
        <v>8.8562065651524843E-2</v>
      </c>
      <c r="L38" s="1">
        <f t="shared" si="0"/>
        <v>114.87948598302397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3.51</v>
      </c>
      <c r="G39">
        <v>83663</v>
      </c>
      <c r="H39">
        <v>83663.039000000004</v>
      </c>
      <c r="I39" cm="1">
        <f t="array" ref="I39">TREND($X$8:$X$13,$W$8:$W$13,H39)</f>
        <v>44.249963699932088</v>
      </c>
      <c r="J39">
        <f>I39/(2/0.2)*3</f>
        <v>13.274989109979625</v>
      </c>
      <c r="K39">
        <v>0.13766652304098212</v>
      </c>
      <c r="L39" s="1">
        <f t="shared" si="0"/>
        <v>96.428592926893174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3.51</v>
      </c>
      <c r="G40">
        <v>85596</v>
      </c>
      <c r="H40">
        <v>85596.437999999995</v>
      </c>
      <c r="I40" cm="1">
        <f t="array" ref="I40">TREND($X$8:$X$13,$W$8:$W$13,H40)</f>
        <v>45.30481190128183</v>
      </c>
      <c r="J40">
        <f>I40/(2/0.2)*3</f>
        <v>13.59144357038455</v>
      </c>
      <c r="K40">
        <v>8.2122136813563229E-2</v>
      </c>
      <c r="L40" s="1">
        <f t="shared" si="0"/>
        <v>165.50279982656025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3.52</v>
      </c>
      <c r="G41">
        <v>27835</v>
      </c>
      <c r="H41">
        <v>27835.044999999998</v>
      </c>
      <c r="I41" cm="1">
        <f t="array" ref="I41">TREND($X$8:$X$13,$W$8:$W$13,H41)</f>
        <v>13.79062289347447</v>
      </c>
      <c r="J41">
        <f>I41/(2/0.2)*3</f>
        <v>4.1371868680423418</v>
      </c>
      <c r="K41">
        <v>0.10224691443219328</v>
      </c>
      <c r="L41" s="1">
        <f t="shared" si="0"/>
        <v>40.462706293068486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3.51</v>
      </c>
      <c r="G42">
        <v>81720</v>
      </c>
      <c r="H42">
        <v>81719.835999999996</v>
      </c>
      <c r="I42" cm="1">
        <f t="array" ref="I42">TREND($X$8:$X$13,$W$8:$W$13,H42)</f>
        <v>43.189766508660426</v>
      </c>
      <c r="J42">
        <f>I42/(2/0.2)*3</f>
        <v>12.956929952598129</v>
      </c>
      <c r="K42">
        <v>0.12639664757454935</v>
      </c>
      <c r="L42" s="1">
        <f t="shared" si="0"/>
        <v>102.51007602836989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3.51</v>
      </c>
      <c r="G43">
        <v>56369</v>
      </c>
      <c r="H43">
        <v>56369.188000000002</v>
      </c>
      <c r="I43" cm="1">
        <f t="array" ref="I43">TREND($X$8:$X$13,$W$8:$W$13,H43)</f>
        <v>29.358640369746269</v>
      </c>
      <c r="J43">
        <f>I43/(2/0.2)*3</f>
        <v>8.8075921109238813</v>
      </c>
      <c r="K43">
        <v>0.15054638071690538</v>
      </c>
      <c r="L43" s="1">
        <f t="shared" si="0"/>
        <v>58.504177044854366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3.51</v>
      </c>
      <c r="G44">
        <v>63819</v>
      </c>
      <c r="H44">
        <v>63818.766000000003</v>
      </c>
      <c r="I44" cm="1">
        <f t="array" ref="I44">TREND($X$8:$X$13,$W$8:$W$13,H44)</f>
        <v>33.423075054006802</v>
      </c>
      <c r="J44">
        <f>I44/(2/0.2)*3</f>
        <v>10.026922516202042</v>
      </c>
      <c r="K44">
        <v>0.14893639850741497</v>
      </c>
      <c r="L44" s="1">
        <f t="shared" si="0"/>
        <v>67.32351941290456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3.51</v>
      </c>
      <c r="G45">
        <v>69571</v>
      </c>
      <c r="H45">
        <v>69571.226999999999</v>
      </c>
      <c r="I45" cm="1">
        <f t="array" ref="I45">TREND($X$8:$X$13,$W$8:$W$13,H45)</f>
        <v>36.561575249354242</v>
      </c>
      <c r="J45">
        <f>I45/(2/0.2)*3</f>
        <v>10.968472574806274</v>
      </c>
      <c r="K45">
        <v>4.0262599366812736E-2</v>
      </c>
      <c r="L45" s="1">
        <f t="shared" si="0"/>
        <v>272.42335932854002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3.51</v>
      </c>
      <c r="G46">
        <v>58641</v>
      </c>
      <c r="H46">
        <v>58641.461000000003</v>
      </c>
      <c r="I46" cm="1">
        <f t="array" ref="I46">TREND($X$8:$X$13,$W$8:$W$13,H46)</f>
        <v>30.598375720300183</v>
      </c>
      <c r="J46">
        <f>I46/(2/0.2)*3</f>
        <v>9.1795127160900556</v>
      </c>
      <c r="K46">
        <v>0.11351678989862611</v>
      </c>
      <c r="L46" s="1">
        <f t="shared" si="0"/>
        <v>80.864801799695314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3.51</v>
      </c>
      <c r="G47">
        <v>79698</v>
      </c>
      <c r="H47">
        <v>79698.351999999999</v>
      </c>
      <c r="I47" cm="1">
        <f t="array" ref="I47">TREND($X$8:$X$13,$W$8:$W$13,H47)</f>
        <v>42.086859782497186</v>
      </c>
      <c r="J47">
        <f>I47/(2/0.2)*3</f>
        <v>12.626057934749156</v>
      </c>
      <c r="K47">
        <v>0.10144192332744809</v>
      </c>
      <c r="L47" s="1">
        <f t="shared" si="0"/>
        <v>124.46587683469923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3.51</v>
      </c>
      <c r="G48">
        <v>45413</v>
      </c>
      <c r="H48">
        <v>45412.648000000001</v>
      </c>
      <c r="I48" cm="1">
        <f t="array" ref="I48">TREND($X$8:$X$13,$W$8:$W$13,H48)</f>
        <v>23.380833144224511</v>
      </c>
      <c r="J48">
        <f>I48/(2/0.2)*3</f>
        <v>7.0142499432673526</v>
      </c>
      <c r="K48">
        <v>8.3732119023053622E-2</v>
      </c>
      <c r="L48" s="1">
        <f t="shared" si="0"/>
        <v>83.770123401942669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3.51</v>
      </c>
      <c r="G49">
        <v>55188</v>
      </c>
      <c r="H49">
        <v>55187.508000000002</v>
      </c>
      <c r="I49" cm="1">
        <f t="array" ref="I49">TREND($X$8:$X$13,$W$8:$W$13,H49)</f>
        <v>28.713924497559013</v>
      </c>
      <c r="J49">
        <f>I49/(2/0.2)*3</f>
        <v>8.6141773492677025</v>
      </c>
      <c r="K49">
        <v>0.22299558014397355</v>
      </c>
      <c r="L49" s="1">
        <f t="shared" si="0"/>
        <v>38.629363612077405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3.51</v>
      </c>
      <c r="G50">
        <v>76535</v>
      </c>
      <c r="H50">
        <v>76534.804999999993</v>
      </c>
      <c r="I50" cm="1">
        <f t="array" ref="I50">TREND($X$8:$X$13,$W$8:$W$13,H50)</f>
        <v>40.360851926469856</v>
      </c>
      <c r="J50">
        <f>I50/(2/0.2)*3</f>
        <v>12.108255577940955</v>
      </c>
      <c r="K50">
        <v>0.1175417454223521</v>
      </c>
      <c r="L50" s="1">
        <f t="shared" si="0"/>
        <v>103.01238538217599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3.51</v>
      </c>
      <c r="G51">
        <v>79042</v>
      </c>
      <c r="H51">
        <v>79041.641000000003</v>
      </c>
      <c r="I51" cm="1">
        <f t="array" ref="I51">TREND($X$8:$X$13,$W$8:$W$13,H51)</f>
        <v>41.728563115768495</v>
      </c>
      <c r="J51">
        <f>I51/(2/0.2)*3</f>
        <v>12.518568934730547</v>
      </c>
      <c r="K51">
        <v>0.11351678989862611</v>
      </c>
      <c r="L51" s="1">
        <f t="shared" si="0"/>
        <v>110.27944805266256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3.51</v>
      </c>
      <c r="G52">
        <v>57520</v>
      </c>
      <c r="H52">
        <v>57520.375</v>
      </c>
      <c r="I52" cm="1">
        <f t="array" ref="I52">TREND($X$8:$X$13,$W$8:$W$13,H52)</f>
        <v>29.986719486559302</v>
      </c>
      <c r="J52">
        <f>I52/(2/0.2)*3</f>
        <v>8.9960158459677899</v>
      </c>
      <c r="K52">
        <v>8.4537110127798853E-2</v>
      </c>
      <c r="L52" s="1">
        <f t="shared" si="0"/>
        <v>106.41499138506244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3.51</v>
      </c>
      <c r="G53">
        <v>87014</v>
      </c>
      <c r="H53">
        <v>87014.343999999997</v>
      </c>
      <c r="I53" cm="1">
        <f t="array" ref="I53">TREND($X$8:$X$13,$W$8:$W$13,H53)</f>
        <v>46.078410932719734</v>
      </c>
      <c r="J53">
        <f>I53/(2/0.2)*3</f>
        <v>13.823523279815921</v>
      </c>
      <c r="K53">
        <v>0.1078818521654097</v>
      </c>
      <c r="L53" s="1">
        <f t="shared" si="0"/>
        <v>128.13576150529028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3.51</v>
      </c>
      <c r="G54">
        <v>50564</v>
      </c>
      <c r="H54">
        <v>50564.027000000002</v>
      </c>
      <c r="I54" cm="1">
        <f t="array" ref="I54">TREND($X$8:$X$13,$W$8:$W$13,H54)</f>
        <v>26.191387443994422</v>
      </c>
      <c r="J54">
        <f>I54/(2/0.2)*3</f>
        <v>7.8574162331983262</v>
      </c>
      <c r="K54">
        <v>0.14813140740266978</v>
      </c>
      <c r="L54" s="1">
        <f t="shared" si="0"/>
        <v>53.04355349733018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3.51</v>
      </c>
      <c r="G55">
        <v>46722</v>
      </c>
      <c r="H55">
        <v>46722.366999999998</v>
      </c>
      <c r="I55" cm="1">
        <f t="array" ref="I55">TREND($X$8:$X$13,$W$8:$W$13,H55)</f>
        <v>24.095406148257091</v>
      </c>
      <c r="J55">
        <f>I55/(2/0.2)*3</f>
        <v>7.2286218444771277</v>
      </c>
      <c r="K55">
        <v>6.6022314718659172E-2</v>
      </c>
      <c r="L55" s="1">
        <f t="shared" si="0"/>
        <v>109.48755546182298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3.51</v>
      </c>
      <c r="G56">
        <v>51115</v>
      </c>
      <c r="H56">
        <v>51114.641000000003</v>
      </c>
      <c r="I56" cm="1">
        <f t="array" ref="I56">TREND($X$8:$X$13,$W$8:$W$13,H56)</f>
        <v>26.491798371867041</v>
      </c>
      <c r="J56">
        <f>I56/(2/0.2)*3</f>
        <v>7.9475395115601124</v>
      </c>
      <c r="K56">
        <v>0.22621554456295434</v>
      </c>
      <c r="L56" s="1">
        <f t="shared" si="0"/>
        <v>35.132596775852257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3.51</v>
      </c>
      <c r="G57">
        <v>52399</v>
      </c>
      <c r="H57">
        <v>52398.972999999998</v>
      </c>
      <c r="I57" cm="1">
        <f t="array" ref="I57">TREND($X$8:$X$13,$W$8:$W$13,H57)</f>
        <v>27.192520416378244</v>
      </c>
      <c r="J57">
        <f>I57/(2/0.2)*3</f>
        <v>8.1577561249134725</v>
      </c>
      <c r="K57">
        <v>0.21897062462024752</v>
      </c>
      <c r="L57" s="1">
        <f t="shared" si="0"/>
        <v>37.255025138925191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3.51</v>
      </c>
      <c r="G58">
        <v>64025</v>
      </c>
      <c r="H58">
        <v>64024.921999999999</v>
      </c>
      <c r="I58" cm="1">
        <f t="array" ref="I58">TREND($X$8:$X$13,$W$8:$W$13,H58)</f>
        <v>33.535552243556111</v>
      </c>
      <c r="J58">
        <f>I58/(2/0.2)*3</f>
        <v>10.060665673066833</v>
      </c>
      <c r="K58">
        <v>0.11271179879388092</v>
      </c>
      <c r="L58" s="1">
        <f t="shared" si="0"/>
        <v>89.260093270847719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3.51</v>
      </c>
      <c r="G59">
        <v>49693</v>
      </c>
      <c r="H59">
        <v>49692.832000000002</v>
      </c>
      <c r="I59" cm="1">
        <f t="array" ref="I59">TREND($X$8:$X$13,$W$8:$W$13,H59)</f>
        <v>25.716069892482871</v>
      </c>
      <c r="J59">
        <f>I59/(2/0.2)*3</f>
        <v>7.7148209677448607</v>
      </c>
      <c r="K59">
        <v>9.1782030070505644E-2</v>
      </c>
      <c r="L59" s="1">
        <f t="shared" si="0"/>
        <v>84.055898107924236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3.51</v>
      </c>
      <c r="G60">
        <v>71433</v>
      </c>
      <c r="H60">
        <v>71433.210999999996</v>
      </c>
      <c r="I60" cm="1">
        <f t="array" ref="I60">TREND($X$8:$X$13,$W$8:$W$13,H60)</f>
        <v>37.577459954654081</v>
      </c>
      <c r="J60">
        <f>I60/(2/0.2)*3</f>
        <v>11.273237986396225</v>
      </c>
      <c r="K60">
        <v>0.16584121170706426</v>
      </c>
      <c r="L60" s="1">
        <f t="shared" si="0"/>
        <v>67.976095147621407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3.51</v>
      </c>
      <c r="G61">
        <v>55758</v>
      </c>
      <c r="H61">
        <v>55757.961000000003</v>
      </c>
      <c r="I61" cm="1">
        <f t="array" ref="I61">TREND($X$8:$X$13,$W$8:$W$13,H61)</f>
        <v>29.025159437167737</v>
      </c>
      <c r="J61">
        <f>I61/(2/0.2)*3</f>
        <v>8.7075478311503218</v>
      </c>
      <c r="K61">
        <v>0.20850574025855992</v>
      </c>
      <c r="L61" s="1">
        <f t="shared" si="0"/>
        <v>41.761669584503657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3.51</v>
      </c>
      <c r="G62">
        <v>48083</v>
      </c>
      <c r="H62">
        <v>48083.163999999997</v>
      </c>
      <c r="I62" cm="1">
        <f t="array" ref="I62">TREND($X$8:$X$13,$W$8:$W$13,H62)</f>
        <v>24.837846931485039</v>
      </c>
      <c r="J62">
        <f>I62/(2/0.2)*3</f>
        <v>7.4513540794455118</v>
      </c>
      <c r="K62">
        <v>0.15457133624063138</v>
      </c>
      <c r="L62" s="1">
        <f t="shared" si="0"/>
        <v>48.206570899054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3.51</v>
      </c>
      <c r="G63">
        <v>49621</v>
      </c>
      <c r="H63">
        <v>49620.68</v>
      </c>
      <c r="I63" cm="1">
        <f t="array" ref="I63">TREND($X$8:$X$13,$W$8:$W$13,H63)</f>
        <v>25.676704294681386</v>
      </c>
      <c r="J63">
        <f>I63/(2/0.2)*3</f>
        <v>7.7030112884044151</v>
      </c>
      <c r="K63">
        <v>0.22863051787718996</v>
      </c>
      <c r="L63" s="1">
        <f t="shared" si="0"/>
        <v>33.69196448455812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3.51</v>
      </c>
      <c r="G64">
        <v>65553</v>
      </c>
      <c r="H64">
        <v>65553.062999999995</v>
      </c>
      <c r="I64" cm="1">
        <f t="array" ref="I64">TREND($X$8:$X$13,$W$8:$W$13,H64)</f>
        <v>34.369294676059077</v>
      </c>
      <c r="J64">
        <f>I64/(2/0.2)*3</f>
        <v>10.310788402817725</v>
      </c>
      <c r="K64">
        <v>0.19079593595416544</v>
      </c>
      <c r="L64" s="1">
        <f t="shared" si="0"/>
        <v>54.040922576540972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3.51</v>
      </c>
      <c r="G65">
        <v>71987</v>
      </c>
      <c r="H65">
        <v>71987.343999999997</v>
      </c>
      <c r="I65" cm="1">
        <f t="array" ref="I65">TREND($X$8:$X$13,$W$8:$W$13,H65)</f>
        <v>37.879790822911765</v>
      </c>
      <c r="J65">
        <f>I65/(2/0.2)*3</f>
        <v>11.36393724687353</v>
      </c>
      <c r="K65">
        <v>0.13122659420302052</v>
      </c>
      <c r="L65" s="1">
        <f t="shared" si="0"/>
        <v>86.597822003155812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3.51</v>
      </c>
      <c r="G66">
        <v>72516</v>
      </c>
      <c r="H66">
        <v>72515.937999999995</v>
      </c>
      <c r="I66" cm="1">
        <f t="array" ref="I66">TREND($X$8:$X$13,$W$8:$W$13,H66)</f>
        <v>38.168187801571761</v>
      </c>
      <c r="J66">
        <f>I66/(2/0.2)*3</f>
        <v>11.450456340471529</v>
      </c>
      <c r="K66">
        <v>0.13927650525047255</v>
      </c>
      <c r="L66" s="1">
        <f t="shared" si="0"/>
        <v>82.213840158318291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3.51</v>
      </c>
      <c r="G67">
        <v>46463</v>
      </c>
      <c r="H67">
        <v>46463.112999999998</v>
      </c>
      <c r="I67" cm="1">
        <f t="array" ref="I67">TREND($X$8:$X$13,$W$8:$W$13,H67)</f>
        <v>23.953959082445678</v>
      </c>
      <c r="J67">
        <f>I67/(2/0.2)*3</f>
        <v>7.1861877247337027</v>
      </c>
      <c r="K67">
        <v>9.7416967803722054E-2</v>
      </c>
      <c r="L67" s="1">
        <f t="shared" si="0"/>
        <v>73.76731063127113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3.51</v>
      </c>
      <c r="G68">
        <v>37457</v>
      </c>
      <c r="H68">
        <v>37457.203000000001</v>
      </c>
      <c r="I68" cm="1">
        <f t="array" ref="I68">TREND($X$8:$X$13,$W$8:$W$13,H68)</f>
        <v>19.04040116448995</v>
      </c>
      <c r="J68">
        <f>I68/(2/0.2)*3</f>
        <v>5.7121203493469856</v>
      </c>
      <c r="K68">
        <v>7.4877216870856411E-2</v>
      </c>
      <c r="L68" s="1">
        <f t="shared" si="0"/>
        <v>76.286493917086915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3.51</v>
      </c>
      <c r="G69">
        <v>62224</v>
      </c>
      <c r="H69">
        <v>62224.008000000002</v>
      </c>
      <c r="I69" cm="1">
        <f t="array" ref="I69">TREND($X$8:$X$13,$W$8:$W$13,H69)</f>
        <v>32.552986878783727</v>
      </c>
      <c r="J69">
        <f>I69/(2/0.2)*3</f>
        <v>9.7658960636351182</v>
      </c>
      <c r="K69">
        <v>0.14491144298368897</v>
      </c>
      <c r="L69" s="1">
        <f t="shared" si="0"/>
        <v>67.392166295206607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3.51</v>
      </c>
      <c r="G70">
        <v>78625</v>
      </c>
      <c r="H70">
        <v>78624.820000000007</v>
      </c>
      <c r="I70" cm="1">
        <f t="array" ref="I70">TREND($X$8:$X$13,$W$8:$W$13,H70)</f>
        <v>41.501148659603572</v>
      </c>
      <c r="J70">
        <f>I70/(2/0.2)*3</f>
        <v>12.45034459788107</v>
      </c>
      <c r="K70">
        <v>0.14571643408843418</v>
      </c>
      <c r="L70" s="1">
        <f t="shared" si="0"/>
        <v>85.442281618867042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3.51</v>
      </c>
      <c r="G71">
        <v>56367</v>
      </c>
      <c r="H71">
        <v>56366.586000000003</v>
      </c>
      <c r="I71" cm="1">
        <f t="array" ref="I71">TREND($X$8:$X$13,$W$8:$W$13,H71)</f>
        <v>29.357220737782086</v>
      </c>
      <c r="J71">
        <f>I71/(2/0.2)*3</f>
        <v>8.8071662213346258</v>
      </c>
      <c r="K71">
        <v>0.26405012648597881</v>
      </c>
      <c r="L71" s="1">
        <f t="shared" si="0"/>
        <v>33.354145057765351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3.51</v>
      </c>
      <c r="G72">
        <v>55190</v>
      </c>
      <c r="H72">
        <v>55189.938000000002</v>
      </c>
      <c r="I72" cm="1">
        <f t="array" ref="I72">TREND($X$8:$X$13,$W$8:$W$13,H72)</f>
        <v>28.715250287594735</v>
      </c>
      <c r="J72">
        <f>I72/(2/0.2)*3</f>
        <v>8.6145750862784212</v>
      </c>
      <c r="K72">
        <v>0.17469611385926145</v>
      </c>
      <c r="L72" s="1">
        <f t="shared" si="0"/>
        <v>49.311772860720232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3.51</v>
      </c>
      <c r="G73">
        <v>30018</v>
      </c>
      <c r="H73">
        <v>30017.976999999999</v>
      </c>
      <c r="I73" cm="1">
        <f t="array" ref="I73">TREND($X$8:$X$13,$W$8:$W$13,H73)</f>
        <v>14.981614454900127</v>
      </c>
      <c r="J73">
        <f>I73/(2/0.2)*3</f>
        <v>4.4944843364700384</v>
      </c>
      <c r="K73">
        <v>0.1175417454223521</v>
      </c>
      <c r="L73" s="1">
        <f t="shared" ref="L73" si="1">J73/K73</f>
        <v>38.237345551747723</v>
      </c>
    </row>
    <row r="74" spans="1:12" x14ac:dyDescent="0.3">
      <c r="A74">
        <v>34</v>
      </c>
      <c r="B74" t="s">
        <v>235</v>
      </c>
      <c r="C74" t="s">
        <v>236</v>
      </c>
      <c r="D74" t="s">
        <v>237</v>
      </c>
      <c r="E74" t="s">
        <v>238</v>
      </c>
      <c r="F74">
        <v>3.5</v>
      </c>
      <c r="G74">
        <v>947</v>
      </c>
      <c r="H74">
        <v>946.93899999999996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C97C-1CDC-4234-ADCE-EAB76ECE778B}">
  <dimension ref="A1:AB74"/>
  <sheetViews>
    <sheetView topLeftCell="A5" workbookViewId="0">
      <selection activeCell="L5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267</v>
      </c>
      <c r="P3" t="s">
        <v>91</v>
      </c>
    </row>
    <row r="5" spans="1:28" x14ac:dyDescent="0.3">
      <c r="A5" t="s">
        <v>268</v>
      </c>
      <c r="P5" t="s">
        <v>92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3.64</v>
      </c>
      <c r="G8">
        <v>2516</v>
      </c>
      <c r="H8">
        <v>2516.1329999999998</v>
      </c>
      <c r="I8">
        <f>$X$8*H8/$W$8</f>
        <v>0.61302546917967826</v>
      </c>
      <c r="J8">
        <f>I8/(2/0.2)*3</f>
        <v>0.18390764075390348</v>
      </c>
      <c r="K8">
        <v>0.14813140740266978</v>
      </c>
      <c r="L8" s="1">
        <f>J8/K8</f>
        <v>1.2415168665344694</v>
      </c>
      <c r="P8">
        <v>1</v>
      </c>
      <c r="Q8" t="s">
        <v>80</v>
      </c>
      <c r="R8" t="s">
        <v>39</v>
      </c>
      <c r="S8" t="s">
        <v>12</v>
      </c>
      <c r="T8" t="s">
        <v>13</v>
      </c>
      <c r="U8">
        <v>3.12</v>
      </c>
      <c r="V8">
        <v>4104</v>
      </c>
      <c r="W8">
        <v>4104.451</v>
      </c>
      <c r="X8">
        <v>1</v>
      </c>
      <c r="Y8">
        <v>1.04</v>
      </c>
      <c r="Z8">
        <v>4</v>
      </c>
      <c r="AA8">
        <v>12</v>
      </c>
      <c r="AB8">
        <v>23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3.64</v>
      </c>
      <c r="G9">
        <v>4319</v>
      </c>
      <c r="H9">
        <v>4319.4650000000001</v>
      </c>
      <c r="I9">
        <f>$X$8*H9/$W$8</f>
        <v>1.0523855687398875</v>
      </c>
      <c r="J9">
        <f>I9/(2/0.2)*3</f>
        <v>0.31571567062196626</v>
      </c>
      <c r="K9">
        <v>0.11673675431760691</v>
      </c>
      <c r="L9" s="1">
        <f t="shared" ref="L9:L72" si="0">J9/K9</f>
        <v>2.7045095819864522</v>
      </c>
      <c r="P9">
        <v>2</v>
      </c>
      <c r="Q9" t="s">
        <v>81</v>
      </c>
      <c r="R9" t="s">
        <v>40</v>
      </c>
      <c r="S9" t="s">
        <v>12</v>
      </c>
      <c r="T9" t="s">
        <v>14</v>
      </c>
      <c r="U9">
        <v>3.22</v>
      </c>
      <c r="V9">
        <v>6052</v>
      </c>
      <c r="W9">
        <v>6052.2719999999999</v>
      </c>
      <c r="X9">
        <v>2</v>
      </c>
      <c r="Y9">
        <v>2.0350000000000001</v>
      </c>
      <c r="Z9">
        <v>1.8</v>
      </c>
      <c r="AA9">
        <v>45</v>
      </c>
      <c r="AB9">
        <v>28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3.64</v>
      </c>
      <c r="G10">
        <v>1470</v>
      </c>
      <c r="H10">
        <v>1470.318</v>
      </c>
      <c r="I10">
        <f>$X$8*H10/$W$8</f>
        <v>0.35822525351137097</v>
      </c>
      <c r="J10">
        <f>I10/(2/0.2)*3</f>
        <v>0.1074675760534113</v>
      </c>
      <c r="K10">
        <v>8.6147092337289247E-2</v>
      </c>
      <c r="L10" s="1">
        <f t="shared" si="0"/>
        <v>1.2474893015848587</v>
      </c>
      <c r="P10">
        <v>3</v>
      </c>
      <c r="Q10" t="s">
        <v>82</v>
      </c>
      <c r="R10" t="s">
        <v>41</v>
      </c>
      <c r="S10" t="s">
        <v>12</v>
      </c>
      <c r="T10" t="s">
        <v>15</v>
      </c>
      <c r="U10">
        <v>3.22</v>
      </c>
      <c r="V10">
        <v>11689</v>
      </c>
      <c r="W10">
        <v>11688.611999999999</v>
      </c>
      <c r="X10">
        <v>5</v>
      </c>
      <c r="Y10">
        <v>4.9180000000000001</v>
      </c>
      <c r="Z10">
        <v>-1.6</v>
      </c>
      <c r="AA10">
        <v>84</v>
      </c>
      <c r="AB10">
        <v>61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3.64</v>
      </c>
      <c r="G11">
        <v>2841</v>
      </c>
      <c r="H11">
        <v>2840.5729999999999</v>
      </c>
      <c r="I11">
        <f>$X$8*H11/$W$8</f>
        <v>0.69207136350269494</v>
      </c>
      <c r="J11">
        <f>I11/(2/0.2)*3</f>
        <v>0.2076214090508085</v>
      </c>
      <c r="K11">
        <v>8.9367056756270047E-2</v>
      </c>
      <c r="L11" s="1">
        <f t="shared" si="0"/>
        <v>2.3232432239214553</v>
      </c>
      <c r="P11">
        <v>4</v>
      </c>
      <c r="Q11" t="s">
        <v>83</v>
      </c>
      <c r="R11" t="s">
        <v>42</v>
      </c>
      <c r="S11" t="s">
        <v>12</v>
      </c>
      <c r="T11" t="s">
        <v>16</v>
      </c>
      <c r="U11">
        <v>3.22</v>
      </c>
      <c r="V11">
        <v>22205</v>
      </c>
      <c r="W11">
        <v>22205.248</v>
      </c>
      <c r="X11">
        <v>10</v>
      </c>
      <c r="Y11">
        <v>10.298999999999999</v>
      </c>
      <c r="Z11">
        <v>3</v>
      </c>
      <c r="AA11">
        <v>191</v>
      </c>
      <c r="AB11">
        <v>652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3.64</v>
      </c>
      <c r="G12">
        <v>2477</v>
      </c>
      <c r="H12">
        <v>2476.9090000000001</v>
      </c>
      <c r="I12">
        <f>$X$8*H12/$W$8</f>
        <v>0.60346901449182855</v>
      </c>
      <c r="J12">
        <f>I12/(2/0.2)*3</f>
        <v>0.18104070434754854</v>
      </c>
      <c r="K12">
        <v>9.3392012279996037E-2</v>
      </c>
      <c r="L12" s="1">
        <f t="shared" si="0"/>
        <v>1.9385030895873125</v>
      </c>
      <c r="P12">
        <v>5</v>
      </c>
      <c r="Q12" t="s">
        <v>84</v>
      </c>
      <c r="R12" t="s">
        <v>43</v>
      </c>
      <c r="S12" t="s">
        <v>12</v>
      </c>
      <c r="T12" t="s">
        <v>17</v>
      </c>
      <c r="U12">
        <v>3.22</v>
      </c>
      <c r="V12">
        <v>38303</v>
      </c>
      <c r="W12">
        <v>38303.495999999999</v>
      </c>
      <c r="X12">
        <v>20</v>
      </c>
      <c r="Y12">
        <v>18.545000000000002</v>
      </c>
      <c r="Z12">
        <v>-7.3</v>
      </c>
      <c r="AA12">
        <v>122</v>
      </c>
      <c r="AB12">
        <v>628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3.64</v>
      </c>
      <c r="G13">
        <v>1987</v>
      </c>
      <c r="H13">
        <v>1986.5309999999999</v>
      </c>
      <c r="I13">
        <f>$X$8*H13/$W$8</f>
        <v>0.48399432713412827</v>
      </c>
      <c r="J13">
        <f>I13/(2/0.2)*3</f>
        <v>0.14519829814023849</v>
      </c>
      <c r="K13">
        <v>0.18918595374467503</v>
      </c>
      <c r="L13" s="1">
        <f t="shared" si="0"/>
        <v>0.76748984407266196</v>
      </c>
      <c r="P13">
        <v>6</v>
      </c>
      <c r="Q13" t="s">
        <v>85</v>
      </c>
      <c r="R13" t="s">
        <v>44</v>
      </c>
      <c r="S13" t="s">
        <v>12</v>
      </c>
      <c r="T13" t="s">
        <v>18</v>
      </c>
      <c r="U13">
        <v>3.22</v>
      </c>
      <c r="V13">
        <v>94290</v>
      </c>
      <c r="W13">
        <v>94290.233999999997</v>
      </c>
      <c r="X13">
        <v>50</v>
      </c>
      <c r="Y13">
        <v>47.305999999999997</v>
      </c>
      <c r="Z13">
        <v>-5.4</v>
      </c>
      <c r="AA13">
        <v>882</v>
      </c>
      <c r="AB13">
        <v>1223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3.64</v>
      </c>
      <c r="G14">
        <v>3175</v>
      </c>
      <c r="H14">
        <v>3175.0160000000001</v>
      </c>
      <c r="I14">
        <f>$X$8*H14/$W$8</f>
        <v>0.77355436817250345</v>
      </c>
      <c r="J14">
        <f>I14/(2/0.2)*3</f>
        <v>0.23206631045175105</v>
      </c>
      <c r="K14">
        <v>9.2587021175250833E-2</v>
      </c>
      <c r="L14" s="1">
        <f t="shared" si="0"/>
        <v>2.5064669702731943</v>
      </c>
      <c r="P14">
        <v>7</v>
      </c>
      <c r="Q14" t="s">
        <v>86</v>
      </c>
      <c r="R14" t="s">
        <v>45</v>
      </c>
      <c r="S14" t="s">
        <v>12</v>
      </c>
      <c r="T14" t="s">
        <v>19</v>
      </c>
      <c r="U14">
        <v>3.22</v>
      </c>
      <c r="V14">
        <v>210857</v>
      </c>
      <c r="W14">
        <v>210856.82800000001</v>
      </c>
      <c r="X14">
        <v>100</v>
      </c>
      <c r="Y14">
        <v>107.613</v>
      </c>
      <c r="Z14">
        <v>7.6</v>
      </c>
      <c r="AA14">
        <v>1428</v>
      </c>
      <c r="AB14">
        <v>1516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3.64</v>
      </c>
      <c r="G15">
        <v>776</v>
      </c>
      <c r="H15">
        <v>775.58399999999995</v>
      </c>
      <c r="I15">
        <f>$X$8*H15/$W$8</f>
        <v>0.18896169061343404</v>
      </c>
      <c r="J15">
        <f>I15/(2/0.2)*3</f>
        <v>5.6688507184030207E-2</v>
      </c>
      <c r="K15">
        <v>0.14974138961216016</v>
      </c>
      <c r="L15" s="1">
        <f t="shared" si="0"/>
        <v>0.37857607259326959</v>
      </c>
      <c r="P15">
        <v>8</v>
      </c>
      <c r="Q15" t="s">
        <v>87</v>
      </c>
      <c r="R15" t="s">
        <v>46</v>
      </c>
      <c r="S15" t="s">
        <v>12</v>
      </c>
      <c r="T15" t="s">
        <v>20</v>
      </c>
      <c r="U15">
        <v>3.22</v>
      </c>
      <c r="V15">
        <v>379187</v>
      </c>
      <c r="W15">
        <v>379187.25</v>
      </c>
      <c r="X15">
        <v>200</v>
      </c>
      <c r="Y15">
        <v>195.738</v>
      </c>
      <c r="Z15">
        <v>-2.1</v>
      </c>
      <c r="AA15">
        <v>464</v>
      </c>
      <c r="AB15">
        <v>4192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3.64</v>
      </c>
      <c r="G16">
        <v>4768</v>
      </c>
      <c r="H16">
        <v>4767.5990000000002</v>
      </c>
      <c r="I16">
        <f>$X$8*H16/$W$8</f>
        <v>1.1615680148209835</v>
      </c>
      <c r="J16">
        <f>I16/(2/0.2)*3</f>
        <v>0.34847040444629507</v>
      </c>
      <c r="K16">
        <v>0.19965083810636269</v>
      </c>
      <c r="L16" s="1">
        <f t="shared" si="0"/>
        <v>1.7453991566048408</v>
      </c>
      <c r="P16">
        <v>9</v>
      </c>
      <c r="Q16" t="s">
        <v>88</v>
      </c>
      <c r="R16" t="s">
        <v>47</v>
      </c>
      <c r="S16" t="s">
        <v>12</v>
      </c>
      <c r="T16" t="s">
        <v>21</v>
      </c>
      <c r="U16">
        <v>3.22</v>
      </c>
      <c r="V16">
        <v>942961</v>
      </c>
      <c r="W16">
        <v>942960.56299999997</v>
      </c>
      <c r="X16">
        <v>500</v>
      </c>
      <c r="Y16">
        <v>500.51400000000001</v>
      </c>
      <c r="Z16">
        <v>0.1</v>
      </c>
      <c r="AA16">
        <v>6492</v>
      </c>
      <c r="AB16">
        <v>7144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3.64</v>
      </c>
      <c r="G17">
        <v>8014</v>
      </c>
      <c r="H17">
        <v>8014.25</v>
      </c>
      <c r="I17">
        <f>$X$8*H17/$W$8</f>
        <v>1.9525753870615095</v>
      </c>
      <c r="J17">
        <f>I17/(2/0.2)*3</f>
        <v>0.58577261611845288</v>
      </c>
      <c r="K17">
        <v>0.22058060682973793</v>
      </c>
      <c r="L17" s="1">
        <f t="shared" si="0"/>
        <v>2.6555943631554149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3.64</v>
      </c>
      <c r="G18">
        <v>6774</v>
      </c>
      <c r="H18">
        <v>6773.9369999999999</v>
      </c>
      <c r="I18">
        <f>$X$8*H18/$W$8</f>
        <v>1.6503880786979792</v>
      </c>
      <c r="J18">
        <f>I18/(2/0.2)*3</f>
        <v>0.49511642360939373</v>
      </c>
      <c r="K18">
        <v>0.12720163867929454</v>
      </c>
      <c r="L18" s="1">
        <f t="shared" si="0"/>
        <v>3.8923745696209111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3.64</v>
      </c>
      <c r="G19">
        <v>4702</v>
      </c>
      <c r="H19">
        <v>4702.0739999999996</v>
      </c>
      <c r="I19">
        <f>$X$8*H19/$W$8</f>
        <v>1.1456036385865003</v>
      </c>
      <c r="J19">
        <f>I19/(2/0.2)*3</f>
        <v>0.34368109157595006</v>
      </c>
      <c r="K19">
        <v>0.1594012828691026</v>
      </c>
      <c r="L19" s="1">
        <f t="shared" si="0"/>
        <v>2.156074815647341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3.63</v>
      </c>
      <c r="G20">
        <v>8885</v>
      </c>
      <c r="H20">
        <v>8884.8819999999996</v>
      </c>
      <c r="I20">
        <f>$X$8*H20/$W$8</f>
        <v>2.1646943769093601</v>
      </c>
      <c r="J20">
        <f>I20/(2/0.2)*3</f>
        <v>0.64940831307280811</v>
      </c>
      <c r="K20">
        <v>0.14491144298368897</v>
      </c>
      <c r="L20" s="1">
        <f t="shared" si="0"/>
        <v>4.481414991816103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3.64</v>
      </c>
      <c r="G21">
        <v>5326</v>
      </c>
      <c r="H21">
        <v>5325.6530000000002</v>
      </c>
      <c r="I21">
        <f>$X$8*H21/$W$8</f>
        <v>1.2975311436291967</v>
      </c>
      <c r="J21">
        <f>I21/(2/0.2)*3</f>
        <v>0.38925934308875898</v>
      </c>
      <c r="K21">
        <v>0.24553533107683917</v>
      </c>
      <c r="L21" s="1">
        <f t="shared" si="0"/>
        <v>1.5853496170249406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3.64</v>
      </c>
      <c r="G22">
        <v>5172</v>
      </c>
      <c r="H22">
        <v>5172.3389999999999</v>
      </c>
      <c r="I22">
        <f>$X$8*H22/$W$8</f>
        <v>1.2601780359906842</v>
      </c>
      <c r="J22">
        <f>I22/(2/0.2)*3</f>
        <v>0.37805341079720522</v>
      </c>
      <c r="K22">
        <v>0.3002747261995129</v>
      </c>
      <c r="L22" s="1">
        <f t="shared" si="0"/>
        <v>1.2590250787407711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3.64</v>
      </c>
      <c r="G23">
        <v>5927</v>
      </c>
      <c r="H23">
        <v>5926.5829999999996</v>
      </c>
      <c r="I23">
        <f>$X$8*H23/$W$8</f>
        <v>1.4439404928941775</v>
      </c>
      <c r="J23">
        <f>I23/(2/0.2)*3</f>
        <v>0.43318214786825321</v>
      </c>
      <c r="K23">
        <v>0.17147614944028067</v>
      </c>
      <c r="L23" s="1">
        <f t="shared" si="0"/>
        <v>2.5261947465126391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3.64</v>
      </c>
      <c r="G24">
        <v>5793</v>
      </c>
      <c r="H24">
        <v>5792.8069999999998</v>
      </c>
      <c r="I24">
        <f>$X$8*H24/$W$8</f>
        <v>1.4113475833917861</v>
      </c>
      <c r="J24">
        <f>I24/(2/0.2)*3</f>
        <v>0.4234042750175358</v>
      </c>
      <c r="K24">
        <v>0.18113604269722305</v>
      </c>
      <c r="L24" s="1">
        <f t="shared" si="0"/>
        <v>2.33749323830197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3.64</v>
      </c>
      <c r="G25">
        <v>8591</v>
      </c>
      <c r="H25">
        <v>8591.1569999999992</v>
      </c>
      <c r="I25">
        <f>$X$8*H25/$W$8</f>
        <v>2.0931318220146857</v>
      </c>
      <c r="J25">
        <f>I25/(2/0.2)*3</f>
        <v>0.62793954660440576</v>
      </c>
      <c r="K25">
        <v>8.2927127918308433E-2</v>
      </c>
      <c r="L25" s="1">
        <f t="shared" si="0"/>
        <v>7.5721849094181755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3.64</v>
      </c>
      <c r="G26">
        <v>5750</v>
      </c>
      <c r="H26">
        <v>5750.4139999999998</v>
      </c>
      <c r="I26">
        <f>$X$8*H26/$W$8</f>
        <v>1.4010190400616307</v>
      </c>
      <c r="J26">
        <f>I26/(2/0.2)*3</f>
        <v>0.42030571201848921</v>
      </c>
      <c r="K26">
        <v>0.11593176321286171</v>
      </c>
      <c r="L26" s="1">
        <f t="shared" si="0"/>
        <v>3.6254577724895642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3.65</v>
      </c>
      <c r="G27">
        <v>6178</v>
      </c>
      <c r="H27">
        <v>6178.3059999999996</v>
      </c>
      <c r="I27">
        <f>$X$8*H27/$W$8</f>
        <v>1.505269766894525</v>
      </c>
      <c r="J27">
        <f>I27/(2/0.2)*3</f>
        <v>0.45158093006835753</v>
      </c>
      <c r="K27">
        <v>0.17469611385926145</v>
      </c>
      <c r="L27" s="1">
        <f t="shared" si="0"/>
        <v>2.5849512052234878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3.64</v>
      </c>
      <c r="G28">
        <v>5331</v>
      </c>
      <c r="H28">
        <v>5331.259</v>
      </c>
      <c r="I28">
        <f>$X$8*H28/$W$8</f>
        <v>1.2988969779393151</v>
      </c>
      <c r="J28">
        <f>I28/(2/0.2)*3</f>
        <v>0.38966909338179451</v>
      </c>
      <c r="K28">
        <v>0.17952606048773259</v>
      </c>
      <c r="L28" s="1">
        <f t="shared" si="0"/>
        <v>2.1705433312754137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3.64</v>
      </c>
      <c r="G29">
        <v>9134</v>
      </c>
      <c r="H29">
        <v>9134.0280000000002</v>
      </c>
      <c r="I29">
        <f>$X$8*H29/$W$8</f>
        <v>2.2253957959298334</v>
      </c>
      <c r="J29">
        <f>I29/(2/0.2)*3</f>
        <v>0.66761873877895006</v>
      </c>
      <c r="K29">
        <v>0.19723586479212707</v>
      </c>
      <c r="L29" s="1">
        <f t="shared" si="0"/>
        <v>3.3848749540686929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3.64</v>
      </c>
      <c r="G30">
        <v>4516</v>
      </c>
      <c r="H30">
        <v>4515.7820000000002</v>
      </c>
      <c r="I30">
        <f>$X$8*H30/$W$8</f>
        <v>1.1002158388539662</v>
      </c>
      <c r="J30">
        <f>I30/(2/0.2)*3</f>
        <v>0.33006475165618987</v>
      </c>
      <c r="K30">
        <v>0.28417490410460888</v>
      </c>
      <c r="L30" s="1">
        <f t="shared" si="0"/>
        <v>1.161484518473483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3.64</v>
      </c>
      <c r="G31">
        <v>9779</v>
      </c>
      <c r="H31">
        <v>9779.01</v>
      </c>
      <c r="I31">
        <f>$X$8*H31/$W$8</f>
        <v>2.3825378838728981</v>
      </c>
      <c r="J31">
        <f>I31/(2/0.2)*3</f>
        <v>0.71476136516186939</v>
      </c>
      <c r="K31">
        <v>0.17872106938298743</v>
      </c>
      <c r="L31" s="1">
        <f t="shared" si="0"/>
        <v>3.9993122670398926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3.64</v>
      </c>
      <c r="G32">
        <v>11358</v>
      </c>
      <c r="H32">
        <v>11358.457</v>
      </c>
      <c r="I32">
        <f>$X$8*H32/$W$8</f>
        <v>2.7673511024982393</v>
      </c>
      <c r="J32">
        <f>I32/(2/0.2)*3</f>
        <v>0.83020533074947189</v>
      </c>
      <c r="K32">
        <v>0.19884584700161748</v>
      </c>
      <c r="L32" s="1">
        <f t="shared" si="0"/>
        <v>4.1751202917640953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3.64</v>
      </c>
      <c r="G33">
        <v>6566</v>
      </c>
      <c r="H33">
        <v>6566.317</v>
      </c>
      <c r="I33">
        <f>$X$8*H33/$W$8</f>
        <v>1.5998039689108239</v>
      </c>
      <c r="J33">
        <f>I33/(2/0.2)*3</f>
        <v>0.4799411906732472</v>
      </c>
      <c r="K33">
        <v>0.17469611385926145</v>
      </c>
      <c r="L33" s="1">
        <f t="shared" si="0"/>
        <v>2.7472917403297079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3.64</v>
      </c>
      <c r="G34">
        <v>6057</v>
      </c>
      <c r="H34">
        <v>6056.61</v>
      </c>
      <c r="I34">
        <f>$X$8*H34/$W$8</f>
        <v>1.4756200037471514</v>
      </c>
      <c r="J34">
        <f>I34/(2/0.2)*3</f>
        <v>0.44268600112414547</v>
      </c>
      <c r="K34">
        <v>0.24875529549582001</v>
      </c>
      <c r="L34" s="1">
        <f t="shared" si="0"/>
        <v>1.7796043306004081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3.64</v>
      </c>
      <c r="G35">
        <v>5237</v>
      </c>
      <c r="H35">
        <v>5236.8739999999998</v>
      </c>
      <c r="I35">
        <f>$X$8*H35/$W$8</f>
        <v>1.2759012106613039</v>
      </c>
      <c r="J35">
        <f>I35/(2/0.2)*3</f>
        <v>0.38277036319839114</v>
      </c>
      <c r="K35">
        <v>0.18274602490671343</v>
      </c>
      <c r="L35" s="1">
        <f t="shared" si="0"/>
        <v>2.0945482310424226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3.64</v>
      </c>
      <c r="G36">
        <v>12588</v>
      </c>
      <c r="H36">
        <v>12588.322</v>
      </c>
      <c r="I36">
        <f>$X$8*H36/$W$8</f>
        <v>3.0669928816302106</v>
      </c>
      <c r="J36">
        <f>I36/(2/0.2)*3</f>
        <v>0.92009786448906317</v>
      </c>
      <c r="K36">
        <v>0.18113604269722305</v>
      </c>
      <c r="L36" s="1">
        <f t="shared" si="0"/>
        <v>5.0795957049091971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3.64</v>
      </c>
      <c r="G37">
        <v>7089</v>
      </c>
      <c r="H37">
        <v>7088.87</v>
      </c>
      <c r="I37">
        <f>$X$8*H37/$W$8</f>
        <v>1.7271177070940791</v>
      </c>
      <c r="J37">
        <f>I37/(2/0.2)*3</f>
        <v>0.51813531212822372</v>
      </c>
      <c r="K37">
        <v>0.12156670094607813</v>
      </c>
      <c r="L37" s="1">
        <f t="shared" si="0"/>
        <v>4.2621483358181012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3.64</v>
      </c>
      <c r="G38">
        <v>8126</v>
      </c>
      <c r="H38">
        <v>8126.2309999999998</v>
      </c>
      <c r="I38">
        <f>$X$8*H38/$W$8</f>
        <v>1.9798582075897604</v>
      </c>
      <c r="J38">
        <f>I38/(2/0.2)*3</f>
        <v>0.59395746227692814</v>
      </c>
      <c r="K38">
        <v>8.8562065651524843E-2</v>
      </c>
      <c r="L38" s="1">
        <f t="shared" si="0"/>
        <v>6.7066803140527416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3.64</v>
      </c>
      <c r="G39">
        <v>8125</v>
      </c>
      <c r="H39">
        <v>8125.0410000000002</v>
      </c>
      <c r="I39">
        <f>$X$8*H39/$W$8</f>
        <v>1.9795682784372381</v>
      </c>
      <c r="J39">
        <f>I39/(2/0.2)*3</f>
        <v>0.59387048353117144</v>
      </c>
      <c r="K39">
        <v>0.13766652304098212</v>
      </c>
      <c r="L39" s="1">
        <f t="shared" si="0"/>
        <v>4.3138336787541398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3.64</v>
      </c>
      <c r="G40">
        <v>11471</v>
      </c>
      <c r="H40">
        <v>11470.851000000001</v>
      </c>
      <c r="I40">
        <f>$X$8*H40/$W$8</f>
        <v>2.7947345454970716</v>
      </c>
      <c r="J40">
        <f>I40/(2/0.2)*3</f>
        <v>0.83842036364912154</v>
      </c>
      <c r="K40">
        <v>8.2122136813563229E-2</v>
      </c>
      <c r="L40" s="1">
        <f t="shared" si="0"/>
        <v>10.209431904488007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3.64</v>
      </c>
      <c r="G41">
        <v>2201</v>
      </c>
      <c r="H41">
        <v>2200.6529999999998</v>
      </c>
      <c r="I41">
        <f>$X$8*H41/$W$8</f>
        <v>0.53616257082859553</v>
      </c>
      <c r="J41">
        <f>I41/(2/0.2)*3</f>
        <v>0.16084877124857866</v>
      </c>
      <c r="K41">
        <v>0.10224691443219328</v>
      </c>
      <c r="L41" s="1">
        <f t="shared" si="0"/>
        <v>1.573140589540706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3.64</v>
      </c>
      <c r="G42">
        <v>9680</v>
      </c>
      <c r="H42">
        <v>9679.9189999999999</v>
      </c>
      <c r="I42">
        <f>$X$8*H42/$W$8</f>
        <v>2.3583955564337349</v>
      </c>
      <c r="J42">
        <f>I42/(2/0.2)*3</f>
        <v>0.70751866693012055</v>
      </c>
      <c r="K42">
        <v>0.12639664757454935</v>
      </c>
      <c r="L42" s="1">
        <f t="shared" si="0"/>
        <v>5.5976062696822924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3.63</v>
      </c>
      <c r="G43">
        <v>6100</v>
      </c>
      <c r="H43">
        <v>6099.7430000000004</v>
      </c>
      <c r="I43">
        <f>$X$8*H43/$W$8</f>
        <v>1.4861288391553462</v>
      </c>
      <c r="J43">
        <f>I43/(2/0.2)*3</f>
        <v>0.44583865174660386</v>
      </c>
      <c r="K43">
        <v>0.15054638071690538</v>
      </c>
      <c r="L43" s="1">
        <f t="shared" si="0"/>
        <v>2.9614704094745408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3.64</v>
      </c>
      <c r="G44">
        <v>7765</v>
      </c>
      <c r="H44">
        <v>7765.25</v>
      </c>
      <c r="I44">
        <f>$X$8*H44/$W$8</f>
        <v>1.8919095391807577</v>
      </c>
      <c r="J44">
        <f>I44/(2/0.2)*3</f>
        <v>0.56757286175422728</v>
      </c>
      <c r="K44">
        <v>0.14893639850741497</v>
      </c>
      <c r="L44" s="1">
        <f t="shared" si="0"/>
        <v>3.810840516101039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3.64</v>
      </c>
      <c r="G45">
        <v>7344</v>
      </c>
      <c r="H45">
        <v>7344.1809999999996</v>
      </c>
      <c r="I45">
        <f>$X$8*H45/$W$8</f>
        <v>1.7893211540349732</v>
      </c>
      <c r="J45">
        <f>I45/(2/0.2)*3</f>
        <v>0.53679634621049199</v>
      </c>
      <c r="K45">
        <v>4.0262599366812736E-2</v>
      </c>
      <c r="L45" s="1">
        <f t="shared" si="0"/>
        <v>13.332381779924454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3.64</v>
      </c>
      <c r="G46">
        <v>7693</v>
      </c>
      <c r="H46">
        <v>7692.5150000000003</v>
      </c>
      <c r="I46">
        <f>$X$8*H46/$W$8</f>
        <v>1.8741885333751092</v>
      </c>
      <c r="J46">
        <f>I46/(2/0.2)*3</f>
        <v>0.56225656001253266</v>
      </c>
      <c r="K46">
        <v>0.11351678989862611</v>
      </c>
      <c r="L46" s="1">
        <f t="shared" si="0"/>
        <v>4.9530695900989148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3.64</v>
      </c>
      <c r="G47">
        <v>8294</v>
      </c>
      <c r="H47">
        <v>8294.1239999999998</v>
      </c>
      <c r="I47">
        <f>$X$8*H47/$W$8</f>
        <v>2.020763312803588</v>
      </c>
      <c r="J47">
        <f>I47/(2/0.2)*3</f>
        <v>0.60622899384107631</v>
      </c>
      <c r="K47">
        <v>0.10144192332744809</v>
      </c>
      <c r="L47" s="1">
        <f t="shared" si="0"/>
        <v>5.9761188861158283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3.64</v>
      </c>
      <c r="G48">
        <v>5864</v>
      </c>
      <c r="H48">
        <v>5864.1270000000004</v>
      </c>
      <c r="I48">
        <f>$X$8*H48/$W$8</f>
        <v>1.4287238415076706</v>
      </c>
      <c r="J48">
        <f>I48/(2/0.2)*3</f>
        <v>0.42861715245230114</v>
      </c>
      <c r="K48">
        <v>8.3732119023053622E-2</v>
      </c>
      <c r="L48" s="1">
        <f t="shared" si="0"/>
        <v>5.1189096544217607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3.64</v>
      </c>
      <c r="G49">
        <v>6420</v>
      </c>
      <c r="H49">
        <v>6419.6180000000004</v>
      </c>
      <c r="I49">
        <f>$X$8*H49/$W$8</f>
        <v>1.5640625262672159</v>
      </c>
      <c r="J49">
        <f>I49/(2/0.2)*3</f>
        <v>0.46921875788016476</v>
      </c>
      <c r="K49">
        <v>0.22299558014397355</v>
      </c>
      <c r="L49" s="1">
        <f t="shared" si="0"/>
        <v>2.1041616949413129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3.64</v>
      </c>
      <c r="G50">
        <v>7867</v>
      </c>
      <c r="H50">
        <v>7866.5339999999997</v>
      </c>
      <c r="I50">
        <f>$X$8*H50/$W$8</f>
        <v>1.9165861646295692</v>
      </c>
      <c r="J50">
        <f>I50/(2/0.2)*3</f>
        <v>0.57497584938887081</v>
      </c>
      <c r="K50">
        <v>0.1175417454223521</v>
      </c>
      <c r="L50" s="1">
        <f t="shared" si="0"/>
        <v>4.8916735694443041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3.64</v>
      </c>
      <c r="G51">
        <v>8230</v>
      </c>
      <c r="H51">
        <v>8230.11</v>
      </c>
      <c r="I51">
        <f>$X$8*H51/$W$8</f>
        <v>2.005167073501426</v>
      </c>
      <c r="J51">
        <f>I51/(2/0.2)*3</f>
        <v>0.60155012205042779</v>
      </c>
      <c r="K51">
        <v>0.11351678989862611</v>
      </c>
      <c r="L51" s="1">
        <f t="shared" si="0"/>
        <v>5.2992171694392525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3.64</v>
      </c>
      <c r="G52">
        <v>6225</v>
      </c>
      <c r="H52">
        <v>6224.9179999999997</v>
      </c>
      <c r="I52">
        <f>$X$8*H52/$W$8</f>
        <v>1.5166262187074471</v>
      </c>
      <c r="J52">
        <f>I52/(2/0.2)*3</f>
        <v>0.45498786561223409</v>
      </c>
      <c r="K52">
        <v>8.4537110127798853E-2</v>
      </c>
      <c r="L52" s="1">
        <f t="shared" si="0"/>
        <v>5.3821081052381237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3.63</v>
      </c>
      <c r="G53">
        <v>9612</v>
      </c>
      <c r="H53">
        <v>9612.2860000000001</v>
      </c>
      <c r="I53">
        <f>$X$8*H53/$W$8</f>
        <v>2.3419175914147834</v>
      </c>
      <c r="J53">
        <f>I53/(2/0.2)*3</f>
        <v>0.70257527742443493</v>
      </c>
      <c r="K53">
        <v>0.1078818521654097</v>
      </c>
      <c r="L53" s="1">
        <f t="shared" si="0"/>
        <v>6.5124510130509474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3.63</v>
      </c>
      <c r="G54">
        <v>4284</v>
      </c>
      <c r="H54">
        <v>4283.768</v>
      </c>
      <c r="I54">
        <f>$X$8*H54/$W$8</f>
        <v>1.0436884250780434</v>
      </c>
      <c r="J54">
        <f>I54/(2/0.2)*3</f>
        <v>0.31310652752341306</v>
      </c>
      <c r="K54">
        <v>0.14813140740266978</v>
      </c>
      <c r="L54" s="1">
        <f t="shared" si="0"/>
        <v>2.1137079098444449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3.63</v>
      </c>
      <c r="G55">
        <v>4308</v>
      </c>
      <c r="H55">
        <v>4308.1909999999998</v>
      </c>
      <c r="I55">
        <f>$X$8*H55/$W$8</f>
        <v>1.0496387945671661</v>
      </c>
      <c r="J55">
        <f>I55/(2/0.2)*3</f>
        <v>0.31489163837014988</v>
      </c>
      <c r="K55">
        <v>6.6022314718659172E-2</v>
      </c>
      <c r="L55" s="1">
        <f t="shared" si="0"/>
        <v>4.7694728625010701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3.64</v>
      </c>
      <c r="G56">
        <v>3344</v>
      </c>
      <c r="H56">
        <v>3344.0369999999998</v>
      </c>
      <c r="I56">
        <f>$X$8*H56/$W$8</f>
        <v>0.81473429698636912</v>
      </c>
      <c r="J56">
        <f>I56/(2/0.2)*3</f>
        <v>0.24442028909591074</v>
      </c>
      <c r="K56">
        <v>0.22621554456295434</v>
      </c>
      <c r="L56" s="1">
        <f t="shared" si="0"/>
        <v>1.0804752147697354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3.64</v>
      </c>
      <c r="G57">
        <v>6482</v>
      </c>
      <c r="H57">
        <v>6482.4809999999998</v>
      </c>
      <c r="I57">
        <f>$X$8*H57/$W$8</f>
        <v>1.5793783382966442</v>
      </c>
      <c r="J57">
        <f>I57/(2/0.2)*3</f>
        <v>0.47381350148899326</v>
      </c>
      <c r="K57">
        <v>0.21897062462024752</v>
      </c>
      <c r="L57" s="1">
        <f t="shared" si="0"/>
        <v>2.1638222127315485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3.64</v>
      </c>
      <c r="G58">
        <v>5961</v>
      </c>
      <c r="H58">
        <v>5960.7079999999996</v>
      </c>
      <c r="I58">
        <f>$X$8*H58/$W$8</f>
        <v>1.4522546377091601</v>
      </c>
      <c r="J58">
        <f>I58/(2/0.2)*3</f>
        <v>0.43567639131274799</v>
      </c>
      <c r="K58">
        <v>0.11271179879388092</v>
      </c>
      <c r="L58" s="1">
        <f t="shared" si="0"/>
        <v>3.8654018121872142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3.64</v>
      </c>
      <c r="G59">
        <v>4577</v>
      </c>
      <c r="H59">
        <v>4577.1840000000002</v>
      </c>
      <c r="I59">
        <f>$X$8*H59/$W$8</f>
        <v>1.1151756958482388</v>
      </c>
      <c r="J59">
        <f>I59/(2/0.2)*3</f>
        <v>0.33455270875447163</v>
      </c>
      <c r="K59">
        <v>9.1782030070505644E-2</v>
      </c>
      <c r="L59" s="1">
        <f t="shared" si="0"/>
        <v>3.6450785463938096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3.64</v>
      </c>
      <c r="G60">
        <v>5944</v>
      </c>
      <c r="H60">
        <v>5944.0339999999997</v>
      </c>
      <c r="I60">
        <f>$X$8*H60/$W$8</f>
        <v>1.4481922186426393</v>
      </c>
      <c r="J60">
        <f>I60/(2/0.2)*3</f>
        <v>0.43445766559279181</v>
      </c>
      <c r="K60">
        <v>0.16584121170706426</v>
      </c>
      <c r="L60" s="1">
        <f t="shared" si="0"/>
        <v>2.6197207625339933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3.64</v>
      </c>
      <c r="G61">
        <v>6336</v>
      </c>
      <c r="H61">
        <v>6336.2160000000003</v>
      </c>
      <c r="I61">
        <f>$X$8*H61/$W$8</f>
        <v>1.5437426345204268</v>
      </c>
      <c r="J61">
        <f>I61/(2/0.2)*3</f>
        <v>0.46312279035612808</v>
      </c>
      <c r="K61">
        <v>0.20850574025855992</v>
      </c>
      <c r="L61" s="1">
        <f t="shared" si="0"/>
        <v>2.221151272774684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3.64</v>
      </c>
      <c r="G62">
        <v>5417</v>
      </c>
      <c r="H62">
        <v>5417.2849999999999</v>
      </c>
      <c r="I62">
        <f>$X$8*H62/$W$8</f>
        <v>1.3198561756493135</v>
      </c>
      <c r="J62">
        <f>I62/(2/0.2)*3</f>
        <v>0.39595685269479408</v>
      </c>
      <c r="K62">
        <v>0.15457133624063138</v>
      </c>
      <c r="L62" s="1">
        <f t="shared" si="0"/>
        <v>2.5616447546159655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3.64</v>
      </c>
      <c r="G63">
        <v>3806</v>
      </c>
      <c r="H63">
        <v>3805.6860000000001</v>
      </c>
      <c r="I63">
        <f>$X$8*H63/$W$8</f>
        <v>0.92720950987111317</v>
      </c>
      <c r="J63">
        <f>I63/(2/0.2)*3</f>
        <v>0.27816285296133397</v>
      </c>
      <c r="K63">
        <v>0.22863051787718996</v>
      </c>
      <c r="L63" s="1">
        <f t="shared" si="0"/>
        <v>1.2166479590915791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3.64</v>
      </c>
      <c r="G64">
        <v>9114</v>
      </c>
      <c r="H64">
        <v>9114.0810000000001</v>
      </c>
      <c r="I64">
        <f>$X$8*H64/$W$8</f>
        <v>2.220535949874904</v>
      </c>
      <c r="J64">
        <f>I64/(2/0.2)*3</f>
        <v>0.66616078496247111</v>
      </c>
      <c r="K64">
        <v>0.19079593595416544</v>
      </c>
      <c r="L64" s="1">
        <f t="shared" si="0"/>
        <v>3.4914830949150915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3.64</v>
      </c>
      <c r="G65">
        <v>8882</v>
      </c>
      <c r="H65">
        <v>8881.7839999999997</v>
      </c>
      <c r="I65">
        <f>$X$8*H65/$W$8</f>
        <v>2.1639395865610282</v>
      </c>
      <c r="J65">
        <f>I65/(2/0.2)*3</f>
        <v>0.64918187596830856</v>
      </c>
      <c r="K65">
        <v>0.13122659420302052</v>
      </c>
      <c r="L65" s="1">
        <f t="shared" si="0"/>
        <v>4.9470298296697388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3.64</v>
      </c>
      <c r="G66">
        <v>4764</v>
      </c>
      <c r="H66">
        <v>4764.1869999999999</v>
      </c>
      <c r="I66">
        <f>$X$8*H66/$W$8</f>
        <v>1.1607367221584568</v>
      </c>
      <c r="J66">
        <f>I66/(2/0.2)*3</f>
        <v>0.34822101664753702</v>
      </c>
      <c r="K66">
        <v>0.13927650525047255</v>
      </c>
      <c r="L66" s="1">
        <f t="shared" si="0"/>
        <v>2.5002136291494543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3.63</v>
      </c>
      <c r="G67">
        <v>4849</v>
      </c>
      <c r="H67">
        <v>4848.7740000000003</v>
      </c>
      <c r="I67">
        <f>$X$8*H67/$W$8</f>
        <v>1.1813453248680519</v>
      </c>
      <c r="J67">
        <f>I67/(2/0.2)*3</f>
        <v>0.35440359746041561</v>
      </c>
      <c r="K67">
        <v>9.7416967803722054E-2</v>
      </c>
      <c r="L67" s="1">
        <f t="shared" si="0"/>
        <v>3.6380068631829738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3.64</v>
      </c>
      <c r="G68">
        <v>4513</v>
      </c>
      <c r="H68">
        <v>4513.17</v>
      </c>
      <c r="I68">
        <f>$X$8*H68/$W$8</f>
        <v>1.0995794565460764</v>
      </c>
      <c r="J68">
        <f>I68/(2/0.2)*3</f>
        <v>0.32987383696382289</v>
      </c>
      <c r="K68">
        <v>7.4877216870856411E-2</v>
      </c>
      <c r="L68" s="1">
        <f t="shared" si="0"/>
        <v>4.4055301565597569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3.63</v>
      </c>
      <c r="G69">
        <v>6397</v>
      </c>
      <c r="H69">
        <v>6396.7860000000001</v>
      </c>
      <c r="I69">
        <f>$X$8*H69/$W$8</f>
        <v>1.558499784745877</v>
      </c>
      <c r="J69">
        <f>I69/(2/0.2)*3</f>
        <v>0.46754993542376311</v>
      </c>
      <c r="K69">
        <v>0.14491144298368897</v>
      </c>
      <c r="L69" s="1">
        <f t="shared" si="0"/>
        <v>3.226452830756712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3.64</v>
      </c>
      <c r="G70">
        <v>8514</v>
      </c>
      <c r="H70">
        <v>8513.7659999999996</v>
      </c>
      <c r="I70">
        <f>$X$8*H70/$W$8</f>
        <v>2.0742764379450502</v>
      </c>
      <c r="J70">
        <f>I70/(2/0.2)*3</f>
        <v>0.62228293138351498</v>
      </c>
      <c r="K70">
        <v>0.14571643408843418</v>
      </c>
      <c r="L70" s="1">
        <f t="shared" si="0"/>
        <v>4.2705061736952485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3.64</v>
      </c>
      <c r="G71">
        <v>5876</v>
      </c>
      <c r="H71">
        <v>5875.7579999999998</v>
      </c>
      <c r="I71">
        <f>$X$8*H71/$W$8</f>
        <v>1.4315575944261485</v>
      </c>
      <c r="J71">
        <f>I71/(2/0.2)*3</f>
        <v>0.42946727832784459</v>
      </c>
      <c r="K71">
        <v>0.26405012648597881</v>
      </c>
      <c r="L71" s="1">
        <f t="shared" si="0"/>
        <v>1.6264611725177474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3.63</v>
      </c>
      <c r="G72">
        <v>6998</v>
      </c>
      <c r="H72">
        <v>6997.67</v>
      </c>
      <c r="I72">
        <f>$X$8*H72/$W$8</f>
        <v>1.7048979266654662</v>
      </c>
      <c r="J72">
        <f>I72/(2/0.2)*3</f>
        <v>0.51146937799963987</v>
      </c>
      <c r="K72">
        <v>0.17469611385926145</v>
      </c>
      <c r="L72" s="1">
        <f t="shared" si="0"/>
        <v>2.9277662032693494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3.64</v>
      </c>
      <c r="G73">
        <v>4431</v>
      </c>
      <c r="H73">
        <v>4430.9629999999997</v>
      </c>
      <c r="I73">
        <f>$X$8*H73/$W$8</f>
        <v>1.0795507121415262</v>
      </c>
      <c r="J73">
        <f>I73/(2/0.2)*3</f>
        <v>0.32386521364245791</v>
      </c>
      <c r="K73">
        <v>0.1175417454223521</v>
      </c>
      <c r="L73" s="1">
        <f t="shared" ref="L73" si="1">J73/K73</f>
        <v>2.7553207796833576</v>
      </c>
    </row>
    <row r="74" spans="1:12" x14ac:dyDescent="0.3">
      <c r="A74">
        <v>34</v>
      </c>
      <c r="B74" t="s">
        <v>235</v>
      </c>
      <c r="C74" t="s">
        <v>236</v>
      </c>
      <c r="D74" t="s">
        <v>237</v>
      </c>
      <c r="E74" t="s">
        <v>238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F269-0C38-4508-A3CA-02E09EE29513}">
  <dimension ref="A1:AB73"/>
  <sheetViews>
    <sheetView topLeftCell="A2" workbookViewId="0">
      <selection activeCell="L2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93</v>
      </c>
      <c r="P3" t="s">
        <v>78</v>
      </c>
    </row>
    <row r="5" spans="1:28" x14ac:dyDescent="0.3">
      <c r="A5" t="s">
        <v>94</v>
      </c>
      <c r="P5" t="s">
        <v>79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1.96</v>
      </c>
      <c r="G8">
        <v>18930</v>
      </c>
      <c r="H8">
        <v>18930.065999999999</v>
      </c>
      <c r="I8" cm="1">
        <f t="array" ref="I8">TREND($X$8:$X$13,$W$8:$W$13,H8)</f>
        <v>9.6477129142625095</v>
      </c>
      <c r="J8">
        <f>I8/(2/0.2)*3</f>
        <v>2.8943138742787529</v>
      </c>
      <c r="K8">
        <v>0.14813140740266978</v>
      </c>
      <c r="L8" s="1">
        <f>J8/K8</f>
        <v>19.538826539405367</v>
      </c>
      <c r="P8">
        <v>1</v>
      </c>
      <c r="Q8" t="s">
        <v>80</v>
      </c>
      <c r="R8" t="s">
        <v>39</v>
      </c>
      <c r="S8" t="s">
        <v>12</v>
      </c>
      <c r="T8" t="s">
        <v>13</v>
      </c>
      <c r="U8">
        <v>1.95</v>
      </c>
      <c r="V8">
        <v>1597</v>
      </c>
      <c r="W8">
        <v>1596.8109999999999</v>
      </c>
      <c r="X8">
        <v>1</v>
      </c>
      <c r="Y8">
        <v>0.84</v>
      </c>
      <c r="Z8">
        <v>-16</v>
      </c>
      <c r="AA8">
        <v>12</v>
      </c>
      <c r="AB8">
        <v>34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1.96</v>
      </c>
      <c r="G9">
        <v>12942</v>
      </c>
      <c r="H9">
        <v>12942.040999999999</v>
      </c>
      <c r="I9" cm="1">
        <f t="array" ref="I9">TREND($X$8:$X$13,$W$8:$W$13,H9)</f>
        <v>6.3728037282965122</v>
      </c>
      <c r="J9">
        <f>I9/(2/0.2)*3</f>
        <v>1.9118411184889537</v>
      </c>
      <c r="K9">
        <v>0.11673675431760691</v>
      </c>
      <c r="L9" s="1">
        <f t="shared" ref="L9:L72" si="0">J9/K9</f>
        <v>16.377370860315231</v>
      </c>
      <c r="P9">
        <v>2</v>
      </c>
      <c r="Q9" t="s">
        <v>81</v>
      </c>
      <c r="R9" t="s">
        <v>40</v>
      </c>
      <c r="S9" t="s">
        <v>12</v>
      </c>
      <c r="T9" t="s">
        <v>14</v>
      </c>
      <c r="U9">
        <v>1.95</v>
      </c>
      <c r="V9">
        <v>4560</v>
      </c>
      <c r="W9">
        <v>4560.3</v>
      </c>
      <c r="X9">
        <v>2</v>
      </c>
      <c r="Y9">
        <v>2.339</v>
      </c>
      <c r="Z9">
        <v>16.899999999999999</v>
      </c>
      <c r="AA9">
        <v>69</v>
      </c>
      <c r="AB9">
        <v>35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1.96</v>
      </c>
      <c r="G10">
        <v>17677</v>
      </c>
      <c r="H10">
        <v>17677.256000000001</v>
      </c>
      <c r="I10" cm="1">
        <f t="array" ref="I10">TREND($X$8:$X$13,$W$8:$W$13,H10)</f>
        <v>8.9625389249638587</v>
      </c>
      <c r="J10">
        <f>I10/(2/0.2)*3</f>
        <v>2.6887616774891576</v>
      </c>
      <c r="K10">
        <v>8.6147092337289247E-2</v>
      </c>
      <c r="L10" s="1">
        <f t="shared" si="0"/>
        <v>31.211287630718004</v>
      </c>
      <c r="P10">
        <v>3</v>
      </c>
      <c r="Q10" t="s">
        <v>82</v>
      </c>
      <c r="R10" t="s">
        <v>41</v>
      </c>
      <c r="S10" t="s">
        <v>12</v>
      </c>
      <c r="T10" t="s">
        <v>15</v>
      </c>
      <c r="U10">
        <v>1.95</v>
      </c>
      <c r="V10">
        <v>8767</v>
      </c>
      <c r="W10">
        <v>8766.9439999999995</v>
      </c>
      <c r="X10">
        <v>5</v>
      </c>
      <c r="Y10">
        <v>4.4660000000000002</v>
      </c>
      <c r="Z10">
        <v>-10.7</v>
      </c>
      <c r="AA10">
        <v>73</v>
      </c>
      <c r="AB10">
        <v>140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1.96</v>
      </c>
      <c r="G11">
        <v>25080</v>
      </c>
      <c r="H11">
        <v>25079.794999999998</v>
      </c>
      <c r="I11" cm="1">
        <f t="array" ref="I11">TREND($X$8:$X$13,$W$8:$W$13,H11)</f>
        <v>13.011059592558189</v>
      </c>
      <c r="J11">
        <f>I11/(2/0.2)*3</f>
        <v>3.9033178777674569</v>
      </c>
      <c r="K11">
        <v>8.9367056756270047E-2</v>
      </c>
      <c r="L11" s="1">
        <f t="shared" si="0"/>
        <v>43.677368590228276</v>
      </c>
      <c r="P11">
        <v>4</v>
      </c>
      <c r="Q11" t="s">
        <v>83</v>
      </c>
      <c r="R11" t="s">
        <v>42</v>
      </c>
      <c r="S11" t="s">
        <v>12</v>
      </c>
      <c r="T11" t="s">
        <v>16</v>
      </c>
      <c r="U11">
        <v>1.95</v>
      </c>
      <c r="V11">
        <v>21256</v>
      </c>
      <c r="W11">
        <v>21255.728999999999</v>
      </c>
      <c r="X11">
        <v>10</v>
      </c>
      <c r="Y11">
        <v>10.779</v>
      </c>
      <c r="Z11">
        <v>7.8</v>
      </c>
      <c r="AA11">
        <v>234</v>
      </c>
      <c r="AB11">
        <v>261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1.96</v>
      </c>
      <c r="G12">
        <v>14990</v>
      </c>
      <c r="H12">
        <v>14990.035</v>
      </c>
      <c r="I12" cm="1">
        <f t="array" ref="I12">TREND($X$8:$X$13,$W$8:$W$13,H12)</f>
        <v>7.4928715909729782</v>
      </c>
      <c r="J12">
        <f>I12/(2/0.2)*3</f>
        <v>2.2478614772918935</v>
      </c>
      <c r="K12">
        <v>9.3392012279996037E-2</v>
      </c>
      <c r="L12" s="1">
        <f t="shared" si="0"/>
        <v>24.069097799848681</v>
      </c>
      <c r="P12">
        <v>5</v>
      </c>
      <c r="Q12" t="s">
        <v>84</v>
      </c>
      <c r="R12" t="s">
        <v>43</v>
      </c>
      <c r="S12" t="s">
        <v>12</v>
      </c>
      <c r="T12" t="s">
        <v>17</v>
      </c>
      <c r="U12">
        <v>1.94</v>
      </c>
      <c r="V12">
        <v>41703</v>
      </c>
      <c r="W12">
        <v>41702.972999999998</v>
      </c>
      <c r="X12">
        <v>20</v>
      </c>
      <c r="Y12">
        <v>21.106000000000002</v>
      </c>
      <c r="Z12">
        <v>5.5</v>
      </c>
      <c r="AA12">
        <v>591</v>
      </c>
      <c r="AB12">
        <v>434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1.96</v>
      </c>
      <c r="G13">
        <v>13258</v>
      </c>
      <c r="H13">
        <v>13257.672</v>
      </c>
      <c r="I13" cm="1">
        <f t="array" ref="I13">TREND($X$8:$X$13,$W$8:$W$13,H13)</f>
        <v>6.545425395920752</v>
      </c>
      <c r="J13">
        <f>I13/(2/0.2)*3</f>
        <v>1.9636276187762256</v>
      </c>
      <c r="K13">
        <v>0.18918595374467503</v>
      </c>
      <c r="L13" s="1">
        <f t="shared" si="0"/>
        <v>10.379352060282093</v>
      </c>
      <c r="P13">
        <v>6</v>
      </c>
      <c r="Q13" t="s">
        <v>85</v>
      </c>
      <c r="R13" t="s">
        <v>44</v>
      </c>
      <c r="S13" t="s">
        <v>12</v>
      </c>
      <c r="T13" t="s">
        <v>18</v>
      </c>
      <c r="U13">
        <v>1.95</v>
      </c>
      <c r="V13">
        <v>90759</v>
      </c>
      <c r="W13">
        <v>90759.233999999997</v>
      </c>
      <c r="X13">
        <v>50</v>
      </c>
      <c r="Y13">
        <v>45.838999999999999</v>
      </c>
      <c r="Z13">
        <v>-8.3000000000000007</v>
      </c>
      <c r="AA13">
        <v>857</v>
      </c>
      <c r="AB13">
        <v>659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1.96</v>
      </c>
      <c r="G14">
        <v>12553</v>
      </c>
      <c r="H14">
        <v>12553.046</v>
      </c>
      <c r="I14" cm="1">
        <f t="array" ref="I14">TREND($X$8:$X$13,$W$8:$W$13,H14)</f>
        <v>6.1600585746281755</v>
      </c>
      <c r="J14">
        <f>I14/(2/0.2)*3</f>
        <v>1.8480175723884527</v>
      </c>
      <c r="K14">
        <v>9.2587021175250833E-2</v>
      </c>
      <c r="L14" s="1">
        <f t="shared" si="0"/>
        <v>19.959790788500289</v>
      </c>
      <c r="P14">
        <v>7</v>
      </c>
      <c r="Q14" t="s">
        <v>86</v>
      </c>
      <c r="R14" t="s">
        <v>45</v>
      </c>
      <c r="S14" t="s">
        <v>12</v>
      </c>
      <c r="T14" t="s">
        <v>19</v>
      </c>
      <c r="U14">
        <v>1.95</v>
      </c>
      <c r="V14">
        <v>213903</v>
      </c>
      <c r="W14">
        <v>213902.70300000001</v>
      </c>
      <c r="X14">
        <v>100</v>
      </c>
      <c r="Y14">
        <v>107.654</v>
      </c>
      <c r="Z14">
        <v>7.7</v>
      </c>
      <c r="AA14">
        <v>2083</v>
      </c>
      <c r="AB14">
        <v>2574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1.96</v>
      </c>
      <c r="G15">
        <v>7606</v>
      </c>
      <c r="H15">
        <v>7605.7719999999999</v>
      </c>
      <c r="I15" cm="1">
        <f t="array" ref="I15">TREND($X$8:$X$13,$W$8:$W$13,H15)</f>
        <v>3.4543462457566791</v>
      </c>
      <c r="J15">
        <f>I15/(2/0.2)*3</f>
        <v>1.0363038737270038</v>
      </c>
      <c r="K15">
        <v>0.14974138961216016</v>
      </c>
      <c r="L15" s="1">
        <f t="shared" si="0"/>
        <v>6.920624126776822</v>
      </c>
      <c r="P15">
        <v>8</v>
      </c>
      <c r="Q15" t="s">
        <v>87</v>
      </c>
      <c r="R15" t="s">
        <v>46</v>
      </c>
      <c r="S15" t="s">
        <v>12</v>
      </c>
      <c r="T15" t="s">
        <v>20</v>
      </c>
      <c r="U15">
        <v>1.95</v>
      </c>
      <c r="V15">
        <v>386442</v>
      </c>
      <c r="W15">
        <v>386442</v>
      </c>
      <c r="X15">
        <v>200</v>
      </c>
      <c r="Y15">
        <v>193.625</v>
      </c>
      <c r="Z15">
        <v>-3.2</v>
      </c>
      <c r="AA15">
        <v>4217</v>
      </c>
      <c r="AB15">
        <v>4928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1.96</v>
      </c>
      <c r="G16">
        <v>35118</v>
      </c>
      <c r="H16">
        <v>35118.358999999997</v>
      </c>
      <c r="I16" cm="1">
        <f t="array" ref="I16">TREND($X$8:$X$13,$W$8:$W$13,H16)</f>
        <v>18.501248003178979</v>
      </c>
      <c r="J16">
        <f>I16/(2/0.2)*3</f>
        <v>5.5503744009536931</v>
      </c>
      <c r="K16">
        <v>0.19965083810636269</v>
      </c>
      <c r="L16" s="1">
        <f t="shared" si="0"/>
        <v>27.800406217161818</v>
      </c>
      <c r="P16">
        <v>9</v>
      </c>
      <c r="Q16" t="s">
        <v>88</v>
      </c>
      <c r="R16" t="s">
        <v>47</v>
      </c>
      <c r="S16" t="s">
        <v>12</v>
      </c>
      <c r="T16" t="s">
        <v>21</v>
      </c>
      <c r="U16">
        <v>1.95</v>
      </c>
      <c r="V16">
        <v>1016164</v>
      </c>
      <c r="W16">
        <v>1016164.063</v>
      </c>
      <c r="X16">
        <v>500</v>
      </c>
      <c r="Y16">
        <v>501.34800000000001</v>
      </c>
      <c r="Z16">
        <v>0.3</v>
      </c>
      <c r="AA16">
        <v>6763</v>
      </c>
      <c r="AB16">
        <v>12669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1.96</v>
      </c>
      <c r="G17">
        <v>43187</v>
      </c>
      <c r="H17">
        <v>43187.445</v>
      </c>
      <c r="I17" cm="1">
        <f t="array" ref="I17">TREND($X$8:$X$13,$W$8:$W$13,H17)</f>
        <v>22.914309716139371</v>
      </c>
      <c r="J17">
        <f>I17/(2/0.2)*3</f>
        <v>6.8742929148418108</v>
      </c>
      <c r="K17">
        <v>0.22058060682973793</v>
      </c>
      <c r="L17" s="1">
        <f t="shared" si="0"/>
        <v>31.164538957624455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1.96</v>
      </c>
      <c r="G18">
        <v>29711</v>
      </c>
      <c r="H18">
        <v>29710.942999999999</v>
      </c>
      <c r="I18" cm="1">
        <f t="array" ref="I18">TREND($X$8:$X$13,$W$8:$W$13,H18)</f>
        <v>15.543879533484963</v>
      </c>
      <c r="J18">
        <f>I18/(2/0.2)*3</f>
        <v>4.663163860045489</v>
      </c>
      <c r="K18">
        <v>0.12720163867929454</v>
      </c>
      <c r="L18" s="1">
        <f t="shared" si="0"/>
        <v>36.659620964494252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1.96</v>
      </c>
      <c r="G19">
        <v>25680</v>
      </c>
      <c r="H19">
        <v>25680.011999999999</v>
      </c>
      <c r="I19" cm="1">
        <f t="array" ref="I19">TREND($X$8:$X$13,$W$8:$W$13,H19)</f>
        <v>13.33932411497968</v>
      </c>
      <c r="J19">
        <f>I19/(2/0.2)*3</f>
        <v>4.0017972344939041</v>
      </c>
      <c r="K19">
        <v>0.1594012828691026</v>
      </c>
      <c r="L19" s="1">
        <f t="shared" si="0"/>
        <v>25.105175833372098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1.96</v>
      </c>
      <c r="G20">
        <v>33825</v>
      </c>
      <c r="H20">
        <v>33824.688000000002</v>
      </c>
      <c r="I20" cm="1">
        <f t="array" ref="I20">TREND($X$8:$X$13,$W$8:$W$13,H20)</f>
        <v>17.793726735061725</v>
      </c>
      <c r="J20">
        <f>I20/(2/0.2)*3</f>
        <v>5.3381180205185181</v>
      </c>
      <c r="K20">
        <v>0.14491144298368897</v>
      </c>
      <c r="L20" s="1">
        <f t="shared" si="0"/>
        <v>36.837104859409685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1.96</v>
      </c>
      <c r="G21">
        <v>42452</v>
      </c>
      <c r="H21">
        <v>42452.379000000001</v>
      </c>
      <c r="I21" cm="1">
        <f t="array" ref="I21">TREND($X$8:$X$13,$W$8:$W$13,H21)</f>
        <v>22.512294962411509</v>
      </c>
      <c r="J21">
        <f>I21/(2/0.2)*3</f>
        <v>6.7536884887234523</v>
      </c>
      <c r="K21">
        <v>0.24553533107683917</v>
      </c>
      <c r="L21" s="1">
        <f t="shared" si="0"/>
        <v>27.505974228246263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1.96</v>
      </c>
      <c r="G22">
        <v>40406</v>
      </c>
      <c r="H22">
        <v>40406.305</v>
      </c>
      <c r="I22" cm="1">
        <f t="array" ref="I22">TREND($X$8:$X$13,$W$8:$W$13,H22)</f>
        <v>21.393277166432668</v>
      </c>
      <c r="J22">
        <f>I22/(2/0.2)*3</f>
        <v>6.4179831499297997</v>
      </c>
      <c r="K22">
        <v>0.3002747261995129</v>
      </c>
      <c r="L22" s="1">
        <f t="shared" si="0"/>
        <v>21.373704111432509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1.96</v>
      </c>
      <c r="G23">
        <v>13519</v>
      </c>
      <c r="H23">
        <v>13518.656000000001</v>
      </c>
      <c r="I23" cm="1">
        <f t="array" ref="I23">TREND($X$8:$X$13,$W$8:$W$13,H23)</f>
        <v>6.6881600870735358</v>
      </c>
      <c r="J23">
        <f>I23/(2/0.2)*3</f>
        <v>2.0064480261220607</v>
      </c>
      <c r="K23">
        <v>0.17147614944028067</v>
      </c>
      <c r="L23" s="1">
        <f t="shared" si="0"/>
        <v>11.70103266647493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1.96</v>
      </c>
      <c r="G24">
        <v>11315</v>
      </c>
      <c r="H24">
        <v>11314.742</v>
      </c>
      <c r="I24" cm="1">
        <f t="array" ref="I24">TREND($X$8:$X$13,$W$8:$W$13,H24)</f>
        <v>5.4828180579939865</v>
      </c>
      <c r="J24">
        <f>I24/(2/0.2)*3</f>
        <v>1.6448454173981961</v>
      </c>
      <c r="K24">
        <v>0.18113604269722305</v>
      </c>
      <c r="L24" s="1">
        <f t="shared" si="0"/>
        <v>9.0807185191057105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1.96</v>
      </c>
      <c r="G25">
        <v>26901</v>
      </c>
      <c r="H25">
        <v>26901.313999999998</v>
      </c>
      <c r="I25" cm="1">
        <f t="array" ref="I25">TREND($X$8:$X$13,$W$8:$W$13,H25)</f>
        <v>14.007266072242491</v>
      </c>
      <c r="J25">
        <f>I25/(2/0.2)*3</f>
        <v>4.2021798216727468</v>
      </c>
      <c r="K25">
        <v>8.2927127918308433E-2</v>
      </c>
      <c r="L25" s="1">
        <f t="shared" si="0"/>
        <v>50.673162415709328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1.96</v>
      </c>
      <c r="G26">
        <v>52484</v>
      </c>
      <c r="H26">
        <v>52483.968999999997</v>
      </c>
      <c r="I26" cm="1">
        <f t="array" ref="I26">TREND($X$8:$X$13,$W$8:$W$13,H26)</f>
        <v>27.998669224517066</v>
      </c>
      <c r="J26">
        <f>I26/(2/0.2)*3</f>
        <v>8.3996007673551212</v>
      </c>
      <c r="K26">
        <v>0.11593176321286171</v>
      </c>
      <c r="L26" s="1">
        <f t="shared" si="0"/>
        <v>72.45297177040824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1.96</v>
      </c>
      <c r="G27">
        <v>52796</v>
      </c>
      <c r="H27">
        <v>52796.199000000001</v>
      </c>
      <c r="I27" cm="1">
        <f t="array" ref="I27">TREND($X$8:$X$13,$W$8:$W$13,H27)</f>
        <v>28.169430852121188</v>
      </c>
      <c r="J27">
        <f>I27/(2/0.2)*3</f>
        <v>8.4508292556363571</v>
      </c>
      <c r="K27">
        <v>0.17469611385926145</v>
      </c>
      <c r="L27" s="1">
        <f t="shared" si="0"/>
        <v>48.374454754296984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1.96</v>
      </c>
      <c r="G28">
        <v>46346</v>
      </c>
      <c r="H28">
        <v>46345.5</v>
      </c>
      <c r="I28" cm="1">
        <f t="array" ref="I28">TREND($X$8:$X$13,$W$8:$W$13,H28)</f>
        <v>24.641480749875171</v>
      </c>
      <c r="J28">
        <f>I28/(2/0.2)*3</f>
        <v>7.3924442249625519</v>
      </c>
      <c r="K28">
        <v>0.17952606048773259</v>
      </c>
      <c r="L28" s="1">
        <f t="shared" si="0"/>
        <v>41.177554973795537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1.96</v>
      </c>
      <c r="G29">
        <v>55813</v>
      </c>
      <c r="H29">
        <v>55812.883000000002</v>
      </c>
      <c r="I29" cm="1">
        <f t="array" ref="I29">TREND($X$8:$X$13,$W$8:$W$13,H29)</f>
        <v>29.819284709237124</v>
      </c>
      <c r="J29">
        <f>I29/(2/0.2)*3</f>
        <v>8.9457854127711371</v>
      </c>
      <c r="K29">
        <v>0.19723586479212707</v>
      </c>
      <c r="L29" s="1">
        <f t="shared" si="0"/>
        <v>45.355774530151372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1.96</v>
      </c>
      <c r="G30">
        <v>53608</v>
      </c>
      <c r="H30">
        <v>53608.336000000003</v>
      </c>
      <c r="I30" cm="1">
        <f t="array" ref="I30">TREND($X$8:$X$13,$W$8:$W$13,H30)</f>
        <v>28.613596486293197</v>
      </c>
      <c r="J30">
        <f>I30/(2/0.2)*3</f>
        <v>8.5840789458879598</v>
      </c>
      <c r="K30">
        <v>0.28417490410460888</v>
      </c>
      <c r="L30" s="1">
        <f t="shared" si="0"/>
        <v>30.207026806026605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1.96</v>
      </c>
      <c r="G31">
        <v>37258</v>
      </c>
      <c r="H31">
        <v>37257.800999999999</v>
      </c>
      <c r="I31" cm="1">
        <f t="array" ref="I31">TREND($X$8:$X$13,$W$8:$W$13,H31)</f>
        <v>19.671329667607814</v>
      </c>
      <c r="J31">
        <f>I31/(2/0.2)*3</f>
        <v>5.901398900282345</v>
      </c>
      <c r="K31">
        <v>0.17872106938298743</v>
      </c>
      <c r="L31" s="1">
        <f t="shared" si="0"/>
        <v>33.020163322971385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1.96</v>
      </c>
      <c r="G32">
        <v>71749</v>
      </c>
      <c r="H32">
        <v>71749.437999999995</v>
      </c>
      <c r="I32" cm="1">
        <f t="array" ref="I32">TREND($X$8:$X$13,$W$8:$W$13,H32)</f>
        <v>38.535141834441561</v>
      </c>
      <c r="J32">
        <f>I32/(2/0.2)*3</f>
        <v>11.560542550332467</v>
      </c>
      <c r="K32">
        <v>0.19884584700161748</v>
      </c>
      <c r="L32" s="1">
        <f t="shared" si="0"/>
        <v>58.138214725894827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1.96</v>
      </c>
      <c r="G33">
        <v>37567</v>
      </c>
      <c r="H33">
        <v>37566.512000000002</v>
      </c>
      <c r="I33" cm="1">
        <f t="array" ref="I33">TREND($X$8:$X$13,$W$8:$W$13,H33)</f>
        <v>19.840166719842692</v>
      </c>
      <c r="J33">
        <f>I33/(2/0.2)*3</f>
        <v>5.9520500159528069</v>
      </c>
      <c r="K33">
        <v>0.17469611385926145</v>
      </c>
      <c r="L33" s="1">
        <f t="shared" si="0"/>
        <v>34.070878192218359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1.96</v>
      </c>
      <c r="G34">
        <v>56416</v>
      </c>
      <c r="H34">
        <v>56415.523000000001</v>
      </c>
      <c r="I34" cm="1">
        <f t="array" ref="I34">TREND($X$8:$X$13,$W$8:$W$13,H34)</f>
        <v>30.148874393954628</v>
      </c>
      <c r="J34">
        <f>I34/(2/0.2)*3</f>
        <v>9.0446623181863899</v>
      </c>
      <c r="K34">
        <v>0.24875529549582001</v>
      </c>
      <c r="L34" s="1">
        <f t="shared" si="0"/>
        <v>36.359677490115473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1.96</v>
      </c>
      <c r="G35">
        <v>71214</v>
      </c>
      <c r="H35">
        <v>71213.797000000006</v>
      </c>
      <c r="I35" cm="1">
        <f t="array" ref="I35">TREND($X$8:$X$13,$W$8:$W$13,H35)</f>
        <v>38.242194555283582</v>
      </c>
      <c r="J35">
        <f>I35/(2/0.2)*3</f>
        <v>11.472658366585076</v>
      </c>
      <c r="K35">
        <v>0.18274602490671343</v>
      </c>
      <c r="L35" s="1">
        <f t="shared" si="0"/>
        <v>62.77924990402137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1.96</v>
      </c>
      <c r="G36">
        <v>78327</v>
      </c>
      <c r="H36">
        <v>78326.702999999994</v>
      </c>
      <c r="I36" cm="1">
        <f t="array" ref="I36">TREND($X$8:$X$13,$W$8:$W$13,H36)</f>
        <v>42.132312114631219</v>
      </c>
      <c r="J36">
        <f>I36/(2/0.2)*3</f>
        <v>12.639693634389367</v>
      </c>
      <c r="K36">
        <v>0.18113604269722305</v>
      </c>
      <c r="L36" s="1">
        <f t="shared" si="0"/>
        <v>69.780113588531776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1.96</v>
      </c>
      <c r="G37">
        <v>62851</v>
      </c>
      <c r="H37">
        <v>62851.27</v>
      </c>
      <c r="I37" cm="1">
        <f t="array" ref="I37">TREND($X$8:$X$13,$W$8:$W$13,H37)</f>
        <v>33.668647101792871</v>
      </c>
      <c r="J37">
        <f>I37/(2/0.2)*3</f>
        <v>10.100594130537861</v>
      </c>
      <c r="K37">
        <v>0.12156670094607813</v>
      </c>
      <c r="L37" s="1">
        <f t="shared" si="0"/>
        <v>83.086849046089185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1.96</v>
      </c>
      <c r="G38">
        <v>85251</v>
      </c>
      <c r="H38">
        <v>85250.883000000002</v>
      </c>
      <c r="I38" cm="1">
        <f t="array" ref="I38">TREND($X$8:$X$13,$W$8:$W$13,H38)</f>
        <v>45.919213586699563</v>
      </c>
      <c r="J38">
        <f>I38/(2/0.2)*3</f>
        <v>13.775764076009867</v>
      </c>
      <c r="K38">
        <v>8.8562065651524843E-2</v>
      </c>
      <c r="L38" s="1">
        <f t="shared" si="0"/>
        <v>155.54926338569067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1.96</v>
      </c>
      <c r="G39">
        <v>61385</v>
      </c>
      <c r="H39">
        <v>61385.184000000001</v>
      </c>
      <c r="I39" cm="1">
        <f t="array" ref="I39">TREND($X$8:$X$13,$W$8:$W$13,H39)</f>
        <v>32.8668303911385</v>
      </c>
      <c r="J39">
        <f>I39/(2/0.2)*3</f>
        <v>9.8600491173415499</v>
      </c>
      <c r="K39">
        <v>0.13766652304098212</v>
      </c>
      <c r="L39" s="1">
        <f t="shared" si="0"/>
        <v>71.622707536575902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1.96</v>
      </c>
      <c r="G40">
        <v>47972</v>
      </c>
      <c r="H40">
        <v>47971.983999999997</v>
      </c>
      <c r="I40" cm="1">
        <f t="array" ref="I40">TREND($X$8:$X$13,$W$8:$W$13,H40)</f>
        <v>25.531020688740945</v>
      </c>
      <c r="J40">
        <f>I40/(2/0.2)*3</f>
        <v>7.6593062066222828</v>
      </c>
      <c r="K40">
        <v>8.2122136813563229E-2</v>
      </c>
      <c r="L40" s="1">
        <f t="shared" si="0"/>
        <v>93.267254163280342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1.96</v>
      </c>
      <c r="G41">
        <v>36999</v>
      </c>
      <c r="H41">
        <v>36998.671999999999</v>
      </c>
      <c r="I41" cm="1">
        <f t="array" ref="I41">TREND($X$8:$X$13,$W$8:$W$13,H41)</f>
        <v>19.52960949401966</v>
      </c>
      <c r="J41">
        <f>I41/(2/0.2)*3</f>
        <v>5.8588828482058979</v>
      </c>
      <c r="K41">
        <v>0.10224691443219328</v>
      </c>
      <c r="L41" s="1">
        <f t="shared" si="0"/>
        <v>57.301316922295122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1.96</v>
      </c>
      <c r="G42">
        <v>64135</v>
      </c>
      <c r="H42">
        <v>64134.684000000001</v>
      </c>
      <c r="I42" cm="1">
        <f t="array" ref="I42">TREND($X$8:$X$13,$W$8:$W$13,H42)</f>
        <v>34.370558716723899</v>
      </c>
      <c r="J42">
        <f>I42/(2/0.2)*3</f>
        <v>10.311167615017169</v>
      </c>
      <c r="K42">
        <v>0.12639664757454935</v>
      </c>
      <c r="L42" s="1">
        <f t="shared" si="0"/>
        <v>81.57785679351656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1.96</v>
      </c>
      <c r="G43">
        <v>16895</v>
      </c>
      <c r="H43">
        <v>16894.898000000001</v>
      </c>
      <c r="I43" cm="1">
        <f t="array" ref="I43">TREND($X$8:$X$13,$W$8:$W$13,H43)</f>
        <v>8.5346597158900845</v>
      </c>
      <c r="J43">
        <f>I43/(2/0.2)*3</f>
        <v>2.5603979147670257</v>
      </c>
      <c r="K43">
        <v>0.15054638071690538</v>
      </c>
      <c r="L43" s="1">
        <f t="shared" si="0"/>
        <v>17.007369440396715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1.96</v>
      </c>
      <c r="G44">
        <v>25513</v>
      </c>
      <c r="H44">
        <v>25513</v>
      </c>
      <c r="I44" cm="1">
        <f t="array" ref="I44">TREND($X$8:$X$13,$W$8:$W$13,H44)</f>
        <v>13.247983625758852</v>
      </c>
      <c r="J44">
        <f>I44/(2/0.2)*3</f>
        <v>3.9743950877276557</v>
      </c>
      <c r="K44">
        <v>0.14893639850741497</v>
      </c>
      <c r="L44" s="1">
        <f t="shared" si="0"/>
        <v>26.685183256460885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1.96</v>
      </c>
      <c r="G45">
        <v>26860</v>
      </c>
      <c r="H45">
        <v>26860.326000000001</v>
      </c>
      <c r="I45" cm="1">
        <f t="array" ref="I45">TREND($X$8:$X$13,$W$8:$W$13,H45)</f>
        <v>13.984849335887121</v>
      </c>
      <c r="J45">
        <f>I45/(2/0.2)*3</f>
        <v>4.1954548007661367</v>
      </c>
      <c r="K45">
        <v>4.0262599366812736E-2</v>
      </c>
      <c r="L45" s="1">
        <f t="shared" si="0"/>
        <v>104.20228367630743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1.96</v>
      </c>
      <c r="G46">
        <v>27878</v>
      </c>
      <c r="H46">
        <v>27877.703000000001</v>
      </c>
      <c r="I46" cm="1">
        <f t="array" ref="I46">TREND($X$8:$X$13,$W$8:$W$13,H46)</f>
        <v>14.541262724757496</v>
      </c>
      <c r="J46">
        <f>I46/(2/0.2)*3</f>
        <v>4.3623788174272491</v>
      </c>
      <c r="K46">
        <v>0.11351678989862611</v>
      </c>
      <c r="L46" s="1">
        <f t="shared" si="0"/>
        <v>38.42937085626702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1.96</v>
      </c>
      <c r="G47">
        <v>24051</v>
      </c>
      <c r="H47">
        <v>24051.011999999999</v>
      </c>
      <c r="I47" cm="1">
        <f t="array" ref="I47">TREND($X$8:$X$13,$W$8:$W$13,H47)</f>
        <v>12.448408151212226</v>
      </c>
      <c r="J47">
        <f>I47/(2/0.2)*3</f>
        <v>3.7345224453636674</v>
      </c>
      <c r="K47">
        <v>0.10144192332744809</v>
      </c>
      <c r="L47" s="1">
        <f t="shared" si="0"/>
        <v>36.814389188076277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1.96</v>
      </c>
      <c r="G48">
        <v>25763</v>
      </c>
      <c r="H48">
        <v>25763.171999999999</v>
      </c>
      <c r="I48" cm="1">
        <f t="array" ref="I48">TREND($X$8:$X$13,$W$8:$W$13,H48)</f>
        <v>13.384805128820627</v>
      </c>
      <c r="J48">
        <f>I48/(2/0.2)*3</f>
        <v>4.0154415386461881</v>
      </c>
      <c r="K48">
        <v>8.3732119023053622E-2</v>
      </c>
      <c r="L48" s="1">
        <f t="shared" si="0"/>
        <v>47.955809377529704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1.96</v>
      </c>
      <c r="G49">
        <v>19613</v>
      </c>
      <c r="H49">
        <v>19612.594000000001</v>
      </c>
      <c r="I49" cm="1">
        <f t="array" ref="I49">TREND($X$8:$X$13,$W$8:$W$13,H49)</f>
        <v>10.020994124157092</v>
      </c>
      <c r="J49">
        <f>I49/(2/0.2)*3</f>
        <v>3.0062982372471279</v>
      </c>
      <c r="K49">
        <v>0.22299558014397355</v>
      </c>
      <c r="L49" s="1">
        <f t="shared" si="0"/>
        <v>13.481425216168676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1.96</v>
      </c>
      <c r="G50">
        <v>27238</v>
      </c>
      <c r="H50">
        <v>27237.58</v>
      </c>
      <c r="I50" cm="1">
        <f t="array" ref="I50">TREND($X$8:$X$13,$W$8:$W$13,H50)</f>
        <v>14.191173222317525</v>
      </c>
      <c r="J50">
        <f>I50/(2/0.2)*3</f>
        <v>4.2573519666952579</v>
      </c>
      <c r="K50">
        <v>0.1175417454223521</v>
      </c>
      <c r="L50" s="1">
        <f t="shared" si="0"/>
        <v>36.219914477173205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1.96</v>
      </c>
      <c r="G51">
        <v>23204</v>
      </c>
      <c r="H51">
        <v>23203.771000000001</v>
      </c>
      <c r="I51" cm="1">
        <f t="array" ref="I51">TREND($X$8:$X$13,$W$8:$W$13,H51)</f>
        <v>11.985043797585277</v>
      </c>
      <c r="J51">
        <f>I51/(2/0.2)*3</f>
        <v>3.5955131392755835</v>
      </c>
      <c r="K51">
        <v>0.11351678989862611</v>
      </c>
      <c r="L51" s="1">
        <f t="shared" si="0"/>
        <v>31.673844393296218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1.96</v>
      </c>
      <c r="G52">
        <v>26534</v>
      </c>
      <c r="H52">
        <v>26534.061000000002</v>
      </c>
      <c r="I52" cm="1">
        <f t="array" ref="I52">TREND($X$8:$X$13,$W$8:$W$13,H52)</f>
        <v>13.806411830105299</v>
      </c>
      <c r="J52">
        <f>I52/(2/0.2)*3</f>
        <v>4.1419235490315893</v>
      </c>
      <c r="K52">
        <v>8.4537110127798853E-2</v>
      </c>
      <c r="L52" s="1">
        <f t="shared" si="0"/>
        <v>48.995329302953962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1.96</v>
      </c>
      <c r="G53">
        <v>32721</v>
      </c>
      <c r="H53">
        <v>32721.026999999998</v>
      </c>
      <c r="I53" cm="1">
        <f t="array" ref="I53">TREND($X$8:$X$13,$W$8:$W$13,H53)</f>
        <v>17.19012378632781</v>
      </c>
      <c r="J53">
        <f>I53/(2/0.2)*3</f>
        <v>5.1570371358983422</v>
      </c>
      <c r="K53">
        <v>0.1078818521654097</v>
      </c>
      <c r="L53" s="1">
        <f t="shared" si="0"/>
        <v>47.802638093303422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1.96</v>
      </c>
      <c r="G54">
        <v>34286</v>
      </c>
      <c r="H54">
        <v>34286.277000000002</v>
      </c>
      <c r="I54" cm="1">
        <f t="array" ref="I54">TREND($X$8:$X$13,$W$8:$W$13,H54)</f>
        <v>18.046174254275634</v>
      </c>
      <c r="J54">
        <f>I54/(2/0.2)*3</f>
        <v>5.4138522762826895</v>
      </c>
      <c r="K54">
        <v>0.14813140740266978</v>
      </c>
      <c r="L54" s="1">
        <f t="shared" si="0"/>
        <v>36.547632748577499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1.96</v>
      </c>
      <c r="G55">
        <v>70079</v>
      </c>
      <c r="H55">
        <v>70079.414000000004</v>
      </c>
      <c r="I55" cm="1">
        <f t="array" ref="I55">TREND($X$8:$X$13,$W$8:$W$13,H55)</f>
        <v>37.621789445568162</v>
      </c>
      <c r="J55">
        <f>I55/(2/0.2)*3</f>
        <v>11.28653683367045</v>
      </c>
      <c r="K55">
        <v>6.6022314718659172E-2</v>
      </c>
      <c r="L55" s="1">
        <f t="shared" si="0"/>
        <v>170.95033522780531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1.96</v>
      </c>
      <c r="G56">
        <v>50970</v>
      </c>
      <c r="H56">
        <v>50970.141000000003</v>
      </c>
      <c r="I56" cm="1">
        <f t="array" ref="I56">TREND($X$8:$X$13,$W$8:$W$13,H56)</f>
        <v>27.170741949134523</v>
      </c>
      <c r="J56">
        <f>I56/(2/0.2)*3</f>
        <v>8.1512225847403563</v>
      </c>
      <c r="K56">
        <v>0.22621554456295434</v>
      </c>
      <c r="L56" s="1">
        <f t="shared" si="0"/>
        <v>36.032990573165158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1.96</v>
      </c>
      <c r="G57">
        <v>26538</v>
      </c>
      <c r="H57">
        <v>26537.803</v>
      </c>
      <c r="I57" cm="1">
        <f t="array" ref="I57">TREND($X$8:$X$13,$W$8:$W$13,H57)</f>
        <v>13.808458366346192</v>
      </c>
      <c r="J57">
        <f>I57/(2/0.2)*3</f>
        <v>4.1425375099038577</v>
      </c>
      <c r="K57">
        <v>0.21897062462024752</v>
      </c>
      <c r="L57" s="1">
        <f t="shared" si="0"/>
        <v>18.918233973566565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1.96</v>
      </c>
      <c r="G58">
        <v>78752</v>
      </c>
      <c r="H58">
        <v>78752.218999999997</v>
      </c>
      <c r="I58" cm="1">
        <f t="array" ref="I58">TREND($X$8:$X$13,$W$8:$W$13,H58)</f>
        <v>42.36503095885373</v>
      </c>
      <c r="J58">
        <f>I58/(2/0.2)*3</f>
        <v>12.70950928765612</v>
      </c>
      <c r="K58">
        <v>0.11271179879388092</v>
      </c>
      <c r="L58" s="1">
        <f t="shared" si="0"/>
        <v>112.76112548694515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1.96</v>
      </c>
      <c r="G59">
        <v>78319</v>
      </c>
      <c r="H59">
        <v>78318.672000000006</v>
      </c>
      <c r="I59" cm="1">
        <f t="array" ref="I59">TREND($X$8:$X$13,$W$8:$W$13,H59)</f>
        <v>42.127919882522555</v>
      </c>
      <c r="J59">
        <f>I59/(2/0.2)*3</f>
        <v>12.638375964756765</v>
      </c>
      <c r="K59">
        <v>9.1782030070505644E-2</v>
      </c>
      <c r="L59" s="1">
        <f t="shared" si="0"/>
        <v>137.69989566637548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1.96</v>
      </c>
      <c r="G60">
        <v>35119</v>
      </c>
      <c r="H60">
        <v>35119.167999999998</v>
      </c>
      <c r="I60" cm="1">
        <f t="array" ref="I60">TREND($X$8:$X$13,$W$8:$W$13,H60)</f>
        <v>18.501690453157302</v>
      </c>
      <c r="J60">
        <f>I60/(2/0.2)*3</f>
        <v>5.5505071359471909</v>
      </c>
      <c r="K60">
        <v>0.16584121170706426</v>
      </c>
      <c r="L60" s="1">
        <f t="shared" si="0"/>
        <v>33.468804760974614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1.96</v>
      </c>
      <c r="G61">
        <v>39649</v>
      </c>
      <c r="H61">
        <v>39648.597999999998</v>
      </c>
      <c r="I61" cm="1">
        <f t="array" ref="I61">TREND($X$8:$X$13,$W$8:$W$13,H61)</f>
        <v>20.978879829318885</v>
      </c>
      <c r="J61">
        <f>I61/(2/0.2)*3</f>
        <v>6.2936639487956647</v>
      </c>
      <c r="K61">
        <v>0.20850574025855992</v>
      </c>
      <c r="L61" s="1">
        <f t="shared" si="0"/>
        <v>30.184607584381776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1.96</v>
      </c>
      <c r="G62">
        <v>22922</v>
      </c>
      <c r="H62">
        <v>22922.296999999999</v>
      </c>
      <c r="I62" cm="1">
        <f t="array" ref="I62">TREND($X$8:$X$13,$W$8:$W$13,H62)</f>
        <v>11.831102925893759</v>
      </c>
      <c r="J62">
        <f>I62/(2/0.2)*3</f>
        <v>3.5493308777681278</v>
      </c>
      <c r="K62">
        <v>0.15457133624063138</v>
      </c>
      <c r="L62" s="1">
        <f t="shared" si="0"/>
        <v>22.962413110297828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1.96</v>
      </c>
      <c r="G63">
        <v>44425</v>
      </c>
      <c r="H63">
        <v>44424.629000000001</v>
      </c>
      <c r="I63" cm="1">
        <f t="array" ref="I63">TREND($X$8:$X$13,$W$8:$W$13,H63)</f>
        <v>23.590937693866607</v>
      </c>
      <c r="J63">
        <f>I63/(2/0.2)*3</f>
        <v>7.0772813081599821</v>
      </c>
      <c r="K63">
        <v>0.22863051787718996</v>
      </c>
      <c r="L63" s="1">
        <f t="shared" si="0"/>
        <v>30.955103342597418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1.96</v>
      </c>
      <c r="G64">
        <v>21094</v>
      </c>
      <c r="H64">
        <v>21093.706999999999</v>
      </c>
      <c r="I64" cm="1">
        <f t="array" ref="I64">TREND($X$8:$X$13,$W$8:$W$13,H64)</f>
        <v>10.831029247449605</v>
      </c>
      <c r="J64">
        <f>I64/(2/0.2)*3</f>
        <v>3.2493087742348812</v>
      </c>
      <c r="K64">
        <v>0.19079593595416544</v>
      </c>
      <c r="L64" s="1">
        <f t="shared" si="0"/>
        <v>17.030282945939984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1.95</v>
      </c>
      <c r="G65">
        <v>21448</v>
      </c>
      <c r="H65">
        <v>21448.35</v>
      </c>
      <c r="I65" cm="1">
        <f t="array" ref="I65">TREND($X$8:$X$13,$W$8:$W$13,H65)</f>
        <v>11.024986957786242</v>
      </c>
      <c r="J65">
        <f>I65/(2/0.2)*3</f>
        <v>3.3074960873358727</v>
      </c>
      <c r="K65">
        <v>0.13122659420302052</v>
      </c>
      <c r="L65" s="1">
        <f t="shared" si="0"/>
        <v>25.204464898470572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1.96</v>
      </c>
      <c r="G66">
        <v>29336</v>
      </c>
      <c r="H66">
        <v>29336.447</v>
      </c>
      <c r="I66" cm="1">
        <f t="array" ref="I66">TREND($X$8:$X$13,$W$8:$W$13,H66)</f>
        <v>15.339064024112924</v>
      </c>
      <c r="J66">
        <f>I66/(2/0.2)*3</f>
        <v>4.6017192072338773</v>
      </c>
      <c r="K66">
        <v>0.13927650525047255</v>
      </c>
      <c r="L66" s="1">
        <f t="shared" si="0"/>
        <v>33.04016854068977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1.96</v>
      </c>
      <c r="G67">
        <v>30619</v>
      </c>
      <c r="H67">
        <v>30618.567999999999</v>
      </c>
      <c r="I67" cm="1">
        <f t="array" ref="I67">TREND($X$8:$X$13,$W$8:$W$13,H67)</f>
        <v>16.040268484752268</v>
      </c>
      <c r="J67">
        <f>I67/(2/0.2)*3</f>
        <v>4.8120805454256796</v>
      </c>
      <c r="K67">
        <v>9.7416967803722054E-2</v>
      </c>
      <c r="L67" s="1">
        <f t="shared" si="0"/>
        <v>49.396739129893369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1.96</v>
      </c>
      <c r="G68">
        <v>55027</v>
      </c>
      <c r="H68">
        <v>55026.608999999997</v>
      </c>
      <c r="I68" cm="1">
        <f t="array" ref="I68">TREND($X$8:$X$13,$W$8:$W$13,H68)</f>
        <v>29.389263801627976</v>
      </c>
      <c r="J68">
        <f>I68/(2/0.2)*3</f>
        <v>8.8167791404883928</v>
      </c>
      <c r="K68">
        <v>7.4877216870856411E-2</v>
      </c>
      <c r="L68" s="1">
        <f t="shared" si="0"/>
        <v>117.74982443184324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1.96</v>
      </c>
      <c r="G69">
        <v>44284</v>
      </c>
      <c r="H69">
        <v>44284.093999999997</v>
      </c>
      <c r="I69" cm="1">
        <f t="array" ref="I69">TREND($X$8:$X$13,$W$8:$W$13,H69)</f>
        <v>23.514077733787992</v>
      </c>
      <c r="J69">
        <f>I69/(2/0.2)*3</f>
        <v>7.0542233201363977</v>
      </c>
      <c r="K69">
        <v>0.14491144298368897</v>
      </c>
      <c r="L69" s="1">
        <f t="shared" si="0"/>
        <v>48.679546451900364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1.96</v>
      </c>
      <c r="G70">
        <v>31681</v>
      </c>
      <c r="H70">
        <v>31680.883000000002</v>
      </c>
      <c r="I70" cm="1">
        <f t="array" ref="I70">TREND($X$8:$X$13,$W$8:$W$13,H70)</f>
        <v>16.621258903444485</v>
      </c>
      <c r="J70">
        <f>I70/(2/0.2)*3</f>
        <v>4.9863776710333454</v>
      </c>
      <c r="K70">
        <v>0.14571643408843418</v>
      </c>
      <c r="L70" s="1">
        <f t="shared" si="0"/>
        <v>34.219734391847325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1.95</v>
      </c>
      <c r="G71">
        <v>25278</v>
      </c>
      <c r="H71">
        <v>25278.078000000001</v>
      </c>
      <c r="I71" cm="1">
        <f t="array" ref="I71">TREND($X$8:$X$13,$W$8:$W$13,H71)</f>
        <v>13.119502496206872</v>
      </c>
      <c r="J71">
        <f>I71/(2/0.2)*3</f>
        <v>3.9358507488620615</v>
      </c>
      <c r="K71">
        <v>0.26405012648597881</v>
      </c>
      <c r="L71" s="1">
        <f t="shared" si="0"/>
        <v>14.905695373984443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1.96</v>
      </c>
      <c r="G72">
        <v>16658</v>
      </c>
      <c r="H72">
        <v>16657.93</v>
      </c>
      <c r="I72" cm="1">
        <f t="array" ref="I72">TREND($X$8:$X$13,$W$8:$W$13,H72)</f>
        <v>8.4050596090134437</v>
      </c>
      <c r="J72">
        <f>I72/(2/0.2)*3</f>
        <v>2.5215178827040328</v>
      </c>
      <c r="K72">
        <v>0.17469611385926145</v>
      </c>
      <c r="L72" s="1">
        <f t="shared" si="0"/>
        <v>14.433737688838436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1.96</v>
      </c>
      <c r="G73">
        <v>12699</v>
      </c>
      <c r="H73">
        <v>12698.585999999999</v>
      </c>
      <c r="I73" cm="1">
        <f t="array" ref="I73">TREND($X$8:$X$13,$W$8:$W$13,H73)</f>
        <v>6.2396558179472148</v>
      </c>
      <c r="J73">
        <f>I73/(2/0.2)*3</f>
        <v>1.8718967453841646</v>
      </c>
      <c r="K73">
        <v>0.1175417454223521</v>
      </c>
      <c r="L73" s="1">
        <f t="shared" ref="L73" si="1">J73/K73</f>
        <v>15.925378159547043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8B6F-F2A6-40A1-859E-18497C5B76CF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239</v>
      </c>
      <c r="P3" t="s">
        <v>78</v>
      </c>
    </row>
    <row r="5" spans="1:28" x14ac:dyDescent="0.3">
      <c r="A5" t="s">
        <v>240</v>
      </c>
      <c r="P5" t="s">
        <v>79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2.2400000000000002</v>
      </c>
      <c r="G8">
        <v>6325</v>
      </c>
      <c r="H8">
        <v>6324.8609999999999</v>
      </c>
      <c r="I8" cm="1">
        <f t="array" ref="I8">TREND($X$8:$X$11,$W$8:$W$11,H8)</f>
        <v>3.2377791577856505</v>
      </c>
      <c r="J8">
        <f>I8/(2/0.2)*3</f>
        <v>0.97133374733569522</v>
      </c>
      <c r="K8">
        <v>0.14813140740266978</v>
      </c>
      <c r="L8" s="1">
        <f>J8/K8</f>
        <v>6.5572437632708862</v>
      </c>
      <c r="P8">
        <v>1</v>
      </c>
      <c r="Q8" t="s">
        <v>80</v>
      </c>
      <c r="R8" t="s">
        <v>39</v>
      </c>
      <c r="S8" t="s">
        <v>12</v>
      </c>
      <c r="T8" t="s">
        <v>13</v>
      </c>
      <c r="U8">
        <v>1.95</v>
      </c>
      <c r="V8">
        <v>1597</v>
      </c>
      <c r="W8">
        <v>1596.8109999999999</v>
      </c>
      <c r="X8">
        <v>1</v>
      </c>
      <c r="Y8">
        <v>0.84</v>
      </c>
      <c r="Z8">
        <v>-16</v>
      </c>
      <c r="AA8">
        <v>12</v>
      </c>
      <c r="AB8">
        <v>34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2.2400000000000002</v>
      </c>
      <c r="G9">
        <v>8053</v>
      </c>
      <c r="H9">
        <v>8053.2510000000002</v>
      </c>
      <c r="I9" cm="1">
        <f t="array" ref="I9">TREND($X$8:$X$12,$W$8:$W$12,H9)</f>
        <v>4.0459194061273287</v>
      </c>
      <c r="J9">
        <f>I9/(2/0.2)*3</f>
        <v>1.2137758218381984</v>
      </c>
      <c r="K9">
        <v>0.11673675431760691</v>
      </c>
      <c r="L9" s="1">
        <f t="shared" ref="L9:L72" si="0">J9/K9</f>
        <v>10.397546419149755</v>
      </c>
      <c r="P9">
        <v>2</v>
      </c>
      <c r="Q9" t="s">
        <v>81</v>
      </c>
      <c r="R9" t="s">
        <v>40</v>
      </c>
      <c r="S9" t="s">
        <v>12</v>
      </c>
      <c r="T9" t="s">
        <v>14</v>
      </c>
      <c r="U9">
        <v>1.95</v>
      </c>
      <c r="V9">
        <v>4560</v>
      </c>
      <c r="W9">
        <v>4560.3</v>
      </c>
      <c r="X9">
        <v>2</v>
      </c>
      <c r="Y9">
        <v>2.339</v>
      </c>
      <c r="Z9">
        <v>16.899999999999999</v>
      </c>
      <c r="AA9">
        <v>69</v>
      </c>
      <c r="AB9">
        <v>35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2.2400000000000002</v>
      </c>
      <c r="G10">
        <v>8123</v>
      </c>
      <c r="H10">
        <v>8123.3559999999998</v>
      </c>
      <c r="I10" cm="1">
        <f t="array" ref="I10">TREND($X$8:$X$12,$W$8:$W$12,H10)</f>
        <v>4.0790376928879422</v>
      </c>
      <c r="J10">
        <f>I10/(2/0.2)*3</f>
        <v>1.2237113078663828</v>
      </c>
      <c r="K10">
        <v>8.6147092337289247E-2</v>
      </c>
      <c r="L10" s="1">
        <f t="shared" si="0"/>
        <v>14.204905524555848</v>
      </c>
      <c r="P10">
        <v>3</v>
      </c>
      <c r="Q10" t="s">
        <v>82</v>
      </c>
      <c r="R10" t="s">
        <v>41</v>
      </c>
      <c r="S10" t="s">
        <v>12</v>
      </c>
      <c r="T10" t="s">
        <v>15</v>
      </c>
      <c r="U10">
        <v>1.95</v>
      </c>
      <c r="V10">
        <v>8767</v>
      </c>
      <c r="W10">
        <v>8766.9439999999995</v>
      </c>
      <c r="X10">
        <v>5</v>
      </c>
      <c r="Y10">
        <v>4.4660000000000002</v>
      </c>
      <c r="Z10">
        <v>-10.7</v>
      </c>
      <c r="AA10">
        <v>73</v>
      </c>
      <c r="AB10">
        <v>140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2.2400000000000002</v>
      </c>
      <c r="G11">
        <v>13405</v>
      </c>
      <c r="H11">
        <v>13405.005999999999</v>
      </c>
      <c r="I11" cm="1">
        <f t="array" ref="I11">TREND($X$8:$X$12,$W$8:$W$12,H11)</f>
        <v>6.5741407421597211</v>
      </c>
      <c r="J11">
        <f>I11/(2/0.2)*3</f>
        <v>1.9722422226479162</v>
      </c>
      <c r="K11">
        <v>8.9367056756270047E-2</v>
      </c>
      <c r="L11" s="1">
        <f t="shared" si="0"/>
        <v>22.0690072408538</v>
      </c>
      <c r="P11">
        <v>4</v>
      </c>
      <c r="Q11" t="s">
        <v>83</v>
      </c>
      <c r="R11" t="s">
        <v>42</v>
      </c>
      <c r="S11" t="s">
        <v>12</v>
      </c>
      <c r="T11" t="s">
        <v>16</v>
      </c>
      <c r="U11">
        <v>1.95</v>
      </c>
      <c r="V11">
        <v>21256</v>
      </c>
      <c r="W11">
        <v>21255.728999999999</v>
      </c>
      <c r="X11">
        <v>10</v>
      </c>
      <c r="Y11">
        <v>10.779</v>
      </c>
      <c r="Z11">
        <v>7.8</v>
      </c>
      <c r="AA11">
        <v>234</v>
      </c>
      <c r="AB11">
        <v>261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2.2400000000000002</v>
      </c>
      <c r="G12">
        <v>9491</v>
      </c>
      <c r="H12">
        <v>9491.17</v>
      </c>
      <c r="I12" cm="1">
        <f t="array" ref="I12">TREND($X$8:$X$12,$W$8:$W$12,H12)</f>
        <v>4.7252063868068186</v>
      </c>
      <c r="J12">
        <f>I12/(2/0.2)*3</f>
        <v>1.4175619160420454</v>
      </c>
      <c r="K12">
        <v>9.3392012279996037E-2</v>
      </c>
      <c r="L12" s="1">
        <f t="shared" si="0"/>
        <v>15.178620541894865</v>
      </c>
      <c r="P12">
        <v>5</v>
      </c>
      <c r="Q12" t="s">
        <v>84</v>
      </c>
      <c r="R12" t="s">
        <v>43</v>
      </c>
      <c r="S12" t="s">
        <v>12</v>
      </c>
      <c r="T12" t="s">
        <v>17</v>
      </c>
      <c r="U12">
        <v>1.94</v>
      </c>
      <c r="V12">
        <v>41703</v>
      </c>
      <c r="W12">
        <v>41702.972999999998</v>
      </c>
      <c r="X12">
        <v>20</v>
      </c>
      <c r="Y12">
        <v>21.106000000000002</v>
      </c>
      <c r="Z12">
        <v>5.5</v>
      </c>
      <c r="AA12">
        <v>591</v>
      </c>
      <c r="AB12">
        <v>434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2.2400000000000002</v>
      </c>
      <c r="G13">
        <v>7579</v>
      </c>
      <c r="H13">
        <v>7579.3540000000003</v>
      </c>
      <c r="I13" cm="1">
        <f t="array" ref="I13">TREND($X$8:$X$12,$W$8:$W$12,H13)</f>
        <v>3.8220458344706021</v>
      </c>
      <c r="J13">
        <f>I13/(2/0.2)*3</f>
        <v>1.1466137503411806</v>
      </c>
      <c r="K13">
        <v>0.18918595374467503</v>
      </c>
      <c r="L13" s="1">
        <f t="shared" si="0"/>
        <v>6.0607763295611692</v>
      </c>
      <c r="P13">
        <v>6</v>
      </c>
      <c r="Q13" t="s">
        <v>85</v>
      </c>
      <c r="R13" t="s">
        <v>44</v>
      </c>
      <c r="S13" t="s">
        <v>12</v>
      </c>
      <c r="T13" t="s">
        <v>18</v>
      </c>
      <c r="U13">
        <v>1.95</v>
      </c>
      <c r="V13">
        <v>90759</v>
      </c>
      <c r="W13">
        <v>90759.233999999997</v>
      </c>
      <c r="X13">
        <v>50</v>
      </c>
      <c r="Y13">
        <v>45.838999999999999</v>
      </c>
      <c r="Z13">
        <v>-8.3000000000000007</v>
      </c>
      <c r="AA13">
        <v>857</v>
      </c>
      <c r="AB13">
        <v>659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2.2400000000000002</v>
      </c>
      <c r="G14">
        <v>6604</v>
      </c>
      <c r="H14">
        <v>6604.3040000000001</v>
      </c>
      <c r="I14" cm="1">
        <f t="array" ref="I14">TREND($X$8:$X$12,$W$8:$W$12,H14)</f>
        <v>3.3614226905302713</v>
      </c>
      <c r="J14">
        <f>I14/(2/0.2)*3</f>
        <v>1.0084268071590814</v>
      </c>
      <c r="K14">
        <v>9.2587021175250833E-2</v>
      </c>
      <c r="L14" s="1">
        <f t="shared" si="0"/>
        <v>10.891664883032666</v>
      </c>
      <c r="P14">
        <v>7</v>
      </c>
      <c r="Q14" t="s">
        <v>86</v>
      </c>
      <c r="R14" t="s">
        <v>45</v>
      </c>
      <c r="S14" t="s">
        <v>12</v>
      </c>
      <c r="T14" t="s">
        <v>19</v>
      </c>
      <c r="U14">
        <v>1.95</v>
      </c>
      <c r="V14">
        <v>213903</v>
      </c>
      <c r="W14">
        <v>213902.70300000001</v>
      </c>
      <c r="X14">
        <v>100</v>
      </c>
      <c r="Y14">
        <v>107.654</v>
      </c>
      <c r="Z14">
        <v>7.7</v>
      </c>
      <c r="AA14">
        <v>2083</v>
      </c>
      <c r="AB14">
        <v>2574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2.2400000000000002</v>
      </c>
      <c r="G15">
        <v>3801</v>
      </c>
      <c r="H15">
        <v>3801.172</v>
      </c>
      <c r="I15" cm="1">
        <f t="array" ref="I15">TREND($X$8:$X$12,$W$8:$W$12,H15)</f>
        <v>2.0371957537375458</v>
      </c>
      <c r="J15">
        <f>I15/(2/0.2)*3</f>
        <v>0.61115872612126365</v>
      </c>
      <c r="K15">
        <v>0.14974138961216016</v>
      </c>
      <c r="L15" s="1">
        <f t="shared" si="0"/>
        <v>4.081428172292271</v>
      </c>
      <c r="P15">
        <v>8</v>
      </c>
      <c r="Q15" t="s">
        <v>87</v>
      </c>
      <c r="R15" t="s">
        <v>46</v>
      </c>
      <c r="S15" t="s">
        <v>12</v>
      </c>
      <c r="T15" t="s">
        <v>20</v>
      </c>
      <c r="U15">
        <v>1.95</v>
      </c>
      <c r="V15">
        <v>386442</v>
      </c>
      <c r="W15">
        <v>386442</v>
      </c>
      <c r="X15">
        <v>200</v>
      </c>
      <c r="Y15">
        <v>193.625</v>
      </c>
      <c r="Z15">
        <v>-3.2</v>
      </c>
      <c r="AA15">
        <v>4217</v>
      </c>
      <c r="AB15">
        <v>4928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2.2400000000000002</v>
      </c>
      <c r="G16">
        <v>19352</v>
      </c>
      <c r="H16">
        <v>19352.27</v>
      </c>
      <c r="I16" cm="1">
        <f t="array" ref="I16">TREND($X$8:$X$12,$W$8:$W$12,H16)</f>
        <v>9.3836863465114444</v>
      </c>
      <c r="J16">
        <f>I16/(2/0.2)*3</f>
        <v>2.815105903953433</v>
      </c>
      <c r="K16">
        <v>0.19965083810636269</v>
      </c>
      <c r="L16" s="1">
        <f t="shared" si="0"/>
        <v>14.100145687611406</v>
      </c>
      <c r="P16">
        <v>9</v>
      </c>
      <c r="Q16" t="s">
        <v>88</v>
      </c>
      <c r="R16" t="s">
        <v>47</v>
      </c>
      <c r="S16" t="s">
        <v>12</v>
      </c>
      <c r="T16" t="s">
        <v>21</v>
      </c>
      <c r="U16">
        <v>1.95</v>
      </c>
      <c r="V16">
        <v>1016164</v>
      </c>
      <c r="W16">
        <v>1016164.063</v>
      </c>
      <c r="X16">
        <v>500</v>
      </c>
      <c r="Y16">
        <v>501.34800000000001</v>
      </c>
      <c r="Z16">
        <v>0.3</v>
      </c>
      <c r="AA16">
        <v>6763</v>
      </c>
      <c r="AB16">
        <v>12669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2.2400000000000002</v>
      </c>
      <c r="G17">
        <v>19182</v>
      </c>
      <c r="H17">
        <v>19182.285</v>
      </c>
      <c r="I17" cm="1">
        <f t="array" ref="I17">TREND($X$8:$X$12,$W$8:$W$12,H17)</f>
        <v>9.3033837721586448</v>
      </c>
      <c r="J17">
        <f>I17/(2/0.2)*3</f>
        <v>2.7910151316475931</v>
      </c>
      <c r="K17">
        <v>0.22058060682973793</v>
      </c>
      <c r="L17" s="1">
        <f t="shared" si="0"/>
        <v>12.653039502252915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2.2400000000000002</v>
      </c>
      <c r="G18">
        <v>14420</v>
      </c>
      <c r="H18">
        <v>14419.501</v>
      </c>
      <c r="I18" cm="1">
        <f t="array" ref="I18">TREND($X$8:$X$12,$W$8:$W$12,H18)</f>
        <v>7.0533980893847321</v>
      </c>
      <c r="J18">
        <f>I18/(2/0.2)*3</f>
        <v>2.11601942681542</v>
      </c>
      <c r="K18">
        <v>0.12720163867929454</v>
      </c>
      <c r="L18" s="1">
        <f t="shared" si="0"/>
        <v>16.635158546584499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2.2400000000000002</v>
      </c>
      <c r="G19">
        <v>9749</v>
      </c>
      <c r="H19">
        <v>9748.616</v>
      </c>
      <c r="I19" cm="1">
        <f t="array" ref="I19">TREND($X$8:$X$12,$W$8:$W$12,H19)</f>
        <v>4.8468263918474443</v>
      </c>
      <c r="J19">
        <f>I19/(2/0.2)*3</f>
        <v>1.4540479175542331</v>
      </c>
      <c r="K19">
        <v>0.1594012828691026</v>
      </c>
      <c r="L19" s="1">
        <f t="shared" si="0"/>
        <v>9.1219335966591348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2.2400000000000002</v>
      </c>
      <c r="G20">
        <v>18670</v>
      </c>
      <c r="H20">
        <v>18670.326000000001</v>
      </c>
      <c r="I20" cm="1">
        <f t="array" ref="I20">TREND($X$8:$X$12,$W$8:$W$12,H20)</f>
        <v>9.0615293399258903</v>
      </c>
      <c r="J20">
        <f>I20/(2/0.2)*3</f>
        <v>2.7184588019777669</v>
      </c>
      <c r="K20">
        <v>0.14491144298368897</v>
      </c>
      <c r="L20" s="1">
        <f t="shared" si="0"/>
        <v>18.759448846864032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2.2400000000000002</v>
      </c>
      <c r="G21">
        <v>19081</v>
      </c>
      <c r="H21">
        <v>19081.080000000002</v>
      </c>
      <c r="I21" cm="1">
        <f t="array" ref="I21">TREND($X$8:$X$12,$W$8:$W$12,H21)</f>
        <v>9.255573541624333</v>
      </c>
      <c r="J21">
        <f>I21/(2/0.2)*3</f>
        <v>2.7766720624873003</v>
      </c>
      <c r="K21">
        <v>0.24553533107683917</v>
      </c>
      <c r="L21" s="1">
        <f t="shared" si="0"/>
        <v>11.308645685774458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2.2400000000000002</v>
      </c>
      <c r="G22">
        <v>16177</v>
      </c>
      <c r="H22">
        <v>16176.793</v>
      </c>
      <c r="I22" cm="1">
        <f t="array" ref="I22">TREND($X$8:$X$12,$W$8:$W$12,H22)</f>
        <v>7.8835599947856769</v>
      </c>
      <c r="J22">
        <f>I22/(2/0.2)*3</f>
        <v>2.3650679984357033</v>
      </c>
      <c r="K22">
        <v>0.3002747261995129</v>
      </c>
      <c r="L22" s="1">
        <f t="shared" si="0"/>
        <v>7.8763471983461919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2.2400000000000002</v>
      </c>
      <c r="G23">
        <v>5913</v>
      </c>
      <c r="H23">
        <v>5912.6450000000004</v>
      </c>
      <c r="I23" cm="1">
        <f t="array" ref="I23">TREND($X$8:$X$12,$W$8:$W$12,H23)</f>
        <v>3.034676223052065</v>
      </c>
      <c r="J23">
        <f>I23/(2/0.2)*3</f>
        <v>0.91040286691561956</v>
      </c>
      <c r="K23">
        <v>0.17147614944028067</v>
      </c>
      <c r="L23" s="1">
        <f t="shared" si="0"/>
        <v>5.3092098807168631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2.2400000000000002</v>
      </c>
      <c r="G24">
        <v>5957</v>
      </c>
      <c r="H24">
        <v>5956.9889999999996</v>
      </c>
      <c r="I24" cm="1">
        <f t="array" ref="I24">TREND($X$8:$X$12,$W$8:$W$12,H24)</f>
        <v>3.0556247617884269</v>
      </c>
      <c r="J24">
        <f>I24/(2/0.2)*3</f>
        <v>0.91668742853652807</v>
      </c>
      <c r="K24">
        <v>0.18113604269722305</v>
      </c>
      <c r="L24" s="1">
        <f t="shared" si="0"/>
        <v>5.0607676688002501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2.2400000000000002</v>
      </c>
      <c r="G25">
        <v>10918</v>
      </c>
      <c r="H25">
        <v>10917.741</v>
      </c>
      <c r="I25" cm="1">
        <f t="array" ref="I25">TREND($X$8:$X$12,$W$8:$W$12,H25)</f>
        <v>5.3991324614430951</v>
      </c>
      <c r="J25">
        <f>I25/(2/0.2)*3</f>
        <v>1.6197397384329284</v>
      </c>
      <c r="K25">
        <v>8.2927127918308433E-2</v>
      </c>
      <c r="L25" s="1">
        <f t="shared" si="0"/>
        <v>19.53208532711437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2.2400000000000002</v>
      </c>
      <c r="G26">
        <v>32612</v>
      </c>
      <c r="H26">
        <v>32612.002</v>
      </c>
      <c r="I26" cm="1">
        <f t="array" ref="I26">TREND($X$8:$X$12,$W$8:$W$12,H26)</f>
        <v>15.647713259640218</v>
      </c>
      <c r="J26">
        <f>I26/(2/0.2)*3</f>
        <v>4.6943139778920653</v>
      </c>
      <c r="K26">
        <v>0.11593176321286171</v>
      </c>
      <c r="L26" s="1">
        <f t="shared" si="0"/>
        <v>40.492043317523425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2.2400000000000002</v>
      </c>
      <c r="G27">
        <v>23576</v>
      </c>
      <c r="H27">
        <v>23575.77</v>
      </c>
      <c r="I27" cm="1">
        <f t="array" ref="I27">TREND($X$8:$X$12,$W$8:$W$12,H27)</f>
        <v>11.378909000151758</v>
      </c>
      <c r="J27">
        <f>I27/(2/0.2)*3</f>
        <v>3.4136727000455274</v>
      </c>
      <c r="K27">
        <v>0.17469611385926145</v>
      </c>
      <c r="L27" s="1">
        <f t="shared" si="0"/>
        <v>19.540633301068436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2.2400000000000002</v>
      </c>
      <c r="G28">
        <v>17357</v>
      </c>
      <c r="H28">
        <v>17356.849999999999</v>
      </c>
      <c r="I28" cm="1">
        <f t="array" ref="I28">TREND($X$8:$X$12,$W$8:$W$12,H28)</f>
        <v>8.4410304479612002</v>
      </c>
      <c r="J28">
        <f>I28/(2/0.2)*3</f>
        <v>2.5323091343883597</v>
      </c>
      <c r="K28">
        <v>0.17952606048773259</v>
      </c>
      <c r="L28" s="1">
        <f t="shared" si="0"/>
        <v>14.105523886106763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2.2400000000000002</v>
      </c>
      <c r="G29">
        <v>29621</v>
      </c>
      <c r="H29">
        <v>29620.976999999999</v>
      </c>
      <c r="I29" cm="1">
        <f t="array" ref="I29">TREND($X$8:$X$12,$W$8:$W$12,H29)</f>
        <v>14.234723834375741</v>
      </c>
      <c r="J29">
        <f>I29/(2/0.2)*3</f>
        <v>4.2704171503127224</v>
      </c>
      <c r="K29">
        <v>0.19723586479212707</v>
      </c>
      <c r="L29" s="1">
        <f t="shared" si="0"/>
        <v>21.651321653967173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2.2400000000000002</v>
      </c>
      <c r="G30">
        <v>25978</v>
      </c>
      <c r="H30">
        <v>25977.653999999999</v>
      </c>
      <c r="I30" cm="1">
        <f t="array" ref="I30">TREND($X$8:$X$12,$W$8:$W$12,H30)</f>
        <v>12.513582462497254</v>
      </c>
      <c r="J30">
        <f>I30/(2/0.2)*3</f>
        <v>3.7540747387491766</v>
      </c>
      <c r="K30">
        <v>0.28417490410460888</v>
      </c>
      <c r="L30" s="1">
        <f t="shared" si="0"/>
        <v>13.210437250177614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2.2400000000000002</v>
      </c>
      <c r="G31">
        <v>21732</v>
      </c>
      <c r="H31">
        <v>21731.811000000002</v>
      </c>
      <c r="I31" cm="1">
        <f t="array" ref="I31">TREND($X$8:$X$12,$W$8:$W$12,H31)</f>
        <v>10.507804757418494</v>
      </c>
      <c r="J31">
        <f>I31/(2/0.2)*3</f>
        <v>3.1523414272255486</v>
      </c>
      <c r="K31">
        <v>0.17872106938298743</v>
      </c>
      <c r="L31" s="1">
        <f t="shared" si="0"/>
        <v>17.638331272908228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2.2400000000000002</v>
      </c>
      <c r="G32">
        <v>30564</v>
      </c>
      <c r="H32">
        <v>30564.17</v>
      </c>
      <c r="I32" cm="1">
        <f t="array" ref="I32">TREND($X$8:$X$12,$W$8:$W$12,H32)</f>
        <v>14.680297420348268</v>
      </c>
      <c r="J32">
        <f>I32/(2/0.2)*3</f>
        <v>4.4040892261044799</v>
      </c>
      <c r="K32">
        <v>0.19884584700161748</v>
      </c>
      <c r="L32" s="1">
        <f t="shared" si="0"/>
        <v>22.148258525452913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2.2400000000000002</v>
      </c>
      <c r="G33">
        <v>20263</v>
      </c>
      <c r="H33">
        <v>20262.695</v>
      </c>
      <c r="I33" cm="1">
        <f t="array" ref="I33">TREND($X$8:$X$12,$W$8:$W$12,H33)</f>
        <v>9.8137800092178455</v>
      </c>
      <c r="J33">
        <f>I33/(2/0.2)*3</f>
        <v>2.9441340027653533</v>
      </c>
      <c r="K33">
        <v>0.17469611385926145</v>
      </c>
      <c r="L33" s="1">
        <f t="shared" si="0"/>
        <v>16.852887781677868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2.2400000000000002</v>
      </c>
      <c r="G34">
        <v>27175</v>
      </c>
      <c r="H34">
        <v>27174.812999999998</v>
      </c>
      <c r="I34" cm="1">
        <f t="array" ref="I34">TREND($X$8:$X$12,$W$8:$W$12,H34)</f>
        <v>13.07913206751901</v>
      </c>
      <c r="J34">
        <f>I34/(2/0.2)*3</f>
        <v>3.9237396202557031</v>
      </c>
      <c r="K34">
        <v>0.24875529549582001</v>
      </c>
      <c r="L34" s="1">
        <f t="shared" si="0"/>
        <v>15.773491826314251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2.2400000000000002</v>
      </c>
      <c r="G35">
        <v>25902</v>
      </c>
      <c r="H35">
        <v>25901.905999999999</v>
      </c>
      <c r="I35" cm="1">
        <f t="array" ref="I35">TREND($X$8:$X$12,$W$8:$W$12,H35)</f>
        <v>12.477798367417831</v>
      </c>
      <c r="J35">
        <f>I35/(2/0.2)*3</f>
        <v>3.7433395102253497</v>
      </c>
      <c r="K35">
        <v>0.18274602490671343</v>
      </c>
      <c r="L35" s="1">
        <f t="shared" si="0"/>
        <v>20.483835487727934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2.2400000000000002</v>
      </c>
      <c r="G36">
        <v>48083</v>
      </c>
      <c r="H36">
        <v>48083.332000000002</v>
      </c>
      <c r="I36" cm="1">
        <f t="array" ref="I36">TREND($X$8:$X$12,$W$8:$W$12,H36)</f>
        <v>22.95652067006877</v>
      </c>
      <c r="J36">
        <f>I36/(2/0.2)*3</f>
        <v>6.8869562010206309</v>
      </c>
      <c r="K36">
        <v>0.18113604269722305</v>
      </c>
      <c r="L36" s="1">
        <f t="shared" si="0"/>
        <v>38.020904611085513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2.2400000000000002</v>
      </c>
      <c r="G37">
        <v>25016</v>
      </c>
      <c r="H37">
        <v>25015.953000000001</v>
      </c>
      <c r="I37" cm="1">
        <f t="array" ref="I37">TREND($X$8:$X$12,$W$8:$W$12,H37)</f>
        <v>12.059265516545192</v>
      </c>
      <c r="J37">
        <f>I37/(2/0.2)*3</f>
        <v>3.6177796549635577</v>
      </c>
      <c r="K37">
        <v>0.12156670094607813</v>
      </c>
      <c r="L37" s="1">
        <f t="shared" si="0"/>
        <v>29.759626828799544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2.2400000000000002</v>
      </c>
      <c r="G38">
        <v>36772</v>
      </c>
      <c r="H38">
        <v>36771.597999999998</v>
      </c>
      <c r="I38" cm="1">
        <f t="array" ref="I38">TREND($X$8:$X$12,$W$8:$W$12,H38)</f>
        <v>17.612747039489069</v>
      </c>
      <c r="J38">
        <f>I38/(2/0.2)*3</f>
        <v>5.2838241118467213</v>
      </c>
      <c r="K38">
        <v>8.8562065651524843E-2</v>
      </c>
      <c r="L38" s="1">
        <f t="shared" si="0"/>
        <v>59.662385615954129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2.2400000000000002</v>
      </c>
      <c r="G39">
        <v>32243</v>
      </c>
      <c r="H39">
        <v>32242.699000000001</v>
      </c>
      <c r="I39" cm="1">
        <f t="array" ref="I39">TREND($X$8:$X$12,$W$8:$W$12,H39)</f>
        <v>15.473250915220346</v>
      </c>
      <c r="J39">
        <f>I39/(2/0.2)*3</f>
        <v>4.6419752745661036</v>
      </c>
      <c r="K39">
        <v>0.13766652304098212</v>
      </c>
      <c r="L39" s="1">
        <f t="shared" si="0"/>
        <v>33.718983904200357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2.2400000000000002</v>
      </c>
      <c r="G40">
        <v>20954</v>
      </c>
      <c r="H40">
        <v>20954.276999999998</v>
      </c>
      <c r="I40" cm="1">
        <f t="array" ref="I40">TREND($X$8:$X$12,$W$8:$W$12,H40)</f>
        <v>10.140490101143943</v>
      </c>
      <c r="J40">
        <f>I40/(2/0.2)*3</f>
        <v>3.0421470303431826</v>
      </c>
      <c r="K40">
        <v>8.2122136813563229E-2</v>
      </c>
      <c r="L40" s="1">
        <f t="shared" si="0"/>
        <v>37.044177713611852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2.2400000000000002</v>
      </c>
      <c r="G41">
        <v>14399</v>
      </c>
      <c r="H41">
        <v>14398.94</v>
      </c>
      <c r="I41" cm="1">
        <f t="array" ref="I41">TREND($X$8:$X$12,$W$8:$W$12,H41)</f>
        <v>7.0436848721522241</v>
      </c>
      <c r="J41">
        <f>I41/(2/0.2)*3</f>
        <v>2.113105461645667</v>
      </c>
      <c r="K41">
        <v>0.10224691443219328</v>
      </c>
      <c r="L41" s="1">
        <f t="shared" si="0"/>
        <v>20.666691737157581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2.2400000000000002</v>
      </c>
      <c r="G42">
        <v>31344</v>
      </c>
      <c r="H42">
        <v>31343.5</v>
      </c>
      <c r="I42" cm="1">
        <f t="array" ref="I42">TREND($X$8:$X$12,$W$8:$W$12,H42)</f>
        <v>15.048460524565506</v>
      </c>
      <c r="J42">
        <f>I42/(2/0.2)*3</f>
        <v>4.5145381573696515</v>
      </c>
      <c r="K42">
        <v>0.12639664757454935</v>
      </c>
      <c r="L42" s="1">
        <f t="shared" si="0"/>
        <v>35.717230195578999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2.2400000000000002</v>
      </c>
      <c r="G43">
        <v>7229</v>
      </c>
      <c r="H43">
        <v>7229.21</v>
      </c>
      <c r="I43" cm="1">
        <f t="array" ref="I43">TREND($X$8:$X$12,$W$8:$W$12,H43)</f>
        <v>3.6566343887890032</v>
      </c>
      <c r="J43">
        <f>I43/(2/0.2)*3</f>
        <v>1.0969903166367008</v>
      </c>
      <c r="K43">
        <v>0.15054638071690538</v>
      </c>
      <c r="L43" s="1">
        <f t="shared" si="0"/>
        <v>7.2867265982271201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2.2400000000000002</v>
      </c>
      <c r="G44">
        <v>14427</v>
      </c>
      <c r="H44">
        <v>14426.968000000001</v>
      </c>
      <c r="I44" cm="1">
        <f t="array" ref="I44">TREND($X$8:$X$12,$W$8:$W$12,H44)</f>
        <v>7.056925573119722</v>
      </c>
      <c r="J44">
        <f>I44/(2/0.2)*3</f>
        <v>2.1170776719359168</v>
      </c>
      <c r="K44">
        <v>0.14893639850741497</v>
      </c>
      <c r="L44" s="1">
        <f t="shared" si="0"/>
        <v>14.21464258000381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2.2400000000000002</v>
      </c>
      <c r="G45">
        <v>13194</v>
      </c>
      <c r="H45">
        <v>13194.018</v>
      </c>
      <c r="I45" cm="1">
        <f t="array" ref="I45">TREND($X$8:$X$12,$W$8:$W$12,H45)</f>
        <v>6.4744679501042555</v>
      </c>
      <c r="J45">
        <f>I45/(2/0.2)*3</f>
        <v>1.9423403850312768</v>
      </c>
      <c r="K45">
        <v>4.0262599366812736E-2</v>
      </c>
      <c r="L45" s="1">
        <f t="shared" si="0"/>
        <v>48.241802953047547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2.2400000000000002</v>
      </c>
      <c r="G46">
        <v>16141</v>
      </c>
      <c r="H46">
        <v>16140.71</v>
      </c>
      <c r="I46" cm="1">
        <f t="array" ref="I46">TREND($X$8:$X$12,$W$8:$W$12,H46)</f>
        <v>7.8665140331398131</v>
      </c>
      <c r="J46">
        <f>I46/(2/0.2)*3</f>
        <v>2.3599542099419439</v>
      </c>
      <c r="K46">
        <v>0.11351678989862611</v>
      </c>
      <c r="L46" s="1">
        <f t="shared" si="0"/>
        <v>20.789472747154441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2.2400000000000002</v>
      </c>
      <c r="G47">
        <v>10797</v>
      </c>
      <c r="H47">
        <v>10796.549000000001</v>
      </c>
      <c r="I47" cm="1">
        <f t="array" ref="I47">TREND($X$8:$X$12,$W$8:$W$12,H47)</f>
        <v>5.3418801768829018</v>
      </c>
      <c r="J47">
        <f>I47/(2/0.2)*3</f>
        <v>1.6025640530648704</v>
      </c>
      <c r="K47">
        <v>0.10144192332744809</v>
      </c>
      <c r="L47" s="1">
        <f t="shared" si="0"/>
        <v>15.797847679720103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2.2400000000000002</v>
      </c>
      <c r="G48">
        <v>12936</v>
      </c>
      <c r="H48">
        <v>12935.609</v>
      </c>
      <c r="I48" cm="1">
        <f t="array" ref="I48">TREND($X$8:$X$12,$W$8:$W$12,H48)</f>
        <v>6.3523930144573892</v>
      </c>
      <c r="J48">
        <f>I48/(2/0.2)*3</f>
        <v>1.9057179043372168</v>
      </c>
      <c r="K48">
        <v>8.3732119023053622E-2</v>
      </c>
      <c r="L48" s="1">
        <f t="shared" si="0"/>
        <v>22.759699940383967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2.23</v>
      </c>
      <c r="G49">
        <v>13329</v>
      </c>
      <c r="H49">
        <v>13329.267</v>
      </c>
      <c r="I49" cm="1">
        <f t="array" ref="I49">TREND($X$8:$X$12,$W$8:$W$12,H49)</f>
        <v>6.5383608987682065</v>
      </c>
      <c r="J49">
        <f>I49/(2/0.2)*3</f>
        <v>1.9615082696304618</v>
      </c>
      <c r="K49">
        <v>0.22299558014397355</v>
      </c>
      <c r="L49" s="1">
        <f t="shared" si="0"/>
        <v>8.7961755491478577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2.2400000000000002</v>
      </c>
      <c r="G50">
        <v>14265</v>
      </c>
      <c r="H50">
        <v>14264.953</v>
      </c>
      <c r="I50" cm="1">
        <f t="array" ref="I50">TREND($X$8:$X$12,$W$8:$W$12,H50)</f>
        <v>6.9803881046150371</v>
      </c>
      <c r="J50">
        <f>I50/(2/0.2)*3</f>
        <v>2.0941164313845113</v>
      </c>
      <c r="K50">
        <v>0.1175417454223521</v>
      </c>
      <c r="L50" s="1">
        <f t="shared" si="0"/>
        <v>17.815937851355809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2.2400000000000002</v>
      </c>
      <c r="G51">
        <v>17473</v>
      </c>
      <c r="H51">
        <v>17472.653999999999</v>
      </c>
      <c r="I51" cm="1">
        <f t="array" ref="I51">TREND($X$8:$X$12,$W$8:$W$12,H51)</f>
        <v>8.4957373886933336</v>
      </c>
      <c r="J51">
        <f>I51/(2/0.2)*3</f>
        <v>2.5487212166080004</v>
      </c>
      <c r="K51">
        <v>0.11351678989862611</v>
      </c>
      <c r="L51" s="1">
        <f t="shared" si="0"/>
        <v>22.452372189912037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2.2400000000000002</v>
      </c>
      <c r="G52">
        <v>11466</v>
      </c>
      <c r="H52">
        <v>11465.978999999999</v>
      </c>
      <c r="I52" cm="1">
        <f t="array" ref="I52">TREND($X$8:$X$12,$W$8:$W$12,H52)</f>
        <v>5.6581254476361709</v>
      </c>
      <c r="J52">
        <f>I52/(2/0.2)*3</f>
        <v>1.6974376342908513</v>
      </c>
      <c r="K52">
        <v>8.4537110127798853E-2</v>
      </c>
      <c r="L52" s="1">
        <f t="shared" si="0"/>
        <v>20.079201095527779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2.2400000000000002</v>
      </c>
      <c r="G53">
        <v>20609</v>
      </c>
      <c r="H53">
        <v>20609.375</v>
      </c>
      <c r="I53" cm="1">
        <f t="array" ref="I53">TREND($X$8:$X$12,$W$8:$W$12,H53)</f>
        <v>9.9775550274643283</v>
      </c>
      <c r="J53">
        <f>I53/(2/0.2)*3</f>
        <v>2.9932665082392989</v>
      </c>
      <c r="K53">
        <v>0.1078818521654097</v>
      </c>
      <c r="L53" s="1">
        <f t="shared" si="0"/>
        <v>27.745783448822117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2.23</v>
      </c>
      <c r="G54">
        <v>15968</v>
      </c>
      <c r="H54">
        <v>15968</v>
      </c>
      <c r="I54" cm="1">
        <f t="array" ref="I54">TREND($X$8:$X$12,$W$8:$W$12,H54)</f>
        <v>7.7849241421701869</v>
      </c>
      <c r="J54">
        <f>I54/(2/0.2)*3</f>
        <v>2.3354772426510557</v>
      </c>
      <c r="K54">
        <v>0.14813140740266978</v>
      </c>
      <c r="L54" s="1">
        <f t="shared" si="0"/>
        <v>15.766252974984988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2.2400000000000002</v>
      </c>
      <c r="G55">
        <v>32464</v>
      </c>
      <c r="H55">
        <v>32464.228999999999</v>
      </c>
      <c r="I55" cm="1">
        <f t="array" ref="I55">TREND($X$8:$X$12,$W$8:$W$12,H55)</f>
        <v>15.577903851046305</v>
      </c>
      <c r="J55">
        <f>I55/(2/0.2)*3</f>
        <v>4.673371155313891</v>
      </c>
      <c r="K55">
        <v>6.6022314718659172E-2</v>
      </c>
      <c r="L55" s="1">
        <f t="shared" si="0"/>
        <v>70.784721426816418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2.2400000000000002</v>
      </c>
      <c r="G56">
        <v>30470</v>
      </c>
      <c r="H56">
        <v>30470.107</v>
      </c>
      <c r="I56" cm="1">
        <f t="array" ref="I56">TREND($X$8:$X$12,$W$8:$W$12,H56)</f>
        <v>14.635861140374463</v>
      </c>
      <c r="J56">
        <f>I56/(2/0.2)*3</f>
        <v>4.3907583421123384</v>
      </c>
      <c r="K56">
        <v>0.22621554456295434</v>
      </c>
      <c r="L56" s="1">
        <f t="shared" si="0"/>
        <v>19.409622581839944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2.23</v>
      </c>
      <c r="G57">
        <v>18680</v>
      </c>
      <c r="H57">
        <v>18680.048999999999</v>
      </c>
      <c r="I57" cm="1">
        <f t="array" ref="I57">TREND($X$8:$X$12,$W$8:$W$12,H57)</f>
        <v>9.0661225800966836</v>
      </c>
      <c r="J57">
        <f>I57/(2/0.2)*3</f>
        <v>2.7198367740290053</v>
      </c>
      <c r="K57">
        <v>0.21897062462024752</v>
      </c>
      <c r="L57" s="1">
        <f t="shared" si="0"/>
        <v>12.421012082081399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2.2400000000000002</v>
      </c>
      <c r="G58">
        <v>34596</v>
      </c>
      <c r="H58">
        <v>34595.68</v>
      </c>
      <c r="I58" cm="1">
        <f t="array" ref="I58">TREND($X$8:$X$12,$W$8:$W$12,H58)</f>
        <v>16.584822122698796</v>
      </c>
      <c r="J58">
        <f>I58/(2/0.2)*3</f>
        <v>4.9754466368096395</v>
      </c>
      <c r="K58">
        <v>0.11271179879388092</v>
      </c>
      <c r="L58" s="1">
        <f t="shared" si="0"/>
        <v>44.14308608372378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2.2400000000000002</v>
      </c>
      <c r="G59">
        <v>45624</v>
      </c>
      <c r="H59">
        <v>45624.402000000002</v>
      </c>
      <c r="I59" cm="1">
        <f t="array" ref="I59">TREND($X$8:$X$12,$W$8:$W$12,H59)</f>
        <v>21.794898120118308</v>
      </c>
      <c r="J59">
        <f>I59/(2/0.2)*3</f>
        <v>6.5384694360354931</v>
      </c>
      <c r="K59">
        <v>9.1782030070505644E-2</v>
      </c>
      <c r="L59" s="1">
        <f t="shared" si="0"/>
        <v>71.239102371267393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2.2400000000000002</v>
      </c>
      <c r="G60">
        <v>20141</v>
      </c>
      <c r="H60">
        <v>20140.559000000001</v>
      </c>
      <c r="I60" cm="1">
        <f t="array" ref="I60">TREND($X$8:$X$12,$W$8:$W$12,H60)</f>
        <v>9.7560817698369977</v>
      </c>
      <c r="J60">
        <f>I60/(2/0.2)*3</f>
        <v>2.926824530951099</v>
      </c>
      <c r="K60">
        <v>0.16584121170706426</v>
      </c>
      <c r="L60" s="1">
        <f t="shared" si="0"/>
        <v>17.648354717287841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2.2400000000000002</v>
      </c>
      <c r="G61">
        <v>17592</v>
      </c>
      <c r="H61">
        <v>17591.853999999999</v>
      </c>
      <c r="I61" cm="1">
        <f t="array" ref="I61">TREND($X$8:$X$12,$W$8:$W$12,H61)</f>
        <v>8.5520486329963816</v>
      </c>
      <c r="J61">
        <f>I61/(2/0.2)*3</f>
        <v>2.5656145898989147</v>
      </c>
      <c r="K61">
        <v>0.20850574025855992</v>
      </c>
      <c r="L61" s="1">
        <f t="shared" si="0"/>
        <v>12.304767181552869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2.2400000000000002</v>
      </c>
      <c r="G62">
        <v>13170</v>
      </c>
      <c r="H62">
        <v>13170.206</v>
      </c>
      <c r="I62" cm="1">
        <f t="array" ref="I62">TREND($X$8:$X$12,$W$8:$W$12,H62)</f>
        <v>6.46321892871714</v>
      </c>
      <c r="J62">
        <f>I62/(2/0.2)*3</f>
        <v>1.9389656786151421</v>
      </c>
      <c r="K62">
        <v>0.15457133624063138</v>
      </c>
      <c r="L62" s="1">
        <f t="shared" si="0"/>
        <v>12.544147742868876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2.2400000000000002</v>
      </c>
      <c r="G63">
        <v>21647</v>
      </c>
      <c r="H63">
        <v>21646.51</v>
      </c>
      <c r="I63" cm="1">
        <f t="array" ref="I63">TREND($X$8:$X$12,$W$8:$W$12,H63)</f>
        <v>10.467507731828777</v>
      </c>
      <c r="J63">
        <f>I63/(2/0.2)*3</f>
        <v>3.1402523195486327</v>
      </c>
      <c r="K63">
        <v>0.22863051787718996</v>
      </c>
      <c r="L63" s="1">
        <f t="shared" si="0"/>
        <v>13.73505317096572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2.23</v>
      </c>
      <c r="G64">
        <v>14809</v>
      </c>
      <c r="H64">
        <v>14808.971</v>
      </c>
      <c r="I64" cm="1">
        <f t="array" ref="I64">TREND($X$8:$X$12,$W$8:$W$12,H64)</f>
        <v>7.2373875215886603</v>
      </c>
      <c r="J64">
        <f>I64/(2/0.2)*3</f>
        <v>2.1712162564765984</v>
      </c>
      <c r="K64">
        <v>0.19079593595416544</v>
      </c>
      <c r="L64" s="1">
        <f t="shared" si="0"/>
        <v>11.379782517999679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2.23</v>
      </c>
      <c r="G65">
        <v>14772</v>
      </c>
      <c r="H65">
        <v>14772.254000000001</v>
      </c>
      <c r="I65" cm="1">
        <f t="array" ref="I65">TREND($X$8:$X$12,$W$8:$W$12,H65)</f>
        <v>7.2200420521501121</v>
      </c>
      <c r="J65">
        <f>I65/(2/0.2)*3</f>
        <v>2.1660126156450334</v>
      </c>
      <c r="K65">
        <v>0.13122659420302052</v>
      </c>
      <c r="L65" s="1">
        <f t="shared" si="0"/>
        <v>16.505896756674169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2.23</v>
      </c>
      <c r="G66">
        <v>15636</v>
      </c>
      <c r="H66">
        <v>15636.103999999999</v>
      </c>
      <c r="I66" cm="1">
        <f t="array" ref="I66">TREND($X$8:$X$12,$W$8:$W$12,H66)</f>
        <v>7.6281332299285376</v>
      </c>
      <c r="J66">
        <f>I66/(2/0.2)*3</f>
        <v>2.2884399689785613</v>
      </c>
      <c r="K66">
        <v>0.13927650525047255</v>
      </c>
      <c r="L66" s="1">
        <f t="shared" si="0"/>
        <v>16.430911766942089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2.23</v>
      </c>
      <c r="G67">
        <v>11944</v>
      </c>
      <c r="H67">
        <v>11943.534</v>
      </c>
      <c r="I67" cm="1">
        <f t="array" ref="I67">TREND($X$8:$X$12,$W$8:$W$12,H67)</f>
        <v>5.8837270942229356</v>
      </c>
      <c r="J67">
        <f>I67/(2/0.2)*3</f>
        <v>1.7651181282668809</v>
      </c>
      <c r="K67">
        <v>9.7416967803722054E-2</v>
      </c>
      <c r="L67" s="1">
        <f t="shared" si="0"/>
        <v>18.119206212856895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2.2400000000000002</v>
      </c>
      <c r="G68">
        <v>18324</v>
      </c>
      <c r="H68">
        <v>18323.532999999999</v>
      </c>
      <c r="I68" cm="1">
        <f t="array" ref="I68">TREND($X$8:$X$12,$W$8:$W$12,H68)</f>
        <v>8.8977009393756621</v>
      </c>
      <c r="J68">
        <f>I68/(2/0.2)*3</f>
        <v>2.6693102818126988</v>
      </c>
      <c r="K68">
        <v>7.4877216870856411E-2</v>
      </c>
      <c r="L68" s="1">
        <f t="shared" si="0"/>
        <v>35.649165305069495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2.23</v>
      </c>
      <c r="G69">
        <v>28985</v>
      </c>
      <c r="H69">
        <v>28985.168000000001</v>
      </c>
      <c r="I69" cm="1">
        <f t="array" ref="I69">TREND($X$8:$X$12,$W$8:$W$12,H69)</f>
        <v>13.934361452420399</v>
      </c>
      <c r="J69">
        <f>I69/(2/0.2)*3</f>
        <v>4.1803084357261193</v>
      </c>
      <c r="K69">
        <v>0.14491144298368897</v>
      </c>
      <c r="L69" s="1">
        <f t="shared" si="0"/>
        <v>28.847331512644239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2.2400000000000002</v>
      </c>
      <c r="G70">
        <v>16635</v>
      </c>
      <c r="H70">
        <v>16634.978999999999</v>
      </c>
      <c r="I70" cm="1">
        <f t="array" ref="I70">TREND($X$8:$X$12,$W$8:$W$12,H70)</f>
        <v>8.1000115365829632</v>
      </c>
      <c r="J70">
        <f>I70/(2/0.2)*3</f>
        <v>2.4300034609748886</v>
      </c>
      <c r="K70">
        <v>0.14571643408843418</v>
      </c>
      <c r="L70" s="1">
        <f t="shared" si="0"/>
        <v>16.676248469682825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2.2400000000000002</v>
      </c>
      <c r="G71">
        <v>12589</v>
      </c>
      <c r="H71">
        <v>12589.444</v>
      </c>
      <c r="I71" cm="1">
        <f t="array" ref="I71">TREND($X$8:$X$12,$W$8:$W$12,H71)</f>
        <v>6.1888612872412416</v>
      </c>
      <c r="J71">
        <f>I71/(2/0.2)*3</f>
        <v>1.8566583861723727</v>
      </c>
      <c r="K71">
        <v>0.26405012648597881</v>
      </c>
      <c r="L71" s="1">
        <f t="shared" si="0"/>
        <v>7.0314618321948128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2.23</v>
      </c>
      <c r="G72">
        <v>7306</v>
      </c>
      <c r="H72">
        <v>7306.107</v>
      </c>
      <c r="I72" cm="1">
        <f t="array" ref="I72">TREND($X$8:$X$12,$W$8:$W$12,H72)</f>
        <v>3.6929612826914489</v>
      </c>
      <c r="J72">
        <f>I72/(2/0.2)*3</f>
        <v>1.1078883848074346</v>
      </c>
      <c r="K72">
        <v>0.17469611385926145</v>
      </c>
      <c r="L72" s="1">
        <f t="shared" si="0"/>
        <v>6.3418032624353096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2.2400000000000002</v>
      </c>
      <c r="G73">
        <v>5126</v>
      </c>
      <c r="H73">
        <v>5125.7920000000004</v>
      </c>
      <c r="I73" cm="1">
        <f t="array" ref="I73">TREND($X$8:$X$12,$W$8:$W$12,H73)</f>
        <v>2.6629591801528485</v>
      </c>
      <c r="J73">
        <f>I73/(2/0.2)*3</f>
        <v>0.79888775404585455</v>
      </c>
      <c r="K73">
        <v>0.1175417454223521</v>
      </c>
      <c r="L73" s="1">
        <f t="shared" ref="L73" si="1">J73/K73</f>
        <v>6.7966300072819541</v>
      </c>
    </row>
    <row r="74" spans="1:12" x14ac:dyDescent="0.3">
      <c r="A74">
        <v>34</v>
      </c>
      <c r="B74" t="s">
        <v>235</v>
      </c>
      <c r="C74" t="s">
        <v>236</v>
      </c>
      <c r="D74" t="s">
        <v>237</v>
      </c>
      <c r="E74" t="s">
        <v>238</v>
      </c>
      <c r="F74">
        <v>2.16</v>
      </c>
      <c r="G74">
        <v>145</v>
      </c>
      <c r="H74">
        <v>145.39099999999999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0DAFC-3B2C-4279-B00D-CAC33CC4864F}">
  <dimension ref="A1:AB74"/>
  <sheetViews>
    <sheetView topLeftCell="B1"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241</v>
      </c>
      <c r="P3" t="s">
        <v>78</v>
      </c>
    </row>
    <row r="5" spans="1:28" x14ac:dyDescent="0.3">
      <c r="A5" t="s">
        <v>242</v>
      </c>
      <c r="P5" t="s">
        <v>79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2.4900000000000002</v>
      </c>
      <c r="G8">
        <v>3138</v>
      </c>
      <c r="H8">
        <v>3137.748</v>
      </c>
      <c r="I8" cm="1">
        <f t="array" ref="I8">TREND($X$8:$X$11,$W$8:$W$11,H8)</f>
        <v>1.758839913206051</v>
      </c>
      <c r="J8">
        <f>I8/(2/0.2)*3</f>
        <v>0.52765197396181529</v>
      </c>
      <c r="K8">
        <v>0.14813140740266978</v>
      </c>
      <c r="L8" s="1">
        <f>J8/K8</f>
        <v>3.5620533363831752</v>
      </c>
      <c r="P8">
        <v>1</v>
      </c>
      <c r="Q8" t="s">
        <v>80</v>
      </c>
      <c r="R8" t="s">
        <v>39</v>
      </c>
      <c r="S8" t="s">
        <v>12</v>
      </c>
      <c r="T8" t="s">
        <v>13</v>
      </c>
      <c r="U8">
        <v>1.95</v>
      </c>
      <c r="V8">
        <v>1597</v>
      </c>
      <c r="W8">
        <v>1596.8109999999999</v>
      </c>
      <c r="X8">
        <v>1</v>
      </c>
      <c r="Y8">
        <v>0.84</v>
      </c>
      <c r="Z8">
        <v>-16</v>
      </c>
      <c r="AA8">
        <v>12</v>
      </c>
      <c r="AB8">
        <v>34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2.4900000000000002</v>
      </c>
      <c r="G9">
        <v>1219</v>
      </c>
      <c r="H9">
        <v>1219.1869999999999</v>
      </c>
      <c r="I9" cm="1">
        <f t="array" ref="I9">TREND($X$8:$X$12,$W$8:$W$12,H9)</f>
        <v>0.81744081982977146</v>
      </c>
      <c r="J9">
        <f>I9/(2/0.2)*3</f>
        <v>0.24523224594893142</v>
      </c>
      <c r="K9">
        <v>0.11673675431760691</v>
      </c>
      <c r="L9" s="1">
        <f t="shared" ref="L9:L72" si="0">J9/K9</f>
        <v>2.1007286640994445</v>
      </c>
      <c r="P9">
        <v>2</v>
      </c>
      <c r="Q9" t="s">
        <v>81</v>
      </c>
      <c r="R9" t="s">
        <v>40</v>
      </c>
      <c r="S9" t="s">
        <v>12</v>
      </c>
      <c r="T9" t="s">
        <v>14</v>
      </c>
      <c r="U9">
        <v>1.95</v>
      </c>
      <c r="V9">
        <v>4560</v>
      </c>
      <c r="W9">
        <v>4560.3</v>
      </c>
      <c r="X9">
        <v>2</v>
      </c>
      <c r="Y9">
        <v>2.339</v>
      </c>
      <c r="Z9">
        <v>16.899999999999999</v>
      </c>
      <c r="AA9">
        <v>69</v>
      </c>
      <c r="AB9">
        <v>35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2.5</v>
      </c>
      <c r="G10">
        <v>1969</v>
      </c>
      <c r="H10">
        <v>1969.3320000000001</v>
      </c>
      <c r="I10" cm="1">
        <f t="array" ref="I10">TREND($X$8:$X$12,$W$8:$W$12,H10)</f>
        <v>1.1718166449783478</v>
      </c>
      <c r="J10">
        <f>I10/(2/0.2)*3</f>
        <v>0.35154499349350432</v>
      </c>
      <c r="K10">
        <v>8.6147092337289247E-2</v>
      </c>
      <c r="L10" s="1">
        <f t="shared" si="0"/>
        <v>4.0807528606666175</v>
      </c>
      <c r="P10">
        <v>3</v>
      </c>
      <c r="Q10" t="s">
        <v>82</v>
      </c>
      <c r="R10" t="s">
        <v>41</v>
      </c>
      <c r="S10" t="s">
        <v>12</v>
      </c>
      <c r="T10" t="s">
        <v>15</v>
      </c>
      <c r="U10">
        <v>1.95</v>
      </c>
      <c r="V10">
        <v>8767</v>
      </c>
      <c r="W10">
        <v>8766.9439999999995</v>
      </c>
      <c r="X10">
        <v>5</v>
      </c>
      <c r="Y10">
        <v>4.4660000000000002</v>
      </c>
      <c r="Z10">
        <v>-10.7</v>
      </c>
      <c r="AA10">
        <v>73</v>
      </c>
      <c r="AB10">
        <v>140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2.5</v>
      </c>
      <c r="G11">
        <v>2466</v>
      </c>
      <c r="H11">
        <v>2465.7579999999998</v>
      </c>
      <c r="I11" cm="1">
        <f t="array" ref="I11">TREND($X$8:$X$12,$W$8:$W$12,H11)</f>
        <v>1.4063331362903038</v>
      </c>
      <c r="J11">
        <f>I11/(2/0.2)*3</f>
        <v>0.4218999408870911</v>
      </c>
      <c r="K11">
        <v>8.9367056756270047E-2</v>
      </c>
      <c r="L11" s="1">
        <f t="shared" si="0"/>
        <v>4.7209783582526939</v>
      </c>
      <c r="P11">
        <v>4</v>
      </c>
      <c r="Q11" t="s">
        <v>83</v>
      </c>
      <c r="R11" t="s">
        <v>42</v>
      </c>
      <c r="S11" t="s">
        <v>12</v>
      </c>
      <c r="T11" t="s">
        <v>16</v>
      </c>
      <c r="U11">
        <v>1.95</v>
      </c>
      <c r="V11">
        <v>21256</v>
      </c>
      <c r="W11">
        <v>21255.728999999999</v>
      </c>
      <c r="X11">
        <v>10</v>
      </c>
      <c r="Y11">
        <v>10.779</v>
      </c>
      <c r="Z11">
        <v>7.8</v>
      </c>
      <c r="AA11">
        <v>234</v>
      </c>
      <c r="AB11">
        <v>261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2.4900000000000002</v>
      </c>
      <c r="G12">
        <v>2043</v>
      </c>
      <c r="H12">
        <v>2042.68</v>
      </c>
      <c r="I12" cm="1">
        <f t="array" ref="I12">TREND($X$8:$X$12,$W$8:$W$12,H12)</f>
        <v>1.2064669566154285</v>
      </c>
      <c r="J12">
        <f>I12/(2/0.2)*3</f>
        <v>0.36194008698462854</v>
      </c>
      <c r="K12">
        <v>9.3392012279996037E-2</v>
      </c>
      <c r="L12" s="1">
        <f t="shared" si="0"/>
        <v>3.8754929693505895</v>
      </c>
      <c r="P12">
        <v>5</v>
      </c>
      <c r="Q12" t="s">
        <v>84</v>
      </c>
      <c r="R12" t="s">
        <v>43</v>
      </c>
      <c r="S12" t="s">
        <v>12</v>
      </c>
      <c r="T12" t="s">
        <v>17</v>
      </c>
      <c r="U12">
        <v>1.94</v>
      </c>
      <c r="V12">
        <v>41703</v>
      </c>
      <c r="W12">
        <v>41702.972999999998</v>
      </c>
      <c r="X12">
        <v>20</v>
      </c>
      <c r="Y12">
        <v>21.106000000000002</v>
      </c>
      <c r="Z12">
        <v>5.5</v>
      </c>
      <c r="AA12">
        <v>591</v>
      </c>
      <c r="AB12">
        <v>434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2.4900000000000002</v>
      </c>
      <c r="G13">
        <v>2711</v>
      </c>
      <c r="H13">
        <v>2710.5509999999999</v>
      </c>
      <c r="I13" cm="1">
        <f t="array" ref="I13">TREND($X$8:$X$12,$W$8:$W$12,H13)</f>
        <v>1.5219757405409426</v>
      </c>
      <c r="J13">
        <f>I13/(2/0.2)*3</f>
        <v>0.45659272216228275</v>
      </c>
      <c r="K13">
        <v>0.18918595374467503</v>
      </c>
      <c r="L13" s="1">
        <f t="shared" si="0"/>
        <v>2.4134599483981742</v>
      </c>
      <c r="P13">
        <v>6</v>
      </c>
      <c r="Q13" t="s">
        <v>85</v>
      </c>
      <c r="R13" t="s">
        <v>44</v>
      </c>
      <c r="S13" t="s">
        <v>12</v>
      </c>
      <c r="T13" t="s">
        <v>18</v>
      </c>
      <c r="U13">
        <v>1.95</v>
      </c>
      <c r="V13">
        <v>90759</v>
      </c>
      <c r="W13">
        <v>90759.233999999997</v>
      </c>
      <c r="X13">
        <v>50</v>
      </c>
      <c r="Y13">
        <v>45.838999999999999</v>
      </c>
      <c r="Z13">
        <v>-8.3000000000000007</v>
      </c>
      <c r="AA13">
        <v>857</v>
      </c>
      <c r="AB13">
        <v>659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2.4900000000000002</v>
      </c>
      <c r="G14">
        <v>984</v>
      </c>
      <c r="H14">
        <v>984.39099999999996</v>
      </c>
      <c r="I14" cm="1">
        <f t="array" ref="I14">TREND($X$8:$X$12,$W$8:$W$12,H14)</f>
        <v>0.70652089602625989</v>
      </c>
      <c r="J14">
        <f>I14/(2/0.2)*3</f>
        <v>0.21195626880787799</v>
      </c>
      <c r="K14">
        <v>9.2587021175250833E-2</v>
      </c>
      <c r="L14" s="1">
        <f t="shared" si="0"/>
        <v>2.2892654512200181</v>
      </c>
      <c r="P14">
        <v>7</v>
      </c>
      <c r="Q14" t="s">
        <v>86</v>
      </c>
      <c r="R14" t="s">
        <v>45</v>
      </c>
      <c r="S14" t="s">
        <v>12</v>
      </c>
      <c r="T14" t="s">
        <v>19</v>
      </c>
      <c r="U14">
        <v>1.95</v>
      </c>
      <c r="V14">
        <v>213903</v>
      </c>
      <c r="W14">
        <v>213902.70300000001</v>
      </c>
      <c r="X14">
        <v>100</v>
      </c>
      <c r="Y14">
        <v>107.654</v>
      </c>
      <c r="Z14">
        <v>7.7</v>
      </c>
      <c r="AA14">
        <v>2083</v>
      </c>
      <c r="AB14">
        <v>2574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2.4900000000000002</v>
      </c>
      <c r="G15">
        <v>1523</v>
      </c>
      <c r="H15">
        <v>1522.981</v>
      </c>
      <c r="I15" cm="1">
        <f t="array" ref="I15">TREND($X$8:$X$12,$W$8:$W$12,H15)</f>
        <v>0.96095607278111639</v>
      </c>
      <c r="J15">
        <f>I15/(2/0.2)*3</f>
        <v>0.28828682183433496</v>
      </c>
      <c r="K15">
        <v>0.14974138961216016</v>
      </c>
      <c r="L15" s="1">
        <f t="shared" si="0"/>
        <v>1.9252313777841676</v>
      </c>
      <c r="P15">
        <v>8</v>
      </c>
      <c r="Q15" t="s">
        <v>87</v>
      </c>
      <c r="R15" t="s">
        <v>46</v>
      </c>
      <c r="S15" t="s">
        <v>12</v>
      </c>
      <c r="T15" t="s">
        <v>20</v>
      </c>
      <c r="U15">
        <v>1.95</v>
      </c>
      <c r="V15">
        <v>386442</v>
      </c>
      <c r="W15">
        <v>386442</v>
      </c>
      <c r="X15">
        <v>200</v>
      </c>
      <c r="Y15">
        <v>193.625</v>
      </c>
      <c r="Z15">
        <v>-3.2</v>
      </c>
      <c r="AA15">
        <v>4217</v>
      </c>
      <c r="AB15">
        <v>4928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2.4900000000000002</v>
      </c>
      <c r="G16">
        <v>6460</v>
      </c>
      <c r="H16">
        <v>6460.0410000000002</v>
      </c>
      <c r="I16" cm="1">
        <f t="array" ref="I16">TREND($X$8:$X$12,$W$8:$W$12,H16)</f>
        <v>3.2932714402207859</v>
      </c>
      <c r="J16">
        <f>I16/(2/0.2)*3</f>
        <v>0.98798143206623568</v>
      </c>
      <c r="K16">
        <v>0.19965083810636269</v>
      </c>
      <c r="L16" s="1">
        <f t="shared" si="0"/>
        <v>4.9485463794541893</v>
      </c>
      <c r="P16">
        <v>9</v>
      </c>
      <c r="Q16" t="s">
        <v>88</v>
      </c>
      <c r="R16" t="s">
        <v>47</v>
      </c>
      <c r="S16" t="s">
        <v>12</v>
      </c>
      <c r="T16" t="s">
        <v>21</v>
      </c>
      <c r="U16">
        <v>1.95</v>
      </c>
      <c r="V16">
        <v>1016164</v>
      </c>
      <c r="W16">
        <v>1016164.063</v>
      </c>
      <c r="X16">
        <v>500</v>
      </c>
      <c r="Y16">
        <v>501.34800000000001</v>
      </c>
      <c r="Z16">
        <v>0.3</v>
      </c>
      <c r="AA16">
        <v>6763</v>
      </c>
      <c r="AB16">
        <v>12669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2.5</v>
      </c>
      <c r="G17">
        <v>7491</v>
      </c>
      <c r="H17">
        <v>7490.6930000000002</v>
      </c>
      <c r="I17" cm="1">
        <f t="array" ref="I17">TREND($X$8:$X$12,$W$8:$W$12,H17)</f>
        <v>3.7801615120616039</v>
      </c>
      <c r="J17">
        <f>I17/(2/0.2)*3</f>
        <v>1.1340484536184812</v>
      </c>
      <c r="K17">
        <v>0.22058060682973793</v>
      </c>
      <c r="L17" s="1">
        <f t="shared" si="0"/>
        <v>5.1411974512058176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2.4900000000000002</v>
      </c>
      <c r="G18">
        <v>5705</v>
      </c>
      <c r="H18">
        <v>5705.0379999999996</v>
      </c>
      <c r="I18" cm="1">
        <f t="array" ref="I18">TREND($X$8:$X$12,$W$8:$W$12,H18)</f>
        <v>2.9366006484209994</v>
      </c>
      <c r="J18">
        <f>I18/(2/0.2)*3</f>
        <v>0.88098019452629983</v>
      </c>
      <c r="K18">
        <v>0.12720163867929454</v>
      </c>
      <c r="L18" s="1">
        <f t="shared" si="0"/>
        <v>6.9258557018078957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2.5</v>
      </c>
      <c r="G19">
        <v>3172</v>
      </c>
      <c r="H19">
        <v>3171.9679999999998</v>
      </c>
      <c r="I19" cm="1">
        <f t="array" ref="I19">TREND($X$8:$X$12,$W$8:$W$12,H19)</f>
        <v>1.7399536382974841</v>
      </c>
      <c r="J19">
        <f>I19/(2/0.2)*3</f>
        <v>0.52198609148924513</v>
      </c>
      <c r="K19">
        <v>0.1594012828691026</v>
      </c>
      <c r="L19" s="1">
        <f t="shared" si="0"/>
        <v>3.2746668163134576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2.5</v>
      </c>
      <c r="G20">
        <v>3245</v>
      </c>
      <c r="H20">
        <v>3244.623</v>
      </c>
      <c r="I20" cm="1">
        <f t="array" ref="I20">TREND($X$8:$X$12,$W$8:$W$12,H20)</f>
        <v>1.774276569965588</v>
      </c>
      <c r="J20">
        <f>I20/(2/0.2)*3</f>
        <v>0.53228297098967636</v>
      </c>
      <c r="K20">
        <v>0.14491144298368897</v>
      </c>
      <c r="L20" s="1">
        <f t="shared" si="0"/>
        <v>3.6731603800922015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2.4900000000000002</v>
      </c>
      <c r="G21">
        <v>5378</v>
      </c>
      <c r="H21">
        <v>5378.3270000000002</v>
      </c>
      <c r="I21" cm="1">
        <f t="array" ref="I21">TREND($X$8:$X$12,$W$8:$W$12,H21)</f>
        <v>2.7822591808245796</v>
      </c>
      <c r="J21">
        <f>I21/(2/0.2)*3</f>
        <v>0.83467775424737378</v>
      </c>
      <c r="K21">
        <v>0.24553533107683917</v>
      </c>
      <c r="L21" s="1">
        <f t="shared" si="0"/>
        <v>3.3994201591548761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2.4900000000000002</v>
      </c>
      <c r="G22">
        <v>4506</v>
      </c>
      <c r="H22">
        <v>4506.4859999999999</v>
      </c>
      <c r="I22" cm="1">
        <f t="array" ref="I22">TREND($X$8:$X$12,$W$8:$W$12,H22)</f>
        <v>2.3703929765929175</v>
      </c>
      <c r="J22">
        <f>I22/(2/0.2)*3</f>
        <v>0.7111178929778752</v>
      </c>
      <c r="K22">
        <v>0.3002747261995129</v>
      </c>
      <c r="L22" s="1">
        <f t="shared" si="0"/>
        <v>2.3682242657525028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2.4900000000000002</v>
      </c>
      <c r="G23">
        <v>2518</v>
      </c>
      <c r="H23">
        <v>2518.4</v>
      </c>
      <c r="I23" cm="1">
        <f t="array" ref="I23">TREND($X$8:$X$12,$W$8:$W$12,H23)</f>
        <v>1.4312017312785681</v>
      </c>
      <c r="J23">
        <f>I23/(2/0.2)*3</f>
        <v>0.42936051938357039</v>
      </c>
      <c r="K23">
        <v>0.17147614944028067</v>
      </c>
      <c r="L23" s="1">
        <f t="shared" si="0"/>
        <v>2.5039080990858271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2.4900000000000002</v>
      </c>
      <c r="G24">
        <v>1792</v>
      </c>
      <c r="H24">
        <v>1792.037</v>
      </c>
      <c r="I24" cm="1">
        <f t="array" ref="I24">TREND($X$8:$X$12,$W$8:$W$12,H24)</f>
        <v>1.088060755224078</v>
      </c>
      <c r="J24">
        <f>I24/(2/0.2)*3</f>
        <v>0.32641822656722341</v>
      </c>
      <c r="K24">
        <v>0.18113604269722305</v>
      </c>
      <c r="L24" s="1">
        <f t="shared" si="0"/>
        <v>1.8020611563919722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2.4900000000000002</v>
      </c>
      <c r="G25">
        <v>2831</v>
      </c>
      <c r="H25">
        <v>2831.1149999999998</v>
      </c>
      <c r="I25" cm="1">
        <f t="array" ref="I25">TREND($X$8:$X$12,$W$8:$W$12,H25)</f>
        <v>1.5789313517670562</v>
      </c>
      <c r="J25">
        <f>I25/(2/0.2)*3</f>
        <v>0.47367940553011684</v>
      </c>
      <c r="K25">
        <v>8.2927127918308433E-2</v>
      </c>
      <c r="L25" s="1">
        <f t="shared" si="0"/>
        <v>5.7119957898064273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2.4900000000000002</v>
      </c>
      <c r="G26">
        <v>7188</v>
      </c>
      <c r="H26">
        <v>7188.4269999999997</v>
      </c>
      <c r="I26" cm="1">
        <f t="array" ref="I26">TREND($X$8:$X$12,$W$8:$W$12,H26)</f>
        <v>3.6373681012352175</v>
      </c>
      <c r="J26">
        <f>I26/(2/0.2)*3</f>
        <v>1.0912104303705652</v>
      </c>
      <c r="K26">
        <v>0.11593176321286171</v>
      </c>
      <c r="L26" s="1">
        <f t="shared" si="0"/>
        <v>9.4125233683110583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2.4900000000000002</v>
      </c>
      <c r="G27">
        <v>4568</v>
      </c>
      <c r="H27">
        <v>4568.4989999999998</v>
      </c>
      <c r="I27" cm="1">
        <f t="array" ref="I27">TREND($X$8:$X$12,$W$8:$W$12,H27)</f>
        <v>2.3996885235137642</v>
      </c>
      <c r="J27">
        <f>I27/(2/0.2)*3</f>
        <v>0.7199065570541292</v>
      </c>
      <c r="K27">
        <v>0.17469611385926145</v>
      </c>
      <c r="L27" s="1">
        <f t="shared" si="0"/>
        <v>4.1209076787712622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2.4900000000000002</v>
      </c>
      <c r="G28">
        <v>5027</v>
      </c>
      <c r="H28">
        <v>5027.4210000000003</v>
      </c>
      <c r="I28" cm="1">
        <f t="array" ref="I28">TREND($X$8:$X$12,$W$8:$W$12,H28)</f>
        <v>2.6164877589000364</v>
      </c>
      <c r="J28">
        <f>I28/(2/0.2)*3</f>
        <v>0.78494632767001082</v>
      </c>
      <c r="K28">
        <v>0.17952606048773259</v>
      </c>
      <c r="L28" s="1">
        <f t="shared" si="0"/>
        <v>4.3723252520413212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2.4900000000000002</v>
      </c>
      <c r="G29">
        <v>9526</v>
      </c>
      <c r="H29">
        <v>9525.768</v>
      </c>
      <c r="I29" cm="1">
        <f t="array" ref="I29">TREND($X$8:$X$12,$W$8:$W$12,H29)</f>
        <v>4.7415508199477312</v>
      </c>
      <c r="J29">
        <f>I29/(2/0.2)*3</f>
        <v>1.4224652459843194</v>
      </c>
      <c r="K29">
        <v>0.19723586479212707</v>
      </c>
      <c r="L29" s="1">
        <f t="shared" si="0"/>
        <v>7.2120009587683214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2.5</v>
      </c>
      <c r="G30">
        <v>5802</v>
      </c>
      <c r="H30">
        <v>5801.9570000000003</v>
      </c>
      <c r="I30" cm="1">
        <f t="array" ref="I30">TREND($X$8:$X$12,$W$8:$W$12,H30)</f>
        <v>2.9823861306911938</v>
      </c>
      <c r="J30">
        <f>I30/(2/0.2)*3</f>
        <v>0.89471583920735809</v>
      </c>
      <c r="K30">
        <v>0.28417490410460888</v>
      </c>
      <c r="L30" s="1">
        <f t="shared" si="0"/>
        <v>3.1484688699956429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2.4900000000000002</v>
      </c>
      <c r="G31">
        <v>5213</v>
      </c>
      <c r="H31">
        <v>5212.6369999999997</v>
      </c>
      <c r="I31" cm="1">
        <f t="array" ref="I31">TREND($X$8:$X$12,$W$8:$W$12,H31)</f>
        <v>2.7039856064238066</v>
      </c>
      <c r="J31">
        <f>I31/(2/0.2)*3</f>
        <v>0.81119568192714198</v>
      </c>
      <c r="K31">
        <v>0.17872106938298743</v>
      </c>
      <c r="L31" s="1">
        <f t="shared" si="0"/>
        <v>4.5388922790563839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2.5</v>
      </c>
      <c r="G32">
        <v>7199</v>
      </c>
      <c r="H32">
        <v>7198.6450000000004</v>
      </c>
      <c r="I32" cm="1">
        <f t="array" ref="I32">TREND($X$8:$X$12,$W$8:$W$12,H32)</f>
        <v>3.6421951842409941</v>
      </c>
      <c r="J32">
        <f>I32/(2/0.2)*3</f>
        <v>1.092658555272298</v>
      </c>
      <c r="K32">
        <v>0.19884584700161748</v>
      </c>
      <c r="L32" s="1">
        <f t="shared" si="0"/>
        <v>5.4950031481593378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2.4900000000000002</v>
      </c>
      <c r="G33">
        <v>4127</v>
      </c>
      <c r="H33">
        <v>4127.2749999999996</v>
      </c>
      <c r="I33" cm="1">
        <f t="array" ref="I33">TREND($X$8:$X$12,$W$8:$W$12,H33)</f>
        <v>2.1912499961952383</v>
      </c>
      <c r="J33">
        <f>I33/(2/0.2)*3</f>
        <v>0.65737499885857154</v>
      </c>
      <c r="K33">
        <v>0.17469611385926145</v>
      </c>
      <c r="L33" s="1">
        <f t="shared" si="0"/>
        <v>3.7629629207903585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2.4900000000000002</v>
      </c>
      <c r="G34">
        <v>5587</v>
      </c>
      <c r="H34">
        <v>5586.6760000000004</v>
      </c>
      <c r="I34" cm="1">
        <f t="array" ref="I34">TREND($X$8:$X$12,$W$8:$W$12,H34)</f>
        <v>2.8806852835032362</v>
      </c>
      <c r="J34">
        <f>I34/(2/0.2)*3</f>
        <v>0.86420558505097078</v>
      </c>
      <c r="K34">
        <v>0.24875529549582001</v>
      </c>
      <c r="L34" s="1">
        <f t="shared" si="0"/>
        <v>3.4741193482069712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2.4900000000000002</v>
      </c>
      <c r="G35">
        <v>5732</v>
      </c>
      <c r="H35">
        <v>5732.21</v>
      </c>
      <c r="I35" cm="1">
        <f t="array" ref="I35">TREND($X$8:$X$12,$W$8:$W$12,H35)</f>
        <v>2.9494369666273959</v>
      </c>
      <c r="J35">
        <f>I35/(2/0.2)*3</f>
        <v>0.88483108998821869</v>
      </c>
      <c r="K35">
        <v>0.18274602490671343</v>
      </c>
      <c r="L35" s="1">
        <f t="shared" si="0"/>
        <v>4.841862308304103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2.4900000000000002</v>
      </c>
      <c r="G36">
        <v>12893</v>
      </c>
      <c r="H36">
        <v>12892.984</v>
      </c>
      <c r="I36" cm="1">
        <f t="array" ref="I36">TREND($X$8:$X$12,$W$8:$W$12,H36)</f>
        <v>6.3322565481116051</v>
      </c>
      <c r="J36">
        <f>I36/(2/0.2)*3</f>
        <v>1.8996769644334817</v>
      </c>
      <c r="K36">
        <v>0.18113604269722305</v>
      </c>
      <c r="L36" s="1">
        <f t="shared" si="0"/>
        <v>10.487570204947428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2.4900000000000002</v>
      </c>
      <c r="G37">
        <v>7667</v>
      </c>
      <c r="H37">
        <v>7666.5439999999999</v>
      </c>
      <c r="I37" cm="1">
        <f t="array" ref="I37">TREND($X$8:$X$12,$W$8:$W$12,H37)</f>
        <v>3.8632352421113976</v>
      </c>
      <c r="J37">
        <f>I37/(2/0.2)*3</f>
        <v>1.1589705726334192</v>
      </c>
      <c r="K37">
        <v>0.12156670094607813</v>
      </c>
      <c r="L37" s="1">
        <f t="shared" si="0"/>
        <v>9.5336186933911264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2.4900000000000002</v>
      </c>
      <c r="G38">
        <v>10215</v>
      </c>
      <c r="H38">
        <v>10215.102999999999</v>
      </c>
      <c r="I38" cm="1">
        <f t="array" ref="I38">TREND($X$8:$X$12,$W$8:$W$12,H38)</f>
        <v>5.0671994071259352</v>
      </c>
      <c r="J38">
        <f>I38/(2/0.2)*3</f>
        <v>1.5201598221377806</v>
      </c>
      <c r="K38">
        <v>8.8562065651524843E-2</v>
      </c>
      <c r="L38" s="1">
        <f t="shared" si="0"/>
        <v>17.164909275257028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2.5</v>
      </c>
      <c r="G39">
        <v>8474</v>
      </c>
      <c r="H39">
        <v>8474.3889999999992</v>
      </c>
      <c r="I39" cm="1">
        <f t="array" ref="I39">TREND($X$8:$X$12,$W$8:$W$12,H39)</f>
        <v>4.2448691108529761</v>
      </c>
      <c r="J39">
        <f>I39/(2/0.2)*3</f>
        <v>1.2734607332558929</v>
      </c>
      <c r="K39">
        <v>0.13766652304098212</v>
      </c>
      <c r="L39" s="1">
        <f t="shared" si="0"/>
        <v>9.2503297470278589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2.4900000000000002</v>
      </c>
      <c r="G40">
        <v>5321</v>
      </c>
      <c r="H40">
        <v>5320.9139999999998</v>
      </c>
      <c r="I40" cm="1">
        <f t="array" ref="I40">TREND($X$8:$X$12,$W$8:$W$12,H40)</f>
        <v>2.7551367188348905</v>
      </c>
      <c r="J40">
        <f>I40/(2/0.2)*3</f>
        <v>0.82654101565046723</v>
      </c>
      <c r="K40">
        <v>8.2122136813563229E-2</v>
      </c>
      <c r="L40" s="1">
        <f t="shared" si="0"/>
        <v>10.064777266170166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2.4900000000000002</v>
      </c>
      <c r="G41">
        <v>2515</v>
      </c>
      <c r="H41">
        <v>2515.0349999999999</v>
      </c>
      <c r="I41" cm="1">
        <f t="array" ref="I41">TREND($X$8:$X$12,$W$8:$W$12,H41)</f>
        <v>1.4296120724104491</v>
      </c>
      <c r="J41">
        <f>I41/(2/0.2)*3</f>
        <v>0.42888362172313477</v>
      </c>
      <c r="K41">
        <v>0.10224691443219328</v>
      </c>
      <c r="L41" s="1">
        <f t="shared" si="0"/>
        <v>4.1945874269639303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2.4900000000000002</v>
      </c>
      <c r="G42">
        <v>8265</v>
      </c>
      <c r="H42">
        <v>8265.2870000000003</v>
      </c>
      <c r="I42" cm="1">
        <f t="array" ref="I42">TREND($X$8:$X$12,$W$8:$W$12,H42)</f>
        <v>4.146087283619285</v>
      </c>
      <c r="J42">
        <f>I42/(2/0.2)*3</f>
        <v>1.2438261850857857</v>
      </c>
      <c r="K42">
        <v>0.12639664757454935</v>
      </c>
      <c r="L42" s="1">
        <f t="shared" si="0"/>
        <v>9.8406580313150389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2.4900000000000002</v>
      </c>
      <c r="G43">
        <v>3027</v>
      </c>
      <c r="H43">
        <v>3027.4450000000002</v>
      </c>
      <c r="I43" cm="1">
        <f t="array" ref="I43">TREND($X$8:$X$12,$W$8:$W$12,H43)</f>
        <v>1.6716795614484112</v>
      </c>
      <c r="J43">
        <f>I43/(2/0.2)*3</f>
        <v>0.50150386843452333</v>
      </c>
      <c r="K43">
        <v>0.15054638071690538</v>
      </c>
      <c r="L43" s="1">
        <f t="shared" si="0"/>
        <v>3.3312250088401343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2.4900000000000002</v>
      </c>
      <c r="G44">
        <v>2928</v>
      </c>
      <c r="H44">
        <v>2927.8049999999998</v>
      </c>
      <c r="I44" cm="1">
        <f t="array" ref="I44">TREND($X$8:$X$12,$W$8:$W$12,H44)</f>
        <v>1.6246086522004601</v>
      </c>
      <c r="J44">
        <f>I44/(2/0.2)*3</f>
        <v>0.48738259566013808</v>
      </c>
      <c r="K44">
        <v>0.14893639850741497</v>
      </c>
      <c r="L44" s="1">
        <f t="shared" si="0"/>
        <v>3.2724209833492997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2.5</v>
      </c>
      <c r="G45">
        <v>4064</v>
      </c>
      <c r="H45">
        <v>4063.5360000000001</v>
      </c>
      <c r="I45" cm="1">
        <f t="array" ref="I45">TREND($X$8:$X$12,$W$8:$W$12,H45)</f>
        <v>2.16113907001544</v>
      </c>
      <c r="J45">
        <f>I45/(2/0.2)*3</f>
        <v>0.64834172100463205</v>
      </c>
      <c r="K45">
        <v>4.0262599366812736E-2</v>
      </c>
      <c r="L45" s="1">
        <f t="shared" si="0"/>
        <v>16.102828212801402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2.4900000000000002</v>
      </c>
      <c r="G46">
        <v>4962</v>
      </c>
      <c r="H46">
        <v>4962.2139999999999</v>
      </c>
      <c r="I46" cm="1">
        <f t="array" ref="I46">TREND($X$8:$X$12,$W$8:$W$12,H46)</f>
        <v>2.5856833351813377</v>
      </c>
      <c r="J46">
        <f>I46/(2/0.2)*3</f>
        <v>0.77570500055440139</v>
      </c>
      <c r="K46">
        <v>0.11351678989862611</v>
      </c>
      <c r="L46" s="1">
        <f t="shared" si="0"/>
        <v>6.8333944366038644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2.4900000000000002</v>
      </c>
      <c r="G47">
        <v>2066</v>
      </c>
      <c r="H47">
        <v>2066.37</v>
      </c>
      <c r="I47" cm="1">
        <f t="array" ref="I47">TREND($X$8:$X$12,$W$8:$W$12,H47)</f>
        <v>1.2176583440108917</v>
      </c>
      <c r="J47">
        <f>I47/(2/0.2)*3</f>
        <v>0.36529750320326748</v>
      </c>
      <c r="K47">
        <v>0.10144192332744809</v>
      </c>
      <c r="L47" s="1">
        <f t="shared" si="0"/>
        <v>3.6010506427811935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2.4900000000000002</v>
      </c>
      <c r="G48">
        <v>3315</v>
      </c>
      <c r="H48">
        <v>3315.2660000000001</v>
      </c>
      <c r="I48" cm="1">
        <f t="array" ref="I48">TREND($X$8:$X$12,$W$8:$W$12,H48)</f>
        <v>1.8076490131811942</v>
      </c>
      <c r="J48">
        <f>I48/(2/0.2)*3</f>
        <v>0.5422947039543583</v>
      </c>
      <c r="K48">
        <v>8.3732119023053622E-2</v>
      </c>
      <c r="L48" s="1">
        <f t="shared" si="0"/>
        <v>6.4765434134665876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2.4900000000000002</v>
      </c>
      <c r="G49">
        <v>4558</v>
      </c>
      <c r="H49">
        <v>4558.1629999999996</v>
      </c>
      <c r="I49" cm="1">
        <f t="array" ref="I49">TREND($X$8:$X$12,$W$8:$W$12,H49)</f>
        <v>2.3948056961554061</v>
      </c>
      <c r="J49">
        <f>I49/(2/0.2)*3</f>
        <v>0.71844170884662173</v>
      </c>
      <c r="K49">
        <v>0.22299558014397355</v>
      </c>
      <c r="L49" s="1">
        <f t="shared" si="0"/>
        <v>3.2217755543978552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2.4900000000000002</v>
      </c>
      <c r="G50">
        <v>4694</v>
      </c>
      <c r="H50">
        <v>4693.585</v>
      </c>
      <c r="I50" cm="1">
        <f t="array" ref="I50">TREND($X$8:$X$12,$W$8:$W$12,H50)</f>
        <v>2.4587803717091599</v>
      </c>
      <c r="J50">
        <f>I50/(2/0.2)*3</f>
        <v>0.73763411151274805</v>
      </c>
      <c r="K50">
        <v>0.1175417454223521</v>
      </c>
      <c r="L50" s="1">
        <f t="shared" si="0"/>
        <v>6.2755075557392335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2.4900000000000002</v>
      </c>
      <c r="G51">
        <v>3260</v>
      </c>
      <c r="H51">
        <v>3260.29</v>
      </c>
      <c r="I51" cm="1">
        <f t="array" ref="I51">TREND($X$8:$X$12,$W$8:$W$12,H51)</f>
        <v>1.7816778137952511</v>
      </c>
      <c r="J51">
        <f>I51/(2/0.2)*3</f>
        <v>0.53450334413857536</v>
      </c>
      <c r="K51">
        <v>0.11351678989862611</v>
      </c>
      <c r="L51" s="1">
        <f t="shared" si="0"/>
        <v>4.7085840307491331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2.4900000000000002</v>
      </c>
      <c r="G52">
        <v>3162</v>
      </c>
      <c r="H52">
        <v>3162.029</v>
      </c>
      <c r="I52" cm="1">
        <f t="array" ref="I52">TREND($X$8:$X$12,$W$8:$W$12,H52)</f>
        <v>1.7352583576168801</v>
      </c>
      <c r="J52">
        <f>I52/(2/0.2)*3</f>
        <v>0.52057750728506402</v>
      </c>
      <c r="K52">
        <v>8.4537110127798853E-2</v>
      </c>
      <c r="L52" s="1">
        <f t="shared" si="0"/>
        <v>6.1579761420526644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2.4900000000000002</v>
      </c>
      <c r="G53">
        <v>3932</v>
      </c>
      <c r="H53">
        <v>3931.7640000000001</v>
      </c>
      <c r="I53" cm="1">
        <f t="array" ref="I53">TREND($X$8:$X$12,$W$8:$W$12,H53)</f>
        <v>2.0988886901135833</v>
      </c>
      <c r="J53">
        <f>I53/(2/0.2)*3</f>
        <v>0.62966660703407507</v>
      </c>
      <c r="K53">
        <v>0.1078818521654097</v>
      </c>
      <c r="L53" s="1">
        <f t="shared" si="0"/>
        <v>5.8366314110795914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2.4900000000000002</v>
      </c>
      <c r="G54">
        <v>3932</v>
      </c>
      <c r="H54">
        <v>3931.65</v>
      </c>
      <c r="I54" cm="1">
        <f t="array" ref="I54">TREND($X$8:$X$12,$W$8:$W$12,H54)</f>
        <v>2.0988348354000719</v>
      </c>
      <c r="J54">
        <f>I54/(2/0.2)*3</f>
        <v>0.62965045062002156</v>
      </c>
      <c r="K54">
        <v>0.14813140740266978</v>
      </c>
      <c r="L54" s="1">
        <f t="shared" si="0"/>
        <v>4.2506208619784793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2.4900000000000002</v>
      </c>
      <c r="G55">
        <v>9383</v>
      </c>
      <c r="H55">
        <v>9382.6389999999992</v>
      </c>
      <c r="I55" cm="1">
        <f t="array" ref="I55">TREND($X$8:$X$12,$W$8:$W$12,H55)</f>
        <v>4.6739352823147531</v>
      </c>
      <c r="J55">
        <f>I55/(2/0.2)*3</f>
        <v>1.4021805846944257</v>
      </c>
      <c r="K55">
        <v>6.6022314718659172E-2</v>
      </c>
      <c r="L55" s="1">
        <f t="shared" si="0"/>
        <v>21.237979775012988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2.4900000000000002</v>
      </c>
      <c r="G56">
        <v>6852</v>
      </c>
      <c r="H56">
        <v>6852.232</v>
      </c>
      <c r="I56" cm="1">
        <f t="array" ref="I56">TREND($X$8:$X$12,$W$8:$W$12,H56)</f>
        <v>3.478546299402471</v>
      </c>
      <c r="J56">
        <f>I56/(2/0.2)*3</f>
        <v>1.0435638898207413</v>
      </c>
      <c r="K56">
        <v>0.22621554456295434</v>
      </c>
      <c r="L56" s="1">
        <f t="shared" si="0"/>
        <v>4.6131396135349316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2.4900000000000002</v>
      </c>
      <c r="G57">
        <v>4712</v>
      </c>
      <c r="H57">
        <v>4712.0559999999996</v>
      </c>
      <c r="I57" cm="1">
        <f t="array" ref="I57">TREND($X$8:$X$12,$W$8:$W$12,H57)</f>
        <v>2.4675062525272939</v>
      </c>
      <c r="J57">
        <f>I57/(2/0.2)*3</f>
        <v>0.74025187575818818</v>
      </c>
      <c r="K57">
        <v>0.21897062462024752</v>
      </c>
      <c r="L57" s="1">
        <f t="shared" si="0"/>
        <v>3.3805990051952359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2.4900000000000002</v>
      </c>
      <c r="G58">
        <v>8262</v>
      </c>
      <c r="H58">
        <v>8262.1460000000006</v>
      </c>
      <c r="I58" cm="1">
        <f t="array" ref="I58">TREND($X$8:$X$12,$W$8:$W$12,H58)</f>
        <v>4.1446034445391184</v>
      </c>
      <c r="J58">
        <f>I58/(2/0.2)*3</f>
        <v>1.2433810333617354</v>
      </c>
      <c r="K58">
        <v>0.11271179879388092</v>
      </c>
      <c r="L58" s="1">
        <f t="shared" si="0"/>
        <v>11.031507319260689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2.5</v>
      </c>
      <c r="G59">
        <v>12482</v>
      </c>
      <c r="H59">
        <v>12482.226000000001</v>
      </c>
      <c r="I59" cm="1">
        <f t="array" ref="I59">TREND($X$8:$X$12,$W$8:$W$12,H59)</f>
        <v>6.1382104567740923</v>
      </c>
      <c r="J59">
        <f>I59/(2/0.2)*3</f>
        <v>1.8414631370322279</v>
      </c>
      <c r="K59">
        <v>9.1782030070505644E-2</v>
      </c>
      <c r="L59" s="1">
        <f t="shared" si="0"/>
        <v>20.063438732153148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2.4900000000000002</v>
      </c>
      <c r="G60">
        <v>4069</v>
      </c>
      <c r="H60">
        <v>4069.248</v>
      </c>
      <c r="I60" cm="1">
        <f t="array" ref="I60">TREND($X$8:$X$12,$W$8:$W$12,H60)</f>
        <v>2.1638374746082167</v>
      </c>
      <c r="J60">
        <f>I60/(2/0.2)*3</f>
        <v>0.64915124238246502</v>
      </c>
      <c r="K60">
        <v>0.16584121170706426</v>
      </c>
      <c r="L60" s="1">
        <f t="shared" si="0"/>
        <v>3.9142938941443677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2.4900000000000002</v>
      </c>
      <c r="G61">
        <v>4464</v>
      </c>
      <c r="H61">
        <v>4463.76</v>
      </c>
      <c r="I61" cm="1">
        <f t="array" ref="I61">TREND($X$8:$X$12,$W$8:$W$12,H61)</f>
        <v>2.3502087968606018</v>
      </c>
      <c r="J61">
        <f>I61/(2/0.2)*3</f>
        <v>0.70506263905818045</v>
      </c>
      <c r="K61">
        <v>0.20850574025855992</v>
      </c>
      <c r="L61" s="1">
        <f t="shared" si="0"/>
        <v>3.3815022942958763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2.4900000000000002</v>
      </c>
      <c r="G62">
        <v>4298</v>
      </c>
      <c r="H62">
        <v>4298.4859999999999</v>
      </c>
      <c r="I62" cm="1">
        <f t="array" ref="I62">TREND($X$8:$X$12,$W$8:$W$12,H62)</f>
        <v>2.2721317449231684</v>
      </c>
      <c r="J62">
        <f>I62/(2/0.2)*3</f>
        <v>0.68163952347695056</v>
      </c>
      <c r="K62">
        <v>0.15457133624063138</v>
      </c>
      <c r="L62" s="1">
        <f t="shared" si="0"/>
        <v>4.4098701612813738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2.4900000000000002</v>
      </c>
      <c r="G63">
        <v>5057</v>
      </c>
      <c r="H63">
        <v>5057.2870000000003</v>
      </c>
      <c r="I63" cm="1">
        <f t="array" ref="I63">TREND($X$8:$X$12,$W$8:$W$12,H63)</f>
        <v>2.6305967490204631</v>
      </c>
      <c r="J63">
        <f>I63/(2/0.2)*3</f>
        <v>0.78917902470613888</v>
      </c>
      <c r="K63">
        <v>0.22863051787718996</v>
      </c>
      <c r="L63" s="1">
        <f t="shared" si="0"/>
        <v>3.451765897368305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2.4900000000000002</v>
      </c>
      <c r="G64">
        <v>1892</v>
      </c>
      <c r="H64">
        <v>1891.76</v>
      </c>
      <c r="I64" cm="1">
        <f t="array" ref="I64">TREND($X$8:$X$12,$W$8:$W$12,H64)</f>
        <v>1.1351708744827431</v>
      </c>
      <c r="J64">
        <f>I64/(2/0.2)*3</f>
        <v>0.34055126234482291</v>
      </c>
      <c r="K64">
        <v>0.19079593595416544</v>
      </c>
      <c r="L64" s="1">
        <f t="shared" si="0"/>
        <v>1.7848978839184129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2.4900000000000002</v>
      </c>
      <c r="G65">
        <v>3000</v>
      </c>
      <c r="H65">
        <v>2999.8510000000001</v>
      </c>
      <c r="I65" cm="1">
        <f t="array" ref="I65">TREND($X$8:$X$12,$W$8:$W$12,H65)</f>
        <v>1.6586438863200696</v>
      </c>
      <c r="J65">
        <f>I65/(2/0.2)*3</f>
        <v>0.49759316589602093</v>
      </c>
      <c r="K65">
        <v>0.13122659420302052</v>
      </c>
      <c r="L65" s="1">
        <f t="shared" si="0"/>
        <v>3.7918622282172096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2.48</v>
      </c>
      <c r="G66">
        <v>4390</v>
      </c>
      <c r="H66">
        <v>4389.7460000000001</v>
      </c>
      <c r="I66" cm="1">
        <f t="array" ref="I66">TREND($X$8:$X$12,$W$8:$W$12,H66)</f>
        <v>2.315243860318271</v>
      </c>
      <c r="J66">
        <f>I66/(2/0.2)*3</f>
        <v>0.69457315809548126</v>
      </c>
      <c r="K66">
        <v>0.13927650525047255</v>
      </c>
      <c r="L66" s="1">
        <f t="shared" si="0"/>
        <v>4.9870088055869326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2.4900000000000002</v>
      </c>
      <c r="G67">
        <v>2797</v>
      </c>
      <c r="H67">
        <v>2796.9360000000001</v>
      </c>
      <c r="I67" cm="1">
        <f t="array" ref="I67">TREND($X$8:$X$12,$W$8:$W$12,H67)</f>
        <v>1.5627848583187853</v>
      </c>
      <c r="J67">
        <f>I67/(2/0.2)*3</f>
        <v>0.4688354574956356</v>
      </c>
      <c r="K67">
        <v>9.7416967803722054E-2</v>
      </c>
      <c r="L67" s="1">
        <f t="shared" si="0"/>
        <v>4.8126673213670133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2.4900000000000002</v>
      </c>
      <c r="G68">
        <v>5459</v>
      </c>
      <c r="H68">
        <v>5458.9970000000003</v>
      </c>
      <c r="I68" cm="1">
        <f t="array" ref="I68">TREND($X$8:$X$12,$W$8:$W$12,H68)</f>
        <v>2.8203684767803425</v>
      </c>
      <c r="J68">
        <f>I68/(2/0.2)*3</f>
        <v>0.84611054303410282</v>
      </c>
      <c r="K68">
        <v>7.4877216870856411E-2</v>
      </c>
      <c r="L68" s="1">
        <f t="shared" si="0"/>
        <v>11.299973188018217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2.4900000000000002</v>
      </c>
      <c r="G69">
        <v>7223</v>
      </c>
      <c r="H69">
        <v>7222.6719999999996</v>
      </c>
      <c r="I69" cm="1">
        <f t="array" ref="I69">TREND($X$8:$X$12,$W$8:$W$12,H69)</f>
        <v>3.6535457737281529</v>
      </c>
      <c r="J69">
        <f>I69/(2/0.2)*3</f>
        <v>1.0960637321184459</v>
      </c>
      <c r="K69">
        <v>0.14491144298368897</v>
      </c>
      <c r="L69" s="1">
        <f t="shared" si="0"/>
        <v>7.5636796484168425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2.4900000000000002</v>
      </c>
      <c r="G70">
        <v>3880</v>
      </c>
      <c r="H70">
        <v>3879.7739999999999</v>
      </c>
      <c r="I70" cm="1">
        <f t="array" ref="I70">TREND($X$8:$X$12,$W$8:$W$12,H70)</f>
        <v>2.0743281062938221</v>
      </c>
      <c r="J70">
        <f>I70/(2/0.2)*3</f>
        <v>0.6222984318881466</v>
      </c>
      <c r="K70">
        <v>0.14571643408843418</v>
      </c>
      <c r="L70" s="1">
        <f t="shared" si="0"/>
        <v>4.2706125481390691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2.48</v>
      </c>
      <c r="G71">
        <v>3635</v>
      </c>
      <c r="H71">
        <v>3635.0459999999998</v>
      </c>
      <c r="I71" cm="1">
        <f t="array" ref="I71">TREND($X$8:$X$12,$W$8:$W$12,H71)</f>
        <v>1.9587162086780803</v>
      </c>
      <c r="J71">
        <f>I71/(2/0.2)*3</f>
        <v>0.5876148626034241</v>
      </c>
      <c r="K71">
        <v>0.26405012648597881</v>
      </c>
      <c r="L71" s="1">
        <f t="shared" si="0"/>
        <v>2.2253913316516694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2.4900000000000002</v>
      </c>
      <c r="G72">
        <v>2072</v>
      </c>
      <c r="H72">
        <v>2071.614</v>
      </c>
      <c r="I72" cm="1">
        <f t="array" ref="I72">TREND($X$8:$X$12,$W$8:$W$12,H72)</f>
        <v>1.2201356608324119</v>
      </c>
      <c r="J72">
        <f>I72/(2/0.2)*3</f>
        <v>0.36604069824972352</v>
      </c>
      <c r="K72">
        <v>0.17469611385926145</v>
      </c>
      <c r="L72" s="1">
        <f t="shared" si="0"/>
        <v>2.0952996043438774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2.4900000000000002</v>
      </c>
      <c r="G73">
        <v>1413</v>
      </c>
      <c r="H73">
        <v>1413.16</v>
      </c>
      <c r="I73" cm="1">
        <f t="array" ref="I73">TREND($X$8:$X$12,$W$8:$W$12,H73)</f>
        <v>0.90907555968879183</v>
      </c>
      <c r="J73">
        <f>I73/(2/0.2)*3</f>
        <v>0.27272266790663757</v>
      </c>
      <c r="K73">
        <v>0.1175417454223521</v>
      </c>
      <c r="L73" s="1">
        <f t="shared" ref="L73" si="1">J73/K73</f>
        <v>2.3202196541040627</v>
      </c>
    </row>
    <row r="74" spans="1:12" x14ac:dyDescent="0.3">
      <c r="A74">
        <v>34</v>
      </c>
      <c r="B74" t="s">
        <v>235</v>
      </c>
      <c r="C74" t="s">
        <v>236</v>
      </c>
      <c r="D74" t="s">
        <v>237</v>
      </c>
      <c r="E74" t="s">
        <v>238</v>
      </c>
      <c r="F74">
        <v>2.4300000000000002</v>
      </c>
      <c r="G74">
        <v>189</v>
      </c>
      <c r="H74">
        <v>189.36699999999999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A1F7-0122-4ACA-9173-CEA8B4F57988}">
  <dimension ref="A1:AB74"/>
  <sheetViews>
    <sheetView topLeftCell="A2" workbookViewId="0">
      <selection activeCell="L2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243</v>
      </c>
      <c r="P3" t="s">
        <v>78</v>
      </c>
    </row>
    <row r="5" spans="1:28" x14ac:dyDescent="0.3">
      <c r="A5" t="s">
        <v>244</v>
      </c>
      <c r="P5" t="s">
        <v>79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2.73</v>
      </c>
      <c r="G8">
        <v>4412</v>
      </c>
      <c r="H8">
        <v>4411.9430000000002</v>
      </c>
      <c r="I8" cm="1">
        <f t="array" ref="I8">TREND($X$8:$X$11,$W$8:$W$11,H8)</f>
        <v>2.3501138939990458</v>
      </c>
      <c r="J8">
        <f>I8/(2/0.2)*3</f>
        <v>0.70503416819971365</v>
      </c>
      <c r="K8">
        <v>0.14813140740266978</v>
      </c>
      <c r="L8" s="1">
        <f>J8/K8</f>
        <v>4.7595184610863743</v>
      </c>
      <c r="P8">
        <v>1</v>
      </c>
      <c r="Q8" t="s">
        <v>80</v>
      </c>
      <c r="R8" t="s">
        <v>39</v>
      </c>
      <c r="S8" t="s">
        <v>12</v>
      </c>
      <c r="T8" t="s">
        <v>13</v>
      </c>
      <c r="U8">
        <v>1.95</v>
      </c>
      <c r="V8">
        <v>1597</v>
      </c>
      <c r="W8">
        <v>1596.8109999999999</v>
      </c>
      <c r="X8">
        <v>1</v>
      </c>
      <c r="Y8">
        <v>0.84</v>
      </c>
      <c r="Z8">
        <v>-16</v>
      </c>
      <c r="AA8">
        <v>12</v>
      </c>
      <c r="AB8">
        <v>34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2.74</v>
      </c>
      <c r="G9">
        <v>5528</v>
      </c>
      <c r="H9">
        <v>5528.1959999999999</v>
      </c>
      <c r="I9" cm="1">
        <f t="array" ref="I9">TREND($X$8:$X$12,$W$8:$W$12,H9)</f>
        <v>2.8530587602914719</v>
      </c>
      <c r="J9">
        <f>I9/(2/0.2)*3</f>
        <v>0.85591762808744165</v>
      </c>
      <c r="K9">
        <v>0.11673675431760691</v>
      </c>
      <c r="L9" s="1">
        <f t="shared" ref="L9:L72" si="0">J9/K9</f>
        <v>7.332032084417369</v>
      </c>
      <c r="P9">
        <v>2</v>
      </c>
      <c r="Q9" t="s">
        <v>81</v>
      </c>
      <c r="R9" t="s">
        <v>40</v>
      </c>
      <c r="S9" t="s">
        <v>12</v>
      </c>
      <c r="T9" t="s">
        <v>14</v>
      </c>
      <c r="U9">
        <v>1.95</v>
      </c>
      <c r="V9">
        <v>4560</v>
      </c>
      <c r="W9">
        <v>4560.3</v>
      </c>
      <c r="X9">
        <v>2</v>
      </c>
      <c r="Y9">
        <v>2.339</v>
      </c>
      <c r="Z9">
        <v>16.899999999999999</v>
      </c>
      <c r="AA9">
        <v>69</v>
      </c>
      <c r="AB9">
        <v>35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2.73</v>
      </c>
      <c r="G10">
        <v>6373</v>
      </c>
      <c r="H10">
        <v>6372.5280000000002</v>
      </c>
      <c r="I10" cm="1">
        <f t="array" ref="I10">TREND($X$8:$X$12,$W$8:$W$12,H10)</f>
        <v>3.2519294442250417</v>
      </c>
      <c r="J10">
        <f>I10/(2/0.2)*3</f>
        <v>0.9755788332675126</v>
      </c>
      <c r="K10">
        <v>8.6147092337289247E-2</v>
      </c>
      <c r="L10" s="1">
        <f t="shared" si="0"/>
        <v>11.324570647699364</v>
      </c>
      <c r="P10">
        <v>3</v>
      </c>
      <c r="Q10" t="s">
        <v>82</v>
      </c>
      <c r="R10" t="s">
        <v>41</v>
      </c>
      <c r="S10" t="s">
        <v>12</v>
      </c>
      <c r="T10" t="s">
        <v>15</v>
      </c>
      <c r="U10">
        <v>1.95</v>
      </c>
      <c r="V10">
        <v>8767</v>
      </c>
      <c r="W10">
        <v>8766.9439999999995</v>
      </c>
      <c r="X10">
        <v>5</v>
      </c>
      <c r="Y10">
        <v>4.4660000000000002</v>
      </c>
      <c r="Z10">
        <v>-10.7</v>
      </c>
      <c r="AA10">
        <v>73</v>
      </c>
      <c r="AB10">
        <v>140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2.73</v>
      </c>
      <c r="G11">
        <v>7801</v>
      </c>
      <c r="H11">
        <v>7801.0050000000001</v>
      </c>
      <c r="I11" cm="1">
        <f t="array" ref="I11">TREND($X$8:$X$12,$W$8:$W$12,H11)</f>
        <v>3.926755931878446</v>
      </c>
      <c r="J11">
        <f>I11/(2/0.2)*3</f>
        <v>1.1780267795635337</v>
      </c>
      <c r="K11">
        <v>8.9367056756270047E-2</v>
      </c>
      <c r="L11" s="1">
        <f t="shared" si="0"/>
        <v>13.181890758429645</v>
      </c>
      <c r="P11">
        <v>4</v>
      </c>
      <c r="Q11" t="s">
        <v>83</v>
      </c>
      <c r="R11" t="s">
        <v>42</v>
      </c>
      <c r="S11" t="s">
        <v>12</v>
      </c>
      <c r="T11" t="s">
        <v>16</v>
      </c>
      <c r="U11">
        <v>1.95</v>
      </c>
      <c r="V11">
        <v>21256</v>
      </c>
      <c r="W11">
        <v>21255.728999999999</v>
      </c>
      <c r="X11">
        <v>10</v>
      </c>
      <c r="Y11">
        <v>10.779</v>
      </c>
      <c r="Z11">
        <v>7.8</v>
      </c>
      <c r="AA11">
        <v>234</v>
      </c>
      <c r="AB11">
        <v>261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2.73</v>
      </c>
      <c r="G12">
        <v>6149</v>
      </c>
      <c r="H12">
        <v>6148.5420000000004</v>
      </c>
      <c r="I12" cm="1">
        <f t="array" ref="I12">TREND($X$8:$X$12,$W$8:$W$12,H12)</f>
        <v>3.1461162700097516</v>
      </c>
      <c r="J12">
        <f>I12/(2/0.2)*3</f>
        <v>0.94383488100292556</v>
      </c>
      <c r="K12">
        <v>9.3392012279996037E-2</v>
      </c>
      <c r="L12" s="1">
        <f t="shared" si="0"/>
        <v>10.106162807299194</v>
      </c>
      <c r="P12">
        <v>5</v>
      </c>
      <c r="Q12" t="s">
        <v>84</v>
      </c>
      <c r="R12" t="s">
        <v>43</v>
      </c>
      <c r="S12" t="s">
        <v>12</v>
      </c>
      <c r="T12" t="s">
        <v>17</v>
      </c>
      <c r="U12">
        <v>1.94</v>
      </c>
      <c r="V12">
        <v>41703</v>
      </c>
      <c r="W12">
        <v>41702.972999999998</v>
      </c>
      <c r="X12">
        <v>20</v>
      </c>
      <c r="Y12">
        <v>21.106000000000002</v>
      </c>
      <c r="Z12">
        <v>5.5</v>
      </c>
      <c r="AA12">
        <v>591</v>
      </c>
      <c r="AB12">
        <v>434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2.73</v>
      </c>
      <c r="G13">
        <v>7272</v>
      </c>
      <c r="H13">
        <v>7271.63</v>
      </c>
      <c r="I13" cm="1">
        <f t="array" ref="I13">TREND($X$8:$X$12,$W$8:$W$12,H13)</f>
        <v>3.6766740111324201</v>
      </c>
      <c r="J13">
        <f>I13/(2/0.2)*3</f>
        <v>1.103002203339726</v>
      </c>
      <c r="K13">
        <v>0.18918595374467503</v>
      </c>
      <c r="L13" s="1">
        <f t="shared" si="0"/>
        <v>5.8302542102482695</v>
      </c>
      <c r="P13">
        <v>6</v>
      </c>
      <c r="Q13" t="s">
        <v>85</v>
      </c>
      <c r="R13" t="s">
        <v>44</v>
      </c>
      <c r="S13" t="s">
        <v>12</v>
      </c>
      <c r="T13" t="s">
        <v>18</v>
      </c>
      <c r="U13">
        <v>1.95</v>
      </c>
      <c r="V13">
        <v>90759</v>
      </c>
      <c r="W13">
        <v>90759.233999999997</v>
      </c>
      <c r="X13">
        <v>50</v>
      </c>
      <c r="Y13">
        <v>45.838999999999999</v>
      </c>
      <c r="Z13">
        <v>-8.3000000000000007</v>
      </c>
      <c r="AA13">
        <v>857</v>
      </c>
      <c r="AB13">
        <v>659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2.73</v>
      </c>
      <c r="G14">
        <v>2767</v>
      </c>
      <c r="H14">
        <v>2766.8330000000001</v>
      </c>
      <c r="I14" cm="1">
        <f t="array" ref="I14">TREND($X$8:$X$12,$W$8:$W$12,H14)</f>
        <v>1.5485639070834274</v>
      </c>
      <c r="J14">
        <f>I14/(2/0.2)*3</f>
        <v>0.46456917212502818</v>
      </c>
      <c r="K14">
        <v>9.2587021175250833E-2</v>
      </c>
      <c r="L14" s="1">
        <f t="shared" si="0"/>
        <v>5.0176489774488049</v>
      </c>
      <c r="P14">
        <v>7</v>
      </c>
      <c r="Q14" t="s">
        <v>86</v>
      </c>
      <c r="R14" t="s">
        <v>45</v>
      </c>
      <c r="S14" t="s">
        <v>12</v>
      </c>
      <c r="T14" t="s">
        <v>19</v>
      </c>
      <c r="U14">
        <v>1.95</v>
      </c>
      <c r="V14">
        <v>213903</v>
      </c>
      <c r="W14">
        <v>213902.70300000001</v>
      </c>
      <c r="X14">
        <v>100</v>
      </c>
      <c r="Y14">
        <v>107.654</v>
      </c>
      <c r="Z14">
        <v>7.7</v>
      </c>
      <c r="AA14">
        <v>2083</v>
      </c>
      <c r="AB14">
        <v>2574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2.72</v>
      </c>
      <c r="G15">
        <v>4018</v>
      </c>
      <c r="H15">
        <v>4017.8090000000002</v>
      </c>
      <c r="I15" cm="1">
        <f t="array" ref="I15">TREND($X$8:$X$12,$W$8:$W$12,H15)</f>
        <v>2.1395371885704275</v>
      </c>
      <c r="J15">
        <f>I15/(2/0.2)*3</f>
        <v>0.6418611565711283</v>
      </c>
      <c r="K15">
        <v>0.14974138961216016</v>
      </c>
      <c r="L15" s="1">
        <f t="shared" si="0"/>
        <v>4.2864645388532194</v>
      </c>
      <c r="P15">
        <v>8</v>
      </c>
      <c r="Q15" t="s">
        <v>87</v>
      </c>
      <c r="R15" t="s">
        <v>46</v>
      </c>
      <c r="S15" t="s">
        <v>12</v>
      </c>
      <c r="T15" t="s">
        <v>20</v>
      </c>
      <c r="U15">
        <v>1.95</v>
      </c>
      <c r="V15">
        <v>386442</v>
      </c>
      <c r="W15">
        <v>386442</v>
      </c>
      <c r="X15">
        <v>200</v>
      </c>
      <c r="Y15">
        <v>193.625</v>
      </c>
      <c r="Z15">
        <v>-3.2</v>
      </c>
      <c r="AA15">
        <v>4217</v>
      </c>
      <c r="AB15">
        <v>4928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2.73</v>
      </c>
      <c r="G16">
        <v>18129</v>
      </c>
      <c r="H16">
        <v>18129.342000000001</v>
      </c>
      <c r="I16" cm="1">
        <f t="array" ref="I16">TREND($X$8:$X$12,$W$8:$W$12,H16)</f>
        <v>8.8059632141872974</v>
      </c>
      <c r="J16">
        <f>I16/(2/0.2)*3</f>
        <v>2.6417889642561896</v>
      </c>
      <c r="K16">
        <v>0.19965083810636269</v>
      </c>
      <c r="L16" s="1">
        <f t="shared" si="0"/>
        <v>13.232045451513676</v>
      </c>
      <c r="P16">
        <v>9</v>
      </c>
      <c r="Q16" t="s">
        <v>88</v>
      </c>
      <c r="R16" t="s">
        <v>47</v>
      </c>
      <c r="S16" t="s">
        <v>12</v>
      </c>
      <c r="T16" t="s">
        <v>21</v>
      </c>
      <c r="U16">
        <v>1.95</v>
      </c>
      <c r="V16">
        <v>1016164</v>
      </c>
      <c r="W16">
        <v>1016164.063</v>
      </c>
      <c r="X16">
        <v>500</v>
      </c>
      <c r="Y16">
        <v>501.34800000000001</v>
      </c>
      <c r="Z16">
        <v>0.3</v>
      </c>
      <c r="AA16">
        <v>6763</v>
      </c>
      <c r="AB16">
        <v>12669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2.73</v>
      </c>
      <c r="G17">
        <v>16866</v>
      </c>
      <c r="H17">
        <v>16865.668000000001</v>
      </c>
      <c r="I17" cm="1">
        <f t="array" ref="I17">TREND($X$8:$X$12,$W$8:$W$12,H17)</f>
        <v>8.2089912734707653</v>
      </c>
      <c r="J17">
        <f>I17/(2/0.2)*3</f>
        <v>2.4626973820412292</v>
      </c>
      <c r="K17">
        <v>0.22058060682973793</v>
      </c>
      <c r="L17" s="1">
        <f t="shared" si="0"/>
        <v>11.164614230761181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2.73</v>
      </c>
      <c r="G18">
        <v>10695</v>
      </c>
      <c r="H18">
        <v>10695.071</v>
      </c>
      <c r="I18" cm="1">
        <f t="array" ref="I18">TREND($X$8:$X$12,$W$8:$W$12,H18)</f>
        <v>5.2939409784820226</v>
      </c>
      <c r="J18">
        <f>I18/(2/0.2)*3</f>
        <v>1.5881822935446066</v>
      </c>
      <c r="K18">
        <v>0.12720163867929454</v>
      </c>
      <c r="L18" s="1">
        <f t="shared" si="0"/>
        <v>12.485549007342509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2.73</v>
      </c>
      <c r="G19">
        <v>6955</v>
      </c>
      <c r="H19">
        <v>6955.0079999999998</v>
      </c>
      <c r="I19" cm="1">
        <f t="array" ref="I19">TREND($X$8:$X$12,$W$8:$W$12,H19)</f>
        <v>3.5270986856817506</v>
      </c>
      <c r="J19">
        <f>I19/(2/0.2)*3</f>
        <v>1.0581296057045251</v>
      </c>
      <c r="K19">
        <v>0.1594012828691026</v>
      </c>
      <c r="L19" s="1">
        <f t="shared" si="0"/>
        <v>6.6381498734451316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2.73</v>
      </c>
      <c r="G20">
        <v>9554</v>
      </c>
      <c r="H20">
        <v>9554.2530000000006</v>
      </c>
      <c r="I20" cm="1">
        <f t="array" ref="I20">TREND($X$8:$X$12,$W$8:$W$12,H20)</f>
        <v>4.7550074121790438</v>
      </c>
      <c r="J20">
        <f>I20/(2/0.2)*3</f>
        <v>1.426502223653713</v>
      </c>
      <c r="K20">
        <v>0.14491144298368897</v>
      </c>
      <c r="L20" s="1">
        <f t="shared" si="0"/>
        <v>9.8439584499498647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2.73</v>
      </c>
      <c r="G21">
        <v>13801</v>
      </c>
      <c r="H21">
        <v>13800.942999999999</v>
      </c>
      <c r="I21" cm="1">
        <f t="array" ref="I21">TREND($X$8:$X$12,$W$8:$W$12,H21)</f>
        <v>6.7611852483309978</v>
      </c>
      <c r="J21">
        <f>I21/(2/0.2)*3</f>
        <v>2.0283555744992992</v>
      </c>
      <c r="K21">
        <v>0.24553533107683917</v>
      </c>
      <c r="L21" s="1">
        <f t="shared" si="0"/>
        <v>8.2609519599626768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2.72</v>
      </c>
      <c r="G22">
        <v>12597</v>
      </c>
      <c r="H22">
        <v>12596.813</v>
      </c>
      <c r="I22" cm="1">
        <f t="array" ref="I22">TREND($X$8:$X$12,$W$8:$W$12,H22)</f>
        <v>6.1923424748190028</v>
      </c>
      <c r="J22">
        <f>I22/(2/0.2)*3</f>
        <v>1.8577027424457007</v>
      </c>
      <c r="K22">
        <v>0.3002747261995129</v>
      </c>
      <c r="L22" s="1">
        <f t="shared" si="0"/>
        <v>6.1866770006190226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2.72</v>
      </c>
      <c r="G23">
        <v>6755</v>
      </c>
      <c r="H23">
        <v>6754.9489999999996</v>
      </c>
      <c r="I23" cm="1">
        <f t="array" ref="I23">TREND($X$8:$X$12,$W$8:$W$12,H23)</f>
        <v>3.4325888599768546</v>
      </c>
      <c r="J23">
        <f>I23/(2/0.2)*3</f>
        <v>1.0297766579930563</v>
      </c>
      <c r="K23">
        <v>0.17147614944028067</v>
      </c>
      <c r="L23" s="1">
        <f t="shared" si="0"/>
        <v>6.0053637858931079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2.73</v>
      </c>
      <c r="G24">
        <v>4771</v>
      </c>
      <c r="H24">
        <v>4770.857</v>
      </c>
      <c r="I24" cm="1">
        <f t="array" ref="I24">TREND($X$8:$X$12,$W$8:$W$12,H24)</f>
        <v>2.4952844192744714</v>
      </c>
      <c r="J24">
        <f>I24/(2/0.2)*3</f>
        <v>0.74858532578234138</v>
      </c>
      <c r="K24">
        <v>0.18113604269722305</v>
      </c>
      <c r="L24" s="1">
        <f t="shared" si="0"/>
        <v>4.1327243028801011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2.72</v>
      </c>
      <c r="G25">
        <v>7277</v>
      </c>
      <c r="H25">
        <v>7277.076</v>
      </c>
      <c r="I25" cm="1">
        <f t="array" ref="I25">TREND($X$8:$X$12,$W$8:$W$12,H25)</f>
        <v>3.679246754727004</v>
      </c>
      <c r="J25">
        <f>I25/(2/0.2)*3</f>
        <v>1.1037740264181013</v>
      </c>
      <c r="K25">
        <v>8.2927127918308433E-2</v>
      </c>
      <c r="L25" s="1">
        <f t="shared" si="0"/>
        <v>13.310168266112264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2.72</v>
      </c>
      <c r="G26">
        <v>23386</v>
      </c>
      <c r="H26">
        <v>23386.1</v>
      </c>
      <c r="I26" cm="1">
        <f t="array" ref="I26">TREND($X$8:$X$12,$W$8:$W$12,H26)</f>
        <v>11.289307039522905</v>
      </c>
      <c r="J26">
        <f>I26/(2/0.2)*3</f>
        <v>3.3867921118568711</v>
      </c>
      <c r="K26">
        <v>0.11593176321286171</v>
      </c>
      <c r="L26" s="1">
        <f t="shared" si="0"/>
        <v>29.213668609856299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2.73</v>
      </c>
      <c r="G27">
        <v>12567</v>
      </c>
      <c r="H27">
        <v>12567.287</v>
      </c>
      <c r="I27" cm="1">
        <f t="array" ref="I27">TREND($X$8:$X$12,$W$8:$W$12,H27)</f>
        <v>6.1783941040195751</v>
      </c>
      <c r="J27">
        <f>I27/(2/0.2)*3</f>
        <v>1.8535182312058727</v>
      </c>
      <c r="K27">
        <v>0.17469611385926145</v>
      </c>
      <c r="L27" s="1">
        <f t="shared" si="0"/>
        <v>10.609956857421011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2.72</v>
      </c>
      <c r="G28">
        <v>13307</v>
      </c>
      <c r="H28">
        <v>13306.89</v>
      </c>
      <c r="I28" cm="1">
        <f t="array" ref="I28">TREND($X$8:$X$12,$W$8:$W$12,H28)</f>
        <v>6.5277897853976583</v>
      </c>
      <c r="J28">
        <f>I28/(2/0.2)*3</f>
        <v>1.9583369356192977</v>
      </c>
      <c r="K28">
        <v>0.17952606048773259</v>
      </c>
      <c r="L28" s="1">
        <f t="shared" si="0"/>
        <v>10.908371354548356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2.72</v>
      </c>
      <c r="G29">
        <v>23682</v>
      </c>
      <c r="H29">
        <v>23681.812999999998</v>
      </c>
      <c r="I29" cm="1">
        <f t="array" ref="I29">TREND($X$8:$X$12,$W$8:$W$12,H29)</f>
        <v>11.429004749141926</v>
      </c>
      <c r="J29">
        <f>I29/(2/0.2)*3</f>
        <v>3.4287014247425782</v>
      </c>
      <c r="K29">
        <v>0.19723586479212707</v>
      </c>
      <c r="L29" s="1">
        <f t="shared" si="0"/>
        <v>17.383762473200257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2.73</v>
      </c>
      <c r="G30">
        <v>16359</v>
      </c>
      <c r="H30">
        <v>16358.896000000001</v>
      </c>
      <c r="I30" cm="1">
        <f t="array" ref="I30">TREND($X$8:$X$12,$W$8:$W$12,H30)</f>
        <v>7.9695872307027749</v>
      </c>
      <c r="J30">
        <f>I30/(2/0.2)*3</f>
        <v>2.3908761692108325</v>
      </c>
      <c r="K30">
        <v>0.28417490410460888</v>
      </c>
      <c r="L30" s="1">
        <f t="shared" si="0"/>
        <v>8.4133965901884018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2.73</v>
      </c>
      <c r="G31">
        <v>12731</v>
      </c>
      <c r="H31">
        <v>12731.074000000001</v>
      </c>
      <c r="I31" cm="1">
        <f t="array" ref="I31">TREND($X$8:$X$12,$W$8:$W$12,H31)</f>
        <v>6.2557686826325236</v>
      </c>
      <c r="J31">
        <f>I31/(2/0.2)*3</f>
        <v>1.876730604789757</v>
      </c>
      <c r="K31">
        <v>0.17872106938298743</v>
      </c>
      <c r="L31" s="1">
        <f t="shared" si="0"/>
        <v>10.500891759818465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2.72</v>
      </c>
      <c r="G32">
        <v>20432</v>
      </c>
      <c r="H32">
        <v>20431.828000000001</v>
      </c>
      <c r="I32" cm="1">
        <f t="array" ref="I32">TREND($X$8:$X$12,$W$8:$W$12,H32)</f>
        <v>9.8936800904486137</v>
      </c>
      <c r="J32">
        <f>I32/(2/0.2)*3</f>
        <v>2.9681040271345838</v>
      </c>
      <c r="K32">
        <v>0.19884584700161748</v>
      </c>
      <c r="L32" s="1">
        <f t="shared" si="0"/>
        <v>14.926658373259565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2.72</v>
      </c>
      <c r="G33">
        <v>14288</v>
      </c>
      <c r="H33">
        <v>14288.210999999999</v>
      </c>
      <c r="I33" cm="1">
        <f t="array" ref="I33">TREND($X$8:$X$12,$W$8:$W$12,H33)</f>
        <v>6.9913754109908783</v>
      </c>
      <c r="J33">
        <f>I33/(2/0.2)*3</f>
        <v>2.0974126232972639</v>
      </c>
      <c r="K33">
        <v>0.17469611385926145</v>
      </c>
      <c r="L33" s="1">
        <f t="shared" si="0"/>
        <v>12.006063426156004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2.72</v>
      </c>
      <c r="G34">
        <v>16312</v>
      </c>
      <c r="H34">
        <v>16311.758</v>
      </c>
      <c r="I34" cm="1">
        <f t="array" ref="I34">TREND($X$8:$X$12,$W$8:$W$12,H34)</f>
        <v>7.9473187790756175</v>
      </c>
      <c r="J34">
        <f>I34/(2/0.2)*3</f>
        <v>2.3841956337226851</v>
      </c>
      <c r="K34">
        <v>0.24875529549582001</v>
      </c>
      <c r="L34" s="1">
        <f t="shared" si="0"/>
        <v>9.584502026260374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2.73</v>
      </c>
      <c r="G35">
        <v>17486</v>
      </c>
      <c r="H35">
        <v>17485.623</v>
      </c>
      <c r="I35" cm="1">
        <f t="array" ref="I35">TREND($X$8:$X$12,$W$8:$W$12,H35)</f>
        <v>8.501864070969896</v>
      </c>
      <c r="J35">
        <f>I35/(2/0.2)*3</f>
        <v>2.5505592212909685</v>
      </c>
      <c r="K35">
        <v>0.18274602490671343</v>
      </c>
      <c r="L35" s="1">
        <f t="shared" si="0"/>
        <v>13.95685198949173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2.73</v>
      </c>
      <c r="G36">
        <v>28674</v>
      </c>
      <c r="H36">
        <v>28674.129000000001</v>
      </c>
      <c r="I36" cm="1">
        <f t="array" ref="I36">TREND($X$8:$X$12,$W$8:$W$12,H36)</f>
        <v>13.787423590702479</v>
      </c>
      <c r="J36">
        <f>I36/(2/0.2)*3</f>
        <v>4.1362270772107435</v>
      </c>
      <c r="K36">
        <v>0.18113604269722305</v>
      </c>
      <c r="L36" s="1">
        <f t="shared" si="0"/>
        <v>22.834920182752533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2.73</v>
      </c>
      <c r="G37">
        <v>21172</v>
      </c>
      <c r="H37">
        <v>21171.535</v>
      </c>
      <c r="I37" cm="1">
        <f t="array" ref="I37">TREND($X$8:$X$12,$W$8:$W$12,H37)</f>
        <v>10.243124902442531</v>
      </c>
      <c r="J37">
        <f>I37/(2/0.2)*3</f>
        <v>3.072937470732759</v>
      </c>
      <c r="K37">
        <v>0.12156670094607813</v>
      </c>
      <c r="L37" s="1">
        <f t="shared" si="0"/>
        <v>25.277789450713026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2.73</v>
      </c>
      <c r="G38">
        <v>23619</v>
      </c>
      <c r="H38">
        <v>23618.838</v>
      </c>
      <c r="I38" cm="1">
        <f t="array" ref="I38">TREND($X$8:$X$12,$W$8:$W$12,H38)</f>
        <v>11.399254744024608</v>
      </c>
      <c r="J38">
        <f>I38/(2/0.2)*3</f>
        <v>3.4197764232073822</v>
      </c>
      <c r="K38">
        <v>8.8562065651524843E-2</v>
      </c>
      <c r="L38" s="1">
        <f t="shared" si="0"/>
        <v>38.614460921265803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2.73</v>
      </c>
      <c r="G39">
        <v>26287</v>
      </c>
      <c r="H39">
        <v>26287.07</v>
      </c>
      <c r="I39" cm="1">
        <f t="array" ref="I39">TREND($X$8:$X$12,$W$8:$W$12,H39)</f>
        <v>12.659753603162288</v>
      </c>
      <c r="J39">
        <f>I39/(2/0.2)*3</f>
        <v>3.7979260809486868</v>
      </c>
      <c r="K39">
        <v>0.13766652304098212</v>
      </c>
      <c r="L39" s="1">
        <f t="shared" si="0"/>
        <v>27.587869563743375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2.73</v>
      </c>
      <c r="G40">
        <v>17544</v>
      </c>
      <c r="H40">
        <v>17543.52</v>
      </c>
      <c r="I40" cm="1">
        <f t="array" ref="I40">TREND($X$8:$X$12,$W$8:$W$12,H40)</f>
        <v>8.5292151792871245</v>
      </c>
      <c r="J40">
        <f>I40/(2/0.2)*3</f>
        <v>2.558764553786137</v>
      </c>
      <c r="K40">
        <v>8.2122136813563229E-2</v>
      </c>
      <c r="L40" s="1">
        <f t="shared" si="0"/>
        <v>31.158036712989347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2.73</v>
      </c>
      <c r="G41">
        <v>9679</v>
      </c>
      <c r="H41">
        <v>9678.6139999999996</v>
      </c>
      <c r="I41" cm="1">
        <f t="array" ref="I41">TREND($X$8:$X$12,$W$8:$W$12,H41)</f>
        <v>4.813756763292897</v>
      </c>
      <c r="J41">
        <f>I41/(2/0.2)*3</f>
        <v>1.4441270289878689</v>
      </c>
      <c r="K41">
        <v>0.10224691443219328</v>
      </c>
      <c r="L41" s="1">
        <f t="shared" si="0"/>
        <v>14.123917939309216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2.72</v>
      </c>
      <c r="G42">
        <v>18518</v>
      </c>
      <c r="H42">
        <v>18518.379000000001</v>
      </c>
      <c r="I42" cm="1">
        <f t="array" ref="I42">TREND($X$8:$X$12,$W$8:$W$12,H42)</f>
        <v>8.9897480929618361</v>
      </c>
      <c r="J42">
        <f>I42/(2/0.2)*3</f>
        <v>2.6969244278885505</v>
      </c>
      <c r="K42">
        <v>0.12639664757454935</v>
      </c>
      <c r="L42" s="1">
        <f t="shared" si="0"/>
        <v>21.336993343101852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2.73</v>
      </c>
      <c r="G43">
        <v>7613</v>
      </c>
      <c r="H43">
        <v>7613.1549999999997</v>
      </c>
      <c r="I43" cm="1">
        <f t="array" ref="I43">TREND($X$8:$X$12,$W$8:$W$12,H43)</f>
        <v>3.8380137570267041</v>
      </c>
      <c r="J43">
        <f>I43/(2/0.2)*3</f>
        <v>1.1514041271080113</v>
      </c>
      <c r="K43">
        <v>0.15054638071690538</v>
      </c>
      <c r="L43" s="1">
        <f t="shared" si="0"/>
        <v>7.6481687678242283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2.73</v>
      </c>
      <c r="G44">
        <v>9873</v>
      </c>
      <c r="H44">
        <v>9873.3169999999991</v>
      </c>
      <c r="I44" cm="1">
        <f t="array" ref="I44">TREND($X$8:$X$12,$W$8:$W$12,H44)</f>
        <v>4.9057363622822967</v>
      </c>
      <c r="J44">
        <f>I44/(2/0.2)*3</f>
        <v>1.4717209086846892</v>
      </c>
      <c r="K44">
        <v>0.14893639850741497</v>
      </c>
      <c r="L44" s="1">
        <f t="shared" si="0"/>
        <v>9.881539525822614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2.73</v>
      </c>
      <c r="G45">
        <v>10937</v>
      </c>
      <c r="H45">
        <v>10937.206</v>
      </c>
      <c r="I45" cm="1">
        <f t="array" ref="I45">TREND($X$8:$X$12,$W$8:$W$12,H45)</f>
        <v>5.4083279175702668</v>
      </c>
      <c r="J45">
        <f>I45/(2/0.2)*3</f>
        <v>1.6224983752710802</v>
      </c>
      <c r="K45">
        <v>4.0262599366812736E-2</v>
      </c>
      <c r="L45" s="1">
        <f t="shared" si="0"/>
        <v>40.297904278094308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2.72</v>
      </c>
      <c r="G46">
        <v>12332</v>
      </c>
      <c r="H46">
        <v>12331.708000000001</v>
      </c>
      <c r="I46" cm="1">
        <f t="array" ref="I46">TREND($X$8:$X$12,$W$8:$W$12,H46)</f>
        <v>6.0671042833679989</v>
      </c>
      <c r="J46">
        <f>I46/(2/0.2)*3</f>
        <v>1.8201312850103997</v>
      </c>
      <c r="K46">
        <v>0.11351678989862611</v>
      </c>
      <c r="L46" s="1">
        <f t="shared" si="0"/>
        <v>16.034027095338331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2.72</v>
      </c>
      <c r="G47">
        <v>6505</v>
      </c>
      <c r="H47">
        <v>6504.8410000000003</v>
      </c>
      <c r="I47" cm="1">
        <f t="array" ref="I47">TREND($X$8:$X$12,$W$8:$W$12,H47)</f>
        <v>3.3144353978111933</v>
      </c>
      <c r="J47">
        <f>I47/(2/0.2)*3</f>
        <v>0.99433061934335809</v>
      </c>
      <c r="K47">
        <v>0.10144192332744809</v>
      </c>
      <c r="L47" s="1">
        <f t="shared" si="0"/>
        <v>9.8019693113834414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2.72</v>
      </c>
      <c r="G48">
        <v>9132</v>
      </c>
      <c r="H48">
        <v>9132.0419999999995</v>
      </c>
      <c r="I48" cm="1">
        <f t="array" ref="I48">TREND($X$8:$X$12,$W$8:$W$12,H48)</f>
        <v>4.5555508117727141</v>
      </c>
      <c r="J48">
        <f>I48/(2/0.2)*3</f>
        <v>1.3666652435318141</v>
      </c>
      <c r="K48">
        <v>8.3732119023053622E-2</v>
      </c>
      <c r="L48" s="1">
        <f t="shared" si="0"/>
        <v>16.321875756608236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2.72</v>
      </c>
      <c r="G49">
        <v>12575</v>
      </c>
      <c r="H49">
        <v>12574.583000000001</v>
      </c>
      <c r="I49" cm="1">
        <f t="array" ref="I49">TREND($X$8:$X$12,$W$8:$W$12,H49)</f>
        <v>6.1818408056842991</v>
      </c>
      <c r="J49">
        <f>I49/(2/0.2)*3</f>
        <v>1.8545522417052895</v>
      </c>
      <c r="K49">
        <v>0.22299558014397355</v>
      </c>
      <c r="L49" s="1">
        <f t="shared" si="0"/>
        <v>8.3165425992206998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2.73</v>
      </c>
      <c r="G50">
        <v>9194</v>
      </c>
      <c r="H50">
        <v>9193.8610000000008</v>
      </c>
      <c r="I50" cm="1">
        <f t="array" ref="I50">TREND($X$8:$X$12,$W$8:$W$12,H50)</f>
        <v>4.5847547111986389</v>
      </c>
      <c r="J50">
        <f>I50/(2/0.2)*3</f>
        <v>1.3754264133595915</v>
      </c>
      <c r="K50">
        <v>0.1175417454223521</v>
      </c>
      <c r="L50" s="1">
        <f t="shared" si="0"/>
        <v>11.701599362995644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2.73</v>
      </c>
      <c r="G51">
        <v>10204</v>
      </c>
      <c r="H51">
        <v>10204.153</v>
      </c>
      <c r="I51" cm="1">
        <f t="array" ref="I51">TREND($X$8:$X$12,$W$8:$W$12,H51)</f>
        <v>5.062026520170245</v>
      </c>
      <c r="J51">
        <f>I51/(2/0.2)*3</f>
        <v>1.5186079560510737</v>
      </c>
      <c r="K51">
        <v>0.11351678989862611</v>
      </c>
      <c r="L51" s="1">
        <f t="shared" si="0"/>
        <v>13.377826816695892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2.72</v>
      </c>
      <c r="G52">
        <v>9041</v>
      </c>
      <c r="H52">
        <v>9041.232</v>
      </c>
      <c r="I52" cm="1">
        <f t="array" ref="I52">TREND($X$8:$X$12,$W$8:$W$12,H52)</f>
        <v>4.512651280773051</v>
      </c>
      <c r="J52">
        <f>I52/(2/0.2)*3</f>
        <v>1.3537953842319155</v>
      </c>
      <c r="K52">
        <v>8.4537110127798853E-2</v>
      </c>
      <c r="L52" s="1">
        <f t="shared" si="0"/>
        <v>16.014214138445439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2.73</v>
      </c>
      <c r="G53">
        <v>9204</v>
      </c>
      <c r="H53">
        <v>9204.1830000000009</v>
      </c>
      <c r="I53" cm="1">
        <f t="array" ref="I53">TREND($X$8:$X$12,$W$8:$W$12,H53)</f>
        <v>4.5896309248202503</v>
      </c>
      <c r="J53">
        <f>I53/(2/0.2)*3</f>
        <v>1.3768892774460753</v>
      </c>
      <c r="K53">
        <v>0.1078818521654097</v>
      </c>
      <c r="L53" s="1">
        <f t="shared" si="0"/>
        <v>12.762936951944074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2.72</v>
      </c>
      <c r="G54">
        <v>12448</v>
      </c>
      <c r="H54">
        <v>12447.991</v>
      </c>
      <c r="I54" cm="1">
        <f t="array" ref="I54">TREND($X$8:$X$12,$W$8:$W$12,H54)</f>
        <v>6.122037508378833</v>
      </c>
      <c r="J54">
        <f>I54/(2/0.2)*3</f>
        <v>1.8366112525136498</v>
      </c>
      <c r="K54">
        <v>0.14813140740266978</v>
      </c>
      <c r="L54" s="1">
        <f t="shared" si="0"/>
        <v>12.39852698841332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2.73</v>
      </c>
      <c r="G55">
        <v>22838</v>
      </c>
      <c r="H55">
        <v>22838.013999999999</v>
      </c>
      <c r="I55" cm="1">
        <f t="array" ref="I55">TREND($X$8:$X$12,$W$8:$W$12,H55)</f>
        <v>11.03038585961451</v>
      </c>
      <c r="J55">
        <f>I55/(2/0.2)*3</f>
        <v>3.3091157578843533</v>
      </c>
      <c r="K55">
        <v>6.6022314718659172E-2</v>
      </c>
      <c r="L55" s="1">
        <f t="shared" si="0"/>
        <v>50.121171485511908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2.72</v>
      </c>
      <c r="G56">
        <v>16002</v>
      </c>
      <c r="H56">
        <v>16002.365</v>
      </c>
      <c r="I56" cm="1">
        <f t="array" ref="I56">TREND($X$8:$X$12,$W$8:$W$12,H56)</f>
        <v>7.8011585038352393</v>
      </c>
      <c r="J56">
        <f>I56/(2/0.2)*3</f>
        <v>2.3403475511505718</v>
      </c>
      <c r="K56">
        <v>0.22621554456295434</v>
      </c>
      <c r="L56" s="1">
        <f t="shared" si="0"/>
        <v>10.345653105634693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2.72</v>
      </c>
      <c r="G57">
        <v>12192</v>
      </c>
      <c r="H57">
        <v>12191.539000000001</v>
      </c>
      <c r="I57" cm="1">
        <f t="array" ref="I57">TREND($X$8:$X$12,$W$8:$W$12,H57)</f>
        <v>6.0008870786472439</v>
      </c>
      <c r="J57">
        <f>I57/(2/0.2)*3</f>
        <v>1.800266123594173</v>
      </c>
      <c r="K57">
        <v>0.21897062462024752</v>
      </c>
      <c r="L57" s="1">
        <f t="shared" si="0"/>
        <v>8.221496041838062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2.72</v>
      </c>
      <c r="G58">
        <v>18967</v>
      </c>
      <c r="H58">
        <v>18966.539000000001</v>
      </c>
      <c r="I58" cm="1">
        <f t="array" ref="I58">TREND($X$8:$X$12,$W$8:$W$12,H58)</f>
        <v>9.2014632544287345</v>
      </c>
      <c r="J58">
        <f>I58/(2/0.2)*3</f>
        <v>2.7604389763286203</v>
      </c>
      <c r="K58">
        <v>0.11271179879388092</v>
      </c>
      <c r="L58" s="1">
        <f t="shared" si="0"/>
        <v>24.491126979321027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2.72</v>
      </c>
      <c r="G59">
        <v>34855</v>
      </c>
      <c r="H59">
        <v>34854.565999999999</v>
      </c>
      <c r="I59" cm="1">
        <f t="array" ref="I59">TREND($X$8:$X$12,$W$8:$W$12,H59)</f>
        <v>16.707122397804827</v>
      </c>
      <c r="J59">
        <f>I59/(2/0.2)*3</f>
        <v>5.0121367193414486</v>
      </c>
      <c r="K59">
        <v>9.1782030070505644E-2</v>
      </c>
      <c r="L59" s="1">
        <f t="shared" si="0"/>
        <v>54.609128992801715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2.73</v>
      </c>
      <c r="G60">
        <v>9695</v>
      </c>
      <c r="H60">
        <v>9694.6129999999994</v>
      </c>
      <c r="I60" cm="1">
        <f t="array" ref="I60">TREND($X$8:$X$12,$W$8:$W$12,H60)</f>
        <v>4.8213148471654179</v>
      </c>
      <c r="J60">
        <f>I60/(2/0.2)*3</f>
        <v>1.4463944541496252</v>
      </c>
      <c r="K60">
        <v>0.16584121170706426</v>
      </c>
      <c r="L60" s="1">
        <f t="shared" si="0"/>
        <v>8.7215622658647867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2.72</v>
      </c>
      <c r="G61">
        <v>14179</v>
      </c>
      <c r="H61">
        <v>14178.948</v>
      </c>
      <c r="I61" cm="1">
        <f t="array" ref="I61">TREND($X$8:$X$12,$W$8:$W$12,H61)</f>
        <v>6.9397585025488997</v>
      </c>
      <c r="J61">
        <f>I61/(2/0.2)*3</f>
        <v>2.0819275507646697</v>
      </c>
      <c r="K61">
        <v>0.20850574025855992</v>
      </c>
      <c r="L61" s="1">
        <f t="shared" si="0"/>
        <v>9.9849891335507195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2.73</v>
      </c>
      <c r="G62">
        <v>12548</v>
      </c>
      <c r="H62">
        <v>12547.634</v>
      </c>
      <c r="I62" cm="1">
        <f t="array" ref="I62">TREND($X$8:$X$12,$W$8:$W$12,H62)</f>
        <v>6.1691098348560871</v>
      </c>
      <c r="J62">
        <f>I62/(2/0.2)*3</f>
        <v>1.850732950456826</v>
      </c>
      <c r="K62">
        <v>0.15457133624063138</v>
      </c>
      <c r="L62" s="1">
        <f t="shared" si="0"/>
        <v>11.973325685531165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2.72</v>
      </c>
      <c r="G63">
        <v>13786</v>
      </c>
      <c r="H63">
        <v>13786.322</v>
      </c>
      <c r="I63" cm="1">
        <f t="array" ref="I63">TREND($X$8:$X$12,$W$8:$W$12,H63)</f>
        <v>6.7542781451182892</v>
      </c>
      <c r="J63">
        <f>I63/(2/0.2)*3</f>
        <v>2.0262834435354868</v>
      </c>
      <c r="K63">
        <v>0.22863051787718996</v>
      </c>
      <c r="L63" s="1">
        <f t="shared" si="0"/>
        <v>8.8626989185403282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2.73</v>
      </c>
      <c r="G64">
        <v>7170</v>
      </c>
      <c r="H64">
        <v>7169.817</v>
      </c>
      <c r="I64" cm="1">
        <f t="array" ref="I64">TREND($X$8:$X$12,$W$8:$W$12,H64)</f>
        <v>3.628576555459381</v>
      </c>
      <c r="J64">
        <f>I64/(2/0.2)*3</f>
        <v>1.0885729666378143</v>
      </c>
      <c r="K64">
        <v>0.19079593595416544</v>
      </c>
      <c r="L64" s="1">
        <f t="shared" si="0"/>
        <v>5.7054305753101584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2.73</v>
      </c>
      <c r="G65">
        <v>6328</v>
      </c>
      <c r="H65">
        <v>6328.0540000000001</v>
      </c>
      <c r="I65" cm="1">
        <f t="array" ref="I65">TREND($X$8:$X$12,$W$8:$W$12,H65)</f>
        <v>3.2309194922188857</v>
      </c>
      <c r="J65">
        <f>I65/(2/0.2)*3</f>
        <v>0.96927584766566566</v>
      </c>
      <c r="K65">
        <v>0.13122659420302052</v>
      </c>
      <c r="L65" s="1">
        <f t="shared" si="0"/>
        <v>7.3862760330889943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2.72</v>
      </c>
      <c r="G66">
        <v>12136</v>
      </c>
      <c r="H66">
        <v>12136.148999999999</v>
      </c>
      <c r="I66" cm="1">
        <f t="array" ref="I66">TREND($X$8:$X$12,$W$8:$W$12,H66)</f>
        <v>5.9747203016174968</v>
      </c>
      <c r="J66">
        <f>I66/(2/0.2)*3</f>
        <v>1.7924160904852489</v>
      </c>
      <c r="K66">
        <v>0.13927650525047255</v>
      </c>
      <c r="L66" s="1">
        <f t="shared" si="0"/>
        <v>12.8694792223699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2.72</v>
      </c>
      <c r="G67">
        <v>8703</v>
      </c>
      <c r="H67">
        <v>8703.3330000000005</v>
      </c>
      <c r="I67" cm="1">
        <f t="array" ref="I67">TREND($X$8:$X$12,$W$8:$W$12,H67)</f>
        <v>4.3530244926962416</v>
      </c>
      <c r="J67">
        <f>I67/(2/0.2)*3</f>
        <v>1.3059073478088723</v>
      </c>
      <c r="K67">
        <v>9.7416967803722054E-2</v>
      </c>
      <c r="L67" s="1">
        <f t="shared" si="0"/>
        <v>13.405337666021842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2.72</v>
      </c>
      <c r="G68">
        <v>14767</v>
      </c>
      <c r="H68">
        <v>14766.521000000001</v>
      </c>
      <c r="I68" cm="1">
        <f t="array" ref="I68">TREND($X$8:$X$12,$W$8:$W$12,H68)</f>
        <v>7.217333726952214</v>
      </c>
      <c r="J68">
        <f>I68/(2/0.2)*3</f>
        <v>2.1652001180856644</v>
      </c>
      <c r="K68">
        <v>7.4877216870856411E-2</v>
      </c>
      <c r="L68" s="1">
        <f t="shared" si="0"/>
        <v>28.916674638429303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2.73</v>
      </c>
      <c r="G69">
        <v>20963</v>
      </c>
      <c r="H69">
        <v>20963.065999999999</v>
      </c>
      <c r="I69" cm="1">
        <f t="array" ref="I69">TREND($X$8:$X$12,$W$8:$W$12,H69)</f>
        <v>10.144642110591757</v>
      </c>
      <c r="J69">
        <f>I69/(2/0.2)*3</f>
        <v>3.0433926331775272</v>
      </c>
      <c r="K69">
        <v>0.14491144298368897</v>
      </c>
      <c r="L69" s="1">
        <f t="shared" si="0"/>
        <v>21.001741273945406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2.72</v>
      </c>
      <c r="G70">
        <v>11469</v>
      </c>
      <c r="H70">
        <v>11469.11</v>
      </c>
      <c r="I70" cm="1">
        <f t="array" ref="I70">TREND($X$8:$X$12,$W$8:$W$12,H70)</f>
        <v>5.6596045626186617</v>
      </c>
      <c r="J70">
        <f>I70/(2/0.2)*3</f>
        <v>1.6978813687855987</v>
      </c>
      <c r="K70">
        <v>0.14571643408843418</v>
      </c>
      <c r="L70" s="1">
        <f t="shared" si="0"/>
        <v>11.651955247238398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2.72</v>
      </c>
      <c r="G71">
        <v>8080</v>
      </c>
      <c r="H71">
        <v>8080.4970000000003</v>
      </c>
      <c r="I71" cm="1">
        <f t="array" ref="I71">TREND($X$8:$X$12,$W$8:$W$12,H71)</f>
        <v>4.0587906826565305</v>
      </c>
      <c r="J71">
        <f>I71/(2/0.2)*3</f>
        <v>1.2176372047969592</v>
      </c>
      <c r="K71">
        <v>0.26405012648597881</v>
      </c>
      <c r="L71" s="1">
        <f t="shared" si="0"/>
        <v>4.6113865613376879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2.72</v>
      </c>
      <c r="G72">
        <v>7372</v>
      </c>
      <c r="H72">
        <v>7372.2610000000004</v>
      </c>
      <c r="I72" cm="1">
        <f t="array" ref="I72">TREND($X$8:$X$12,$W$8:$W$12,H72)</f>
        <v>3.7242130784601057</v>
      </c>
      <c r="J72">
        <f>I72/(2/0.2)*3</f>
        <v>1.1172639235380317</v>
      </c>
      <c r="K72">
        <v>0.17469611385926145</v>
      </c>
      <c r="L72" s="1">
        <f t="shared" si="0"/>
        <v>6.3954709630124968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2.73</v>
      </c>
      <c r="G73">
        <v>4951</v>
      </c>
      <c r="H73">
        <v>4950.5230000000001</v>
      </c>
      <c r="I73" cm="1">
        <f t="array" ref="I73">TREND($X$8:$X$12,$W$8:$W$12,H73)</f>
        <v>2.5801603925878229</v>
      </c>
      <c r="J73">
        <f>I73/(2/0.2)*3</f>
        <v>0.77404811777634697</v>
      </c>
      <c r="K73">
        <v>0.1175417454223521</v>
      </c>
      <c r="L73" s="1">
        <f t="shared" ref="L73" si="1">J73/K73</f>
        <v>6.5853039275112852</v>
      </c>
    </row>
    <row r="74" spans="1:12" x14ac:dyDescent="0.3">
      <c r="A74">
        <v>34</v>
      </c>
      <c r="B74" t="s">
        <v>235</v>
      </c>
      <c r="C74" t="s">
        <v>236</v>
      </c>
      <c r="D74" t="s">
        <v>237</v>
      </c>
      <c r="E74" t="s">
        <v>238</v>
      </c>
      <c r="F74">
        <v>2.74</v>
      </c>
      <c r="G74">
        <v>387</v>
      </c>
      <c r="H74">
        <v>386.93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EFA2-3973-4707-9FA6-0D02AE4A3676}">
  <dimension ref="A1:AB73"/>
  <sheetViews>
    <sheetView topLeftCell="B2" workbookViewId="0">
      <selection activeCell="L2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245</v>
      </c>
      <c r="P3" t="s">
        <v>78</v>
      </c>
    </row>
    <row r="5" spans="1:28" x14ac:dyDescent="0.3">
      <c r="A5" t="s">
        <v>246</v>
      </c>
      <c r="P5" t="s">
        <v>79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2.93</v>
      </c>
      <c r="G8">
        <v>128580</v>
      </c>
      <c r="H8">
        <v>128579.977</v>
      </c>
      <c r="I8" cm="1">
        <f t="array" ref="I8">TREND($X$8:$X$16,$W$8:$W$16,H8)</f>
        <v>64.239113307567493</v>
      </c>
      <c r="J8">
        <f>I8/(2/0.2)*3</f>
        <v>19.271733992270249</v>
      </c>
      <c r="K8">
        <v>0.14813140740266978</v>
      </c>
      <c r="L8" s="1">
        <f>J8/K8</f>
        <v>130.09890562832061</v>
      </c>
      <c r="P8">
        <v>1</v>
      </c>
      <c r="Q8" t="s">
        <v>80</v>
      </c>
      <c r="R8" t="s">
        <v>39</v>
      </c>
      <c r="S8" t="s">
        <v>12</v>
      </c>
      <c r="T8" t="s">
        <v>13</v>
      </c>
      <c r="U8">
        <v>1.95</v>
      </c>
      <c r="V8">
        <v>1597</v>
      </c>
      <c r="W8">
        <v>1596.8109999999999</v>
      </c>
      <c r="X8">
        <v>1</v>
      </c>
      <c r="Y8">
        <v>0.84</v>
      </c>
      <c r="Z8">
        <v>-16</v>
      </c>
      <c r="AA8">
        <v>12</v>
      </c>
      <c r="AB8">
        <v>34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2.93</v>
      </c>
      <c r="G9">
        <v>176319</v>
      </c>
      <c r="H9">
        <v>176319.43799999999</v>
      </c>
      <c r="I9" cm="1">
        <f t="array" ref="I9">TREND($X$8:$X$16,$W$8:$W$16,H9)</f>
        <v>87.795804116350752</v>
      </c>
      <c r="J9">
        <f>I9/(2/0.2)*3</f>
        <v>26.338741234905228</v>
      </c>
      <c r="K9">
        <v>0.11673675431760691</v>
      </c>
      <c r="L9" s="1">
        <f t="shared" ref="L9:L72" si="0">J9/K9</f>
        <v>225.6250945888485</v>
      </c>
      <c r="P9">
        <v>2</v>
      </c>
      <c r="Q9" t="s">
        <v>81</v>
      </c>
      <c r="R9" t="s">
        <v>40</v>
      </c>
      <c r="S9" t="s">
        <v>12</v>
      </c>
      <c r="T9" t="s">
        <v>14</v>
      </c>
      <c r="U9">
        <v>1.95</v>
      </c>
      <c r="V9">
        <v>4560</v>
      </c>
      <c r="W9">
        <v>4560.3</v>
      </c>
      <c r="X9">
        <v>2</v>
      </c>
      <c r="Y9">
        <v>2.339</v>
      </c>
      <c r="Z9">
        <v>16.899999999999999</v>
      </c>
      <c r="AA9">
        <v>69</v>
      </c>
      <c r="AB9">
        <v>35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2.93</v>
      </c>
      <c r="G10">
        <v>247879</v>
      </c>
      <c r="H10">
        <v>247878.96900000001</v>
      </c>
      <c r="I10" cm="1">
        <f t="array" ref="I10">TREND($X$8:$X$16,$W$8:$W$16,H10)</f>
        <v>123.10633571595427</v>
      </c>
      <c r="J10">
        <f>I10/(2/0.2)*3</f>
        <v>36.931900714786281</v>
      </c>
      <c r="K10">
        <v>8.6147092337289247E-2</v>
      </c>
      <c r="L10" s="1">
        <f t="shared" si="0"/>
        <v>428.70745503734315</v>
      </c>
      <c r="P10">
        <v>3</v>
      </c>
      <c r="Q10" t="s">
        <v>82</v>
      </c>
      <c r="R10" t="s">
        <v>41</v>
      </c>
      <c r="S10" t="s">
        <v>12</v>
      </c>
      <c r="T10" t="s">
        <v>15</v>
      </c>
      <c r="U10">
        <v>1.95</v>
      </c>
      <c r="V10">
        <v>8767</v>
      </c>
      <c r="W10">
        <v>8766.9439999999995</v>
      </c>
      <c r="X10">
        <v>5</v>
      </c>
      <c r="Y10">
        <v>4.4660000000000002</v>
      </c>
      <c r="Z10">
        <v>-10.7</v>
      </c>
      <c r="AA10">
        <v>73</v>
      </c>
      <c r="AB10">
        <v>140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2.93</v>
      </c>
      <c r="G11">
        <v>284785</v>
      </c>
      <c r="H11">
        <v>284785.31300000002</v>
      </c>
      <c r="I11" cm="1">
        <f t="array" ref="I11">TREND($X$8:$X$16,$W$8:$W$16,H11)</f>
        <v>141.31750350627755</v>
      </c>
      <c r="J11">
        <f>I11/(2/0.2)*3</f>
        <v>42.395251051883264</v>
      </c>
      <c r="K11">
        <v>8.9367056756270047E-2</v>
      </c>
      <c r="L11" s="1">
        <f t="shared" si="0"/>
        <v>474.39462135927158</v>
      </c>
      <c r="P11">
        <v>4</v>
      </c>
      <c r="Q11" t="s">
        <v>83</v>
      </c>
      <c r="R11" t="s">
        <v>42</v>
      </c>
      <c r="S11" t="s">
        <v>12</v>
      </c>
      <c r="T11" t="s">
        <v>16</v>
      </c>
      <c r="U11">
        <v>1.95</v>
      </c>
      <c r="V11">
        <v>21256</v>
      </c>
      <c r="W11">
        <v>21255.728999999999</v>
      </c>
      <c r="X11">
        <v>10</v>
      </c>
      <c r="Y11">
        <v>10.779</v>
      </c>
      <c r="Z11">
        <v>7.8</v>
      </c>
      <c r="AA11">
        <v>234</v>
      </c>
      <c r="AB11">
        <v>261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2.93</v>
      </c>
      <c r="G12">
        <v>192649</v>
      </c>
      <c r="H12">
        <v>192649.29699999999</v>
      </c>
      <c r="I12" cm="1">
        <f t="array" ref="I12">TREND($X$8:$X$16,$W$8:$W$16,H12)</f>
        <v>95.853654610599648</v>
      </c>
      <c r="J12">
        <f>I12/(2/0.2)*3</f>
        <v>28.756096383179894</v>
      </c>
      <c r="K12">
        <v>9.3392012279996037E-2</v>
      </c>
      <c r="L12" s="1">
        <f t="shared" si="0"/>
        <v>307.90745033918989</v>
      </c>
      <c r="P12">
        <v>5</v>
      </c>
      <c r="Q12" t="s">
        <v>84</v>
      </c>
      <c r="R12" t="s">
        <v>43</v>
      </c>
      <c r="S12" t="s">
        <v>12</v>
      </c>
      <c r="T12" t="s">
        <v>17</v>
      </c>
      <c r="U12">
        <v>1.94</v>
      </c>
      <c r="V12">
        <v>41703</v>
      </c>
      <c r="W12">
        <v>41702.972999999998</v>
      </c>
      <c r="X12">
        <v>20</v>
      </c>
      <c r="Y12">
        <v>21.106000000000002</v>
      </c>
      <c r="Z12">
        <v>5.5</v>
      </c>
      <c r="AA12">
        <v>591</v>
      </c>
      <c r="AB12">
        <v>434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2.93</v>
      </c>
      <c r="G13">
        <v>234015</v>
      </c>
      <c r="H13">
        <v>234014.68799999999</v>
      </c>
      <c r="I13" cm="1">
        <f t="array" ref="I13">TREND($X$8:$X$16,$W$8:$W$16,H13)</f>
        <v>116.26510680465407</v>
      </c>
      <c r="J13">
        <f>I13/(2/0.2)*3</f>
        <v>34.879532041396217</v>
      </c>
      <c r="K13">
        <v>0.18918595374467503</v>
      </c>
      <c r="L13" s="1">
        <f t="shared" si="0"/>
        <v>184.36639375706275</v>
      </c>
      <c r="P13">
        <v>6</v>
      </c>
      <c r="Q13" t="s">
        <v>85</v>
      </c>
      <c r="R13" t="s">
        <v>44</v>
      </c>
      <c r="S13" t="s">
        <v>12</v>
      </c>
      <c r="T13" t="s">
        <v>18</v>
      </c>
      <c r="U13">
        <v>1.95</v>
      </c>
      <c r="V13">
        <v>90759</v>
      </c>
      <c r="W13">
        <v>90759.233999999997</v>
      </c>
      <c r="X13">
        <v>50</v>
      </c>
      <c r="Y13">
        <v>45.838999999999999</v>
      </c>
      <c r="Z13">
        <v>-8.3000000000000007</v>
      </c>
      <c r="AA13">
        <v>857</v>
      </c>
      <c r="AB13">
        <v>659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2.93</v>
      </c>
      <c r="G14">
        <v>151426</v>
      </c>
      <c r="H14">
        <v>151426.31299999999</v>
      </c>
      <c r="I14" cm="1">
        <f t="array" ref="I14">TREND($X$8:$X$16,$W$8:$W$16,H14)</f>
        <v>75.512472117914641</v>
      </c>
      <c r="J14">
        <f>I14/(2/0.2)*3</f>
        <v>22.653741635374395</v>
      </c>
      <c r="K14">
        <v>9.2587021175250833E-2</v>
      </c>
      <c r="L14" s="1">
        <f t="shared" si="0"/>
        <v>244.67513208460261</v>
      </c>
      <c r="P14">
        <v>7</v>
      </c>
      <c r="Q14" t="s">
        <v>86</v>
      </c>
      <c r="R14" t="s">
        <v>45</v>
      </c>
      <c r="S14" t="s">
        <v>12</v>
      </c>
      <c r="T14" t="s">
        <v>19</v>
      </c>
      <c r="U14">
        <v>1.95</v>
      </c>
      <c r="V14">
        <v>213903</v>
      </c>
      <c r="W14">
        <v>213902.70300000001</v>
      </c>
      <c r="X14">
        <v>100</v>
      </c>
      <c r="Y14">
        <v>107.654</v>
      </c>
      <c r="Z14">
        <v>7.7</v>
      </c>
      <c r="AA14">
        <v>2083</v>
      </c>
      <c r="AB14">
        <v>2574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2.93</v>
      </c>
      <c r="G15">
        <v>154518</v>
      </c>
      <c r="H15">
        <v>154517.92199999999</v>
      </c>
      <c r="I15" cm="1">
        <f t="array" ref="I15">TREND($X$8:$X$16,$W$8:$W$16,H15)</f>
        <v>77.038004157638582</v>
      </c>
      <c r="J15">
        <f>I15/(2/0.2)*3</f>
        <v>23.111401247291575</v>
      </c>
      <c r="K15">
        <v>0.14974138961216016</v>
      </c>
      <c r="L15" s="1">
        <f t="shared" si="0"/>
        <v>154.34210479247983</v>
      </c>
      <c r="P15">
        <v>8</v>
      </c>
      <c r="Q15" t="s">
        <v>87</v>
      </c>
      <c r="R15" t="s">
        <v>46</v>
      </c>
      <c r="S15" t="s">
        <v>12</v>
      </c>
      <c r="T15" t="s">
        <v>20</v>
      </c>
      <c r="U15">
        <v>1.95</v>
      </c>
      <c r="V15">
        <v>386442</v>
      </c>
      <c r="W15">
        <v>386442</v>
      </c>
      <c r="X15">
        <v>200</v>
      </c>
      <c r="Y15">
        <v>193.625</v>
      </c>
      <c r="Z15">
        <v>-3.2</v>
      </c>
      <c r="AA15">
        <v>4217</v>
      </c>
      <c r="AB15">
        <v>4928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2.93</v>
      </c>
      <c r="G16">
        <v>483319</v>
      </c>
      <c r="H16">
        <v>483318.93800000002</v>
      </c>
      <c r="I16" cm="1">
        <f t="array" ref="I16">TREND($X$8:$X$16,$W$8:$W$16,H16)</f>
        <v>239.28248093390118</v>
      </c>
      <c r="J16">
        <f>I16/(2/0.2)*3</f>
        <v>71.784744280170344</v>
      </c>
      <c r="K16">
        <v>0.19965083810636269</v>
      </c>
      <c r="L16" s="1">
        <f t="shared" si="0"/>
        <v>359.55142969110648</v>
      </c>
      <c r="P16">
        <v>9</v>
      </c>
      <c r="Q16" t="s">
        <v>88</v>
      </c>
      <c r="R16" t="s">
        <v>47</v>
      </c>
      <c r="S16" t="s">
        <v>12</v>
      </c>
      <c r="T16" t="s">
        <v>21</v>
      </c>
      <c r="U16">
        <v>1.95</v>
      </c>
      <c r="V16">
        <v>1016164</v>
      </c>
      <c r="W16">
        <v>1016164.063</v>
      </c>
      <c r="X16">
        <v>500</v>
      </c>
      <c r="Y16">
        <v>501.34800000000001</v>
      </c>
      <c r="Z16">
        <v>0.3</v>
      </c>
      <c r="AA16">
        <v>6763</v>
      </c>
      <c r="AB16">
        <v>12669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2.93</v>
      </c>
      <c r="G17">
        <v>467653</v>
      </c>
      <c r="H17">
        <v>467653.28100000002</v>
      </c>
      <c r="I17" cm="1">
        <f t="array" ref="I17">TREND($X$8:$X$16,$W$8:$W$16,H17)</f>
        <v>231.55237609954935</v>
      </c>
      <c r="J17">
        <f>I17/(2/0.2)*3</f>
        <v>69.465712829864799</v>
      </c>
      <c r="K17">
        <v>0.22058060682973793</v>
      </c>
      <c r="L17" s="1">
        <f t="shared" si="0"/>
        <v>314.92212224932399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2.93</v>
      </c>
      <c r="G18">
        <v>241512</v>
      </c>
      <c r="H18">
        <v>241511.641</v>
      </c>
      <c r="I18" cm="1">
        <f t="array" ref="I18">TREND($X$8:$X$16,$W$8:$W$16,H18)</f>
        <v>119.96442389223031</v>
      </c>
      <c r="J18">
        <f>I18/(2/0.2)*3</f>
        <v>35.989327167669089</v>
      </c>
      <c r="K18">
        <v>0.12720163867929454</v>
      </c>
      <c r="L18" s="1">
        <f t="shared" si="0"/>
        <v>282.93131709102198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2.93</v>
      </c>
      <c r="G19">
        <v>241275</v>
      </c>
      <c r="H19">
        <v>241275.125</v>
      </c>
      <c r="I19" cm="1">
        <f t="array" ref="I19">TREND($X$8:$X$16,$W$8:$W$16,H19)</f>
        <v>119.84771678731914</v>
      </c>
      <c r="J19">
        <f>I19/(2/0.2)*3</f>
        <v>35.954315036195737</v>
      </c>
      <c r="K19">
        <v>0.1594012828691026</v>
      </c>
      <c r="L19" s="1">
        <f t="shared" si="0"/>
        <v>225.55850485670658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2.93</v>
      </c>
      <c r="G20">
        <v>331817</v>
      </c>
      <c r="H20">
        <v>331817.06300000002</v>
      </c>
      <c r="I20" cm="1">
        <f t="array" ref="I20">TREND($X$8:$X$16,$W$8:$W$16,H20)</f>
        <v>164.52497945465473</v>
      </c>
      <c r="J20">
        <f>I20/(2/0.2)*3</f>
        <v>49.357493836396422</v>
      </c>
      <c r="K20">
        <v>0.14491144298368897</v>
      </c>
      <c r="L20" s="1">
        <f t="shared" si="0"/>
        <v>340.60452936040417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2.93</v>
      </c>
      <c r="G21">
        <v>625763</v>
      </c>
      <c r="H21">
        <v>625763.18799999997</v>
      </c>
      <c r="I21" cm="1">
        <f t="array" ref="I21">TREND($X$8:$X$16,$W$8:$W$16,H21)</f>
        <v>309.57056304565822</v>
      </c>
      <c r="J21">
        <f>I21/(2/0.2)*3</f>
        <v>92.87116891369746</v>
      </c>
      <c r="K21">
        <v>0.24553533107683917</v>
      </c>
      <c r="L21" s="1">
        <f t="shared" si="0"/>
        <v>378.23953280529656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2.93</v>
      </c>
      <c r="G22">
        <v>391872</v>
      </c>
      <c r="H22">
        <v>391872.43800000002</v>
      </c>
      <c r="I22" cm="1">
        <f t="array" ref="I22">TREND($X$8:$X$16,$W$8:$W$16,H22)</f>
        <v>194.15886870783527</v>
      </c>
      <c r="J22">
        <f>I22/(2/0.2)*3</f>
        <v>58.247660612350586</v>
      </c>
      <c r="K22">
        <v>0.3002747261995129</v>
      </c>
      <c r="L22" s="1">
        <f t="shared" si="0"/>
        <v>193.98122962119973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2.93</v>
      </c>
      <c r="G23">
        <v>254471</v>
      </c>
      <c r="H23">
        <v>254471.21900000001</v>
      </c>
      <c r="I23" cm="1">
        <f t="array" ref="I23">TREND($X$8:$X$16,$W$8:$W$16,H23)</f>
        <v>126.35923366937276</v>
      </c>
      <c r="J23">
        <f>I23/(2/0.2)*3</f>
        <v>37.907770100811824</v>
      </c>
      <c r="K23">
        <v>0.17147614944028067</v>
      </c>
      <c r="L23" s="1">
        <f t="shared" si="0"/>
        <v>221.06730425512509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2.93</v>
      </c>
      <c r="G24">
        <v>280487</v>
      </c>
      <c r="H24">
        <v>280486.875</v>
      </c>
      <c r="I24" cm="1">
        <f t="array" ref="I24">TREND($X$8:$X$16,$W$8:$W$16,H24)</f>
        <v>139.19647044880907</v>
      </c>
      <c r="J24">
        <f>I24/(2/0.2)*3</f>
        <v>41.758941134642726</v>
      </c>
      <c r="K24">
        <v>0.18113604269722305</v>
      </c>
      <c r="L24" s="1">
        <f t="shared" si="0"/>
        <v>230.53910482324412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2.93</v>
      </c>
      <c r="G25">
        <v>272596</v>
      </c>
      <c r="H25">
        <v>272595.78100000002</v>
      </c>
      <c r="I25" cm="1">
        <f t="array" ref="I25">TREND($X$8:$X$16,$W$8:$W$16,H25)</f>
        <v>135.30266734321799</v>
      </c>
      <c r="J25">
        <f>I25/(2/0.2)*3</f>
        <v>40.590800202965397</v>
      </c>
      <c r="K25">
        <v>8.2927127918308433E-2</v>
      </c>
      <c r="L25" s="1">
        <f t="shared" si="0"/>
        <v>489.47553378372663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2.93</v>
      </c>
      <c r="G26">
        <v>835413</v>
      </c>
      <c r="H26">
        <v>835413.06299999997</v>
      </c>
      <c r="I26" cm="1">
        <f t="array" ref="I26">TREND($X$8:$X$16,$W$8:$W$16,H26)</f>
        <v>413.02077341722179</v>
      </c>
      <c r="J26">
        <f>I26/(2/0.2)*3</f>
        <v>123.90623202516655</v>
      </c>
      <c r="K26">
        <v>0.11593176321286171</v>
      </c>
      <c r="L26" s="1">
        <f t="shared" si="0"/>
        <v>1068.7858839657511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2.93</v>
      </c>
      <c r="G27">
        <v>724611</v>
      </c>
      <c r="H27">
        <v>724610.68799999997</v>
      </c>
      <c r="I27" cm="1">
        <f t="array" ref="I27">TREND($X$8:$X$16,$W$8:$W$16,H27)</f>
        <v>358.34614504733185</v>
      </c>
      <c r="J27">
        <f>I27/(2/0.2)*3</f>
        <v>107.50384351419954</v>
      </c>
      <c r="K27">
        <v>0.17469611385926145</v>
      </c>
      <c r="L27" s="1">
        <f t="shared" si="0"/>
        <v>615.37627334290164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2.93</v>
      </c>
      <c r="G28">
        <v>482737</v>
      </c>
      <c r="H28">
        <v>482737.09399999998</v>
      </c>
      <c r="I28" cm="1">
        <f t="array" ref="I28">TREND($X$8:$X$16,$W$8:$W$16,H28)</f>
        <v>238.99537423181783</v>
      </c>
      <c r="J28">
        <f>I28/(2/0.2)*3</f>
        <v>71.69861226954535</v>
      </c>
      <c r="K28">
        <v>0.17952606048773259</v>
      </c>
      <c r="L28" s="1">
        <f t="shared" si="0"/>
        <v>399.37718275974021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2.93</v>
      </c>
      <c r="G29">
        <v>703179</v>
      </c>
      <c r="H29">
        <v>703178.625</v>
      </c>
      <c r="I29" cm="1">
        <f t="array" ref="I29">TREND($X$8:$X$16,$W$8:$W$16,H29)</f>
        <v>347.77064899207971</v>
      </c>
      <c r="J29">
        <f>I29/(2/0.2)*3</f>
        <v>104.33119469762391</v>
      </c>
      <c r="K29">
        <v>0.19723586479212707</v>
      </c>
      <c r="L29" s="1">
        <f t="shared" si="0"/>
        <v>528.96665019610793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2.93</v>
      </c>
      <c r="G30">
        <v>629609</v>
      </c>
      <c r="H30">
        <v>629608.875</v>
      </c>
      <c r="I30" cm="1">
        <f t="array" ref="I30">TREND($X$8:$X$16,$W$8:$W$16,H30)</f>
        <v>311.46818940567005</v>
      </c>
      <c r="J30">
        <f>I30/(2/0.2)*3</f>
        <v>93.440456821701019</v>
      </c>
      <c r="K30">
        <v>0.28417490410460888</v>
      </c>
      <c r="L30" s="1">
        <f t="shared" si="0"/>
        <v>328.81319029953551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2.93</v>
      </c>
      <c r="G31">
        <v>532737</v>
      </c>
      <c r="H31">
        <v>532737.18799999997</v>
      </c>
      <c r="I31" cm="1">
        <f t="array" ref="I31">TREND($X$8:$X$16,$W$8:$W$16,H31)</f>
        <v>263.66755799962573</v>
      </c>
      <c r="J31">
        <f>I31/(2/0.2)*3</f>
        <v>79.100267399887713</v>
      </c>
      <c r="K31">
        <v>0.17872106938298743</v>
      </c>
      <c r="L31" s="1">
        <f t="shared" si="0"/>
        <v>442.59061157686489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2.93</v>
      </c>
      <c r="G32">
        <v>745677</v>
      </c>
      <c r="H32">
        <v>745676.75</v>
      </c>
      <c r="I32" cm="1">
        <f t="array" ref="I32">TREND($X$8:$X$16,$W$8:$W$16,H32)</f>
        <v>368.74104056348898</v>
      </c>
      <c r="J32">
        <f>I32/(2/0.2)*3</f>
        <v>110.62231216904669</v>
      </c>
      <c r="K32">
        <v>0.19884584700161748</v>
      </c>
      <c r="L32" s="1">
        <f t="shared" si="0"/>
        <v>556.32196416024146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2.93</v>
      </c>
      <c r="G33">
        <v>582647</v>
      </c>
      <c r="H33">
        <v>582646.93799999997</v>
      </c>
      <c r="I33" cm="1">
        <f t="array" ref="I33">TREND($X$8:$X$16,$W$8:$W$16,H33)</f>
        <v>288.29516217583688</v>
      </c>
      <c r="J33">
        <f>I33/(2/0.2)*3</f>
        <v>86.488548652751064</v>
      </c>
      <c r="K33">
        <v>0.17469611385926145</v>
      </c>
      <c r="L33" s="1">
        <f t="shared" si="0"/>
        <v>495.07998055656748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2.92</v>
      </c>
      <c r="G34">
        <v>763125</v>
      </c>
      <c r="H34">
        <v>763125.25</v>
      </c>
      <c r="I34" cm="1">
        <f t="array" ref="I34">TREND($X$8:$X$16,$W$8:$W$16,H34)</f>
        <v>377.35087634644964</v>
      </c>
      <c r="J34">
        <f>I34/(2/0.2)*3</f>
        <v>113.20526290393488</v>
      </c>
      <c r="K34">
        <v>0.24875529549582001</v>
      </c>
      <c r="L34" s="1">
        <f t="shared" si="0"/>
        <v>455.08684620479625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2.93</v>
      </c>
      <c r="G35">
        <v>635262</v>
      </c>
      <c r="H35">
        <v>635261.625</v>
      </c>
      <c r="I35" cm="1">
        <f t="array" ref="I35">TREND($X$8:$X$16,$W$8:$W$16,H35)</f>
        <v>314.25749789763961</v>
      </c>
      <c r="J35">
        <f>I35/(2/0.2)*3</f>
        <v>94.277249369291894</v>
      </c>
      <c r="K35">
        <v>0.18274602490671343</v>
      </c>
      <c r="L35" s="1">
        <f t="shared" si="0"/>
        <v>515.89220294897086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2.93</v>
      </c>
      <c r="G36">
        <v>1294383</v>
      </c>
      <c r="H36">
        <v>1294382.5</v>
      </c>
      <c r="I36" cm="1">
        <f t="array" ref="I36">TREND($X$8:$X$16,$W$8:$W$16,H36)</f>
        <v>639.49591351338495</v>
      </c>
      <c r="J36">
        <f>I36/(2/0.2)*3</f>
        <v>191.84877405401551</v>
      </c>
      <c r="K36">
        <v>0.18113604269722305</v>
      </c>
      <c r="L36" s="1">
        <f t="shared" si="0"/>
        <v>1059.141909016414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2.93</v>
      </c>
      <c r="G37">
        <v>690334</v>
      </c>
      <c r="H37">
        <v>690333.75</v>
      </c>
      <c r="I37" cm="1">
        <f t="array" ref="I37">TREND($X$8:$X$16,$W$8:$W$16,H37)</f>
        <v>341.43243857842486</v>
      </c>
      <c r="J37">
        <f>I37/(2/0.2)*3</f>
        <v>102.42973157352745</v>
      </c>
      <c r="K37">
        <v>0.12156670094607813</v>
      </c>
      <c r="L37" s="1">
        <f t="shared" si="0"/>
        <v>842.58049923523845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2.93</v>
      </c>
      <c r="G38">
        <v>803632</v>
      </c>
      <c r="H38">
        <v>803632.18799999997</v>
      </c>
      <c r="I38" cm="1">
        <f t="array" ref="I38">TREND($X$8:$X$16,$W$8:$W$16,H38)</f>
        <v>397.33873113342668</v>
      </c>
      <c r="J38">
        <f>I38/(2/0.2)*3</f>
        <v>119.201619340028</v>
      </c>
      <c r="K38">
        <v>8.8562065651524843E-2</v>
      </c>
      <c r="L38" s="1">
        <f t="shared" si="0"/>
        <v>1345.9670171771295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2.93</v>
      </c>
      <c r="G39">
        <v>780383</v>
      </c>
      <c r="H39">
        <v>780382.75</v>
      </c>
      <c r="I39" cm="1">
        <f t="array" ref="I39">TREND($X$8:$X$16,$W$8:$W$16,H39)</f>
        <v>385.86646456460272</v>
      </c>
      <c r="J39">
        <f>I39/(2/0.2)*3</f>
        <v>115.75993936938082</v>
      </c>
      <c r="K39">
        <v>0.13766652304098212</v>
      </c>
      <c r="L39" s="1">
        <f t="shared" si="0"/>
        <v>840.87210755602575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2.93</v>
      </c>
      <c r="G40">
        <v>609623</v>
      </c>
      <c r="H40">
        <v>609623.125</v>
      </c>
      <c r="I40" cm="1">
        <f t="array" ref="I40">TREND($X$8:$X$16,$W$8:$W$16,H40)</f>
        <v>301.60636601114868</v>
      </c>
      <c r="J40">
        <f>I40/(2/0.2)*3</f>
        <v>90.481909803344593</v>
      </c>
      <c r="K40">
        <v>8.2122136813563229E-2</v>
      </c>
      <c r="L40" s="1">
        <f t="shared" si="0"/>
        <v>1101.7968274347272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2.93</v>
      </c>
      <c r="G41">
        <v>365538</v>
      </c>
      <c r="H41">
        <v>365538.21899999998</v>
      </c>
      <c r="I41" cm="1">
        <f t="array" ref="I41">TREND($X$8:$X$16,$W$8:$W$16,H41)</f>
        <v>181.16443932636849</v>
      </c>
      <c r="J41">
        <f>I41/(2/0.2)*3</f>
        <v>54.349331797910544</v>
      </c>
      <c r="K41">
        <v>0.10224691443219328</v>
      </c>
      <c r="L41" s="1">
        <f t="shared" si="0"/>
        <v>531.54984773602337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2.93</v>
      </c>
      <c r="G42">
        <v>640377</v>
      </c>
      <c r="H42">
        <v>640377.31299999997</v>
      </c>
      <c r="I42" cm="1">
        <f t="array" ref="I42">TREND($X$8:$X$16,$W$8:$W$16,H42)</f>
        <v>316.78179704065258</v>
      </c>
      <c r="J42">
        <f>I42/(2/0.2)*3</f>
        <v>95.034539112195773</v>
      </c>
      <c r="K42">
        <v>0.12639664757454935</v>
      </c>
      <c r="L42" s="1">
        <f t="shared" si="0"/>
        <v>751.87547245779558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2.93</v>
      </c>
      <c r="G43">
        <v>206463</v>
      </c>
      <c r="H43">
        <v>206463.016</v>
      </c>
      <c r="I43" cm="1">
        <f t="array" ref="I43">TREND($X$8:$X$16,$W$8:$W$16,H43)</f>
        <v>102.66993406969146</v>
      </c>
      <c r="J43">
        <f>I43/(2/0.2)*3</f>
        <v>30.800980220907437</v>
      </c>
      <c r="K43">
        <v>0.15054638071690538</v>
      </c>
      <c r="L43" s="1">
        <f t="shared" si="0"/>
        <v>204.59462442227073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2.93</v>
      </c>
      <c r="G44">
        <v>334937</v>
      </c>
      <c r="H44">
        <v>334936.90600000002</v>
      </c>
      <c r="I44" cm="1">
        <f t="array" ref="I44">TREND($X$8:$X$16,$W$8:$W$16,H44)</f>
        <v>166.06444335691674</v>
      </c>
      <c r="J44">
        <f>I44/(2/0.2)*3</f>
        <v>49.819333007075016</v>
      </c>
      <c r="K44">
        <v>0.14893639850741497</v>
      </c>
      <c r="L44" s="1">
        <f t="shared" si="0"/>
        <v>334.50072317006311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2.93</v>
      </c>
      <c r="G45">
        <v>281593</v>
      </c>
      <c r="H45">
        <v>281593.375</v>
      </c>
      <c r="I45" cm="1">
        <f t="array" ref="I45">TREND($X$8:$X$16,$W$8:$W$16,H45)</f>
        <v>139.74246484912118</v>
      </c>
      <c r="J45">
        <f>I45/(2/0.2)*3</f>
        <v>41.922739454736359</v>
      </c>
      <c r="K45">
        <v>4.0262599366812736E-2</v>
      </c>
      <c r="L45" s="1">
        <f t="shared" si="0"/>
        <v>1041.2328094567094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2.93</v>
      </c>
      <c r="G46">
        <v>461169</v>
      </c>
      <c r="H46">
        <v>461168.81300000002</v>
      </c>
      <c r="I46" cm="1">
        <f t="array" ref="I46">TREND($X$8:$X$16,$W$8:$W$16,H46)</f>
        <v>228.35266239236171</v>
      </c>
      <c r="J46">
        <f>I46/(2/0.2)*3</f>
        <v>68.505798717708501</v>
      </c>
      <c r="K46">
        <v>0.11351678989862611</v>
      </c>
      <c r="L46" s="1">
        <f t="shared" si="0"/>
        <v>603.48604623938206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2.93</v>
      </c>
      <c r="G47">
        <v>289795</v>
      </c>
      <c r="H47">
        <v>289795.46899999998</v>
      </c>
      <c r="I47" cm="1">
        <f t="array" ref="I47">TREND($X$8:$X$16,$W$8:$W$16,H47)</f>
        <v>143.78972864924197</v>
      </c>
      <c r="J47">
        <f>I47/(2/0.2)*3</f>
        <v>43.136918594772595</v>
      </c>
      <c r="K47">
        <v>0.10144192332744809</v>
      </c>
      <c r="L47" s="1">
        <f t="shared" si="0"/>
        <v>425.23758599814164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2.93</v>
      </c>
      <c r="G48">
        <v>389231</v>
      </c>
      <c r="H48">
        <v>389230.5</v>
      </c>
      <c r="I48" cm="1">
        <f t="array" ref="I48">TREND($X$8:$X$16,$W$8:$W$16,H48)</f>
        <v>192.85522356190501</v>
      </c>
      <c r="J48">
        <f>I48/(2/0.2)*3</f>
        <v>57.856567068571508</v>
      </c>
      <c r="K48">
        <v>8.3732119023053622E-2</v>
      </c>
      <c r="L48" s="1">
        <f t="shared" si="0"/>
        <v>690.97220688565278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2.93</v>
      </c>
      <c r="G49">
        <v>435654</v>
      </c>
      <c r="H49">
        <v>435654.18800000002</v>
      </c>
      <c r="I49" cm="1">
        <f t="array" ref="I49">TREND($X$8:$X$16,$W$8:$W$16,H49)</f>
        <v>215.7626557262401</v>
      </c>
      <c r="J49">
        <f>I49/(2/0.2)*3</f>
        <v>64.728796717872029</v>
      </c>
      <c r="K49">
        <v>0.22299558014397355</v>
      </c>
      <c r="L49" s="1">
        <f t="shared" si="0"/>
        <v>290.26941554662613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2.93</v>
      </c>
      <c r="G50">
        <v>476006</v>
      </c>
      <c r="H50">
        <v>476005.93800000002</v>
      </c>
      <c r="I50" cm="1">
        <f t="array" ref="I50">TREND($X$8:$X$16,$W$8:$W$16,H50)</f>
        <v>235.6739341200896</v>
      </c>
      <c r="J50">
        <f>I50/(2/0.2)*3</f>
        <v>70.702180236026891</v>
      </c>
      <c r="K50">
        <v>0.1175417454223521</v>
      </c>
      <c r="L50" s="1">
        <f t="shared" si="0"/>
        <v>601.50697934575635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2.93</v>
      </c>
      <c r="G51">
        <v>425160</v>
      </c>
      <c r="H51">
        <v>425160.28100000002</v>
      </c>
      <c r="I51" cm="1">
        <f t="array" ref="I51">TREND($X$8:$X$16,$W$8:$W$16,H51)</f>
        <v>210.58451342222196</v>
      </c>
      <c r="J51">
        <f>I51/(2/0.2)*3</f>
        <v>63.175354026666582</v>
      </c>
      <c r="K51">
        <v>0.11351678989862611</v>
      </c>
      <c r="L51" s="1">
        <f t="shared" si="0"/>
        <v>556.52872216598143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2.93</v>
      </c>
      <c r="G52">
        <v>311931</v>
      </c>
      <c r="H52">
        <v>311930.78100000002</v>
      </c>
      <c r="I52" cm="1">
        <f t="array" ref="I52">TREND($X$8:$X$16,$W$8:$W$16,H52)</f>
        <v>154.71223782336</v>
      </c>
      <c r="J52">
        <f>I52/(2/0.2)*3</f>
        <v>46.413671347008005</v>
      </c>
      <c r="K52">
        <v>8.4537110127798853E-2</v>
      </c>
      <c r="L52" s="1">
        <f t="shared" si="0"/>
        <v>549.03309655182443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2.93</v>
      </c>
      <c r="G53">
        <v>477475</v>
      </c>
      <c r="H53">
        <v>477475.06300000002</v>
      </c>
      <c r="I53" cm="1">
        <f t="array" ref="I53">TREND($X$8:$X$16,$W$8:$W$16,H53)</f>
        <v>236.39886319678055</v>
      </c>
      <c r="J53">
        <f>I53/(2/0.2)*3</f>
        <v>70.919658959034166</v>
      </c>
      <c r="K53">
        <v>0.1078818521654097</v>
      </c>
      <c r="L53" s="1">
        <f t="shared" si="0"/>
        <v>657.38266015582212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2.93</v>
      </c>
      <c r="G54">
        <v>667822</v>
      </c>
      <c r="H54">
        <v>667822.06299999997</v>
      </c>
      <c r="I54" cm="1">
        <f t="array" ref="I54">TREND($X$8:$X$16,$W$8:$W$16,H54)</f>
        <v>330.32420989014736</v>
      </c>
      <c r="J54">
        <f>I54/(2/0.2)*3</f>
        <v>99.097262967044216</v>
      </c>
      <c r="K54">
        <v>0.14813140740266978</v>
      </c>
      <c r="L54" s="1">
        <f t="shared" si="0"/>
        <v>668.98212002850505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2.93</v>
      </c>
      <c r="G55">
        <v>634598</v>
      </c>
      <c r="H55">
        <v>634597.93799999997</v>
      </c>
      <c r="I55" cm="1">
        <f t="array" ref="I55">TREND($X$8:$X$16,$W$8:$W$16,H55)</f>
        <v>313.9300063607576</v>
      </c>
      <c r="J55">
        <f>I55/(2/0.2)*3</f>
        <v>94.179001908227292</v>
      </c>
      <c r="K55">
        <v>6.6022314718659172E-2</v>
      </c>
      <c r="L55" s="1">
        <f t="shared" si="0"/>
        <v>1426.4722815240905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2.93</v>
      </c>
      <c r="G56">
        <v>647051</v>
      </c>
      <c r="H56">
        <v>647050.56299999997</v>
      </c>
      <c r="I56" cm="1">
        <f t="array" ref="I56">TREND($X$8:$X$16,$W$8:$W$16,H56)</f>
        <v>320.07466385663344</v>
      </c>
      <c r="J56">
        <f>I56/(2/0.2)*3</f>
        <v>96.022399156990019</v>
      </c>
      <c r="K56">
        <v>0.22621554456295434</v>
      </c>
      <c r="L56" s="1">
        <f t="shared" si="0"/>
        <v>424.47303673363439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2.93</v>
      </c>
      <c r="G57">
        <v>501780</v>
      </c>
      <c r="H57">
        <v>501779.53100000002</v>
      </c>
      <c r="I57" cm="1">
        <f t="array" ref="I57">TREND($X$8:$X$16,$W$8:$W$16,H57)</f>
        <v>248.39172666769332</v>
      </c>
      <c r="J57">
        <f>I57/(2/0.2)*3</f>
        <v>74.517518000308002</v>
      </c>
      <c r="K57">
        <v>0.21897062462024752</v>
      </c>
      <c r="L57" s="1">
        <f t="shared" si="0"/>
        <v>340.30828623492727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2.92</v>
      </c>
      <c r="G58">
        <v>595557</v>
      </c>
      <c r="H58">
        <v>595556.56299999997</v>
      </c>
      <c r="I58" cm="1">
        <f t="array" ref="I58">TREND($X$8:$X$16,$W$8:$W$16,H58)</f>
        <v>294.66532300740425</v>
      </c>
      <c r="J58">
        <f>I58/(2/0.2)*3</f>
        <v>88.399596902221276</v>
      </c>
      <c r="K58">
        <v>0.11271179879388092</v>
      </c>
      <c r="L58" s="1">
        <f t="shared" si="0"/>
        <v>784.29763208623774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2.93</v>
      </c>
      <c r="G59">
        <v>1210436</v>
      </c>
      <c r="H59">
        <v>1210435.875</v>
      </c>
      <c r="I59" cm="1">
        <f t="array" ref="I59">TREND($X$8:$X$16,$W$8:$W$16,H59)</f>
        <v>598.07306021460408</v>
      </c>
      <c r="J59">
        <f>I59/(2/0.2)*3</f>
        <v>179.4219180643812</v>
      </c>
      <c r="K59">
        <v>9.1782030070505644E-2</v>
      </c>
      <c r="L59" s="1">
        <f t="shared" si="0"/>
        <v>1954.8697923389998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2.93</v>
      </c>
      <c r="G60">
        <v>521624</v>
      </c>
      <c r="H60">
        <v>521624.18800000002</v>
      </c>
      <c r="I60" cm="1">
        <f t="array" ref="I60">TREND($X$8:$X$16,$W$8:$W$16,H60)</f>
        <v>258.18392874461574</v>
      </c>
      <c r="J60">
        <f>I60/(2/0.2)*3</f>
        <v>77.455178623384711</v>
      </c>
      <c r="K60">
        <v>0.16584121170706426</v>
      </c>
      <c r="L60" s="1">
        <f t="shared" si="0"/>
        <v>467.04421552465897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2.93</v>
      </c>
      <c r="G61">
        <v>676416</v>
      </c>
      <c r="H61">
        <v>676415.875</v>
      </c>
      <c r="I61" cm="1">
        <f t="array" ref="I61">TREND($X$8:$X$16,$W$8:$W$16,H61)</f>
        <v>334.56476409650531</v>
      </c>
      <c r="J61">
        <f>I61/(2/0.2)*3</f>
        <v>100.3694292289516</v>
      </c>
      <c r="K61">
        <v>0.20850574025855992</v>
      </c>
      <c r="L61" s="1">
        <f t="shared" si="0"/>
        <v>481.37489694282442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2.93</v>
      </c>
      <c r="G62">
        <v>469863</v>
      </c>
      <c r="H62">
        <v>469862.65600000002</v>
      </c>
      <c r="I62" cm="1">
        <f t="array" ref="I62">TREND($X$8:$X$16,$W$8:$W$16,H62)</f>
        <v>232.6425761702132</v>
      </c>
      <c r="J62">
        <f>I62/(2/0.2)*3</f>
        <v>69.792772851063972</v>
      </c>
      <c r="K62">
        <v>0.15457133624063138</v>
      </c>
      <c r="L62" s="1">
        <f t="shared" si="0"/>
        <v>451.52467817456767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2.92</v>
      </c>
      <c r="G63">
        <v>647916</v>
      </c>
      <c r="H63">
        <v>647916.31299999997</v>
      </c>
      <c r="I63" cm="1">
        <f t="array" ref="I63">TREND($X$8:$X$16,$W$8:$W$16,H63)</f>
        <v>320.50186191544071</v>
      </c>
      <c r="J63">
        <f>I63/(2/0.2)*3</f>
        <v>96.150558574632214</v>
      </c>
      <c r="K63">
        <v>0.22863051787718996</v>
      </c>
      <c r="L63" s="1">
        <f t="shared" si="0"/>
        <v>420.5499749875035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2.93</v>
      </c>
      <c r="G64">
        <v>429746</v>
      </c>
      <c r="H64">
        <v>429745.90600000002</v>
      </c>
      <c r="I64" cm="1">
        <f t="array" ref="I64">TREND($X$8:$X$16,$W$8:$W$16,H64)</f>
        <v>212.84725682206943</v>
      </c>
      <c r="J64">
        <f>I64/(2/0.2)*3</f>
        <v>63.854177046620833</v>
      </c>
      <c r="K64">
        <v>0.19079593595416544</v>
      </c>
      <c r="L64" s="1">
        <f t="shared" si="0"/>
        <v>334.67262668509045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2.93</v>
      </c>
      <c r="G65">
        <v>352902</v>
      </c>
      <c r="H65">
        <v>352902.43800000002</v>
      </c>
      <c r="I65" cm="1">
        <f t="array" ref="I65">TREND($X$8:$X$16,$W$8:$W$16,H65)</f>
        <v>174.92940483059789</v>
      </c>
      <c r="J65">
        <f>I65/(2/0.2)*3</f>
        <v>52.478821449179371</v>
      </c>
      <c r="K65">
        <v>0.13122659420302052</v>
      </c>
      <c r="L65" s="1">
        <f t="shared" si="0"/>
        <v>399.90995550787096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2.93</v>
      </c>
      <c r="G66">
        <v>651565</v>
      </c>
      <c r="H66">
        <v>651565.18799999997</v>
      </c>
      <c r="I66" cm="1">
        <f t="array" ref="I66">TREND($X$8:$X$16,$W$8:$W$16,H66)</f>
        <v>322.30237282139541</v>
      </c>
      <c r="J66">
        <f>I66/(2/0.2)*3</f>
        <v>96.690711846418623</v>
      </c>
      <c r="K66">
        <v>0.13927650525047255</v>
      </c>
      <c r="L66" s="1">
        <f t="shared" si="0"/>
        <v>694.2356262639679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2.93</v>
      </c>
      <c r="G67">
        <v>414987</v>
      </c>
      <c r="H67">
        <v>414986.625</v>
      </c>
      <c r="I67" cm="1">
        <f t="array" ref="I67">TREND($X$8:$X$16,$W$8:$W$16,H67)</f>
        <v>205.56439665159223</v>
      </c>
      <c r="J67">
        <f>I67/(2/0.2)*3</f>
        <v>61.669318995477674</v>
      </c>
      <c r="K67">
        <v>9.7416967803722054E-2</v>
      </c>
      <c r="L67" s="1">
        <f t="shared" si="0"/>
        <v>633.04494469310964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2.93</v>
      </c>
      <c r="G68">
        <v>496007</v>
      </c>
      <c r="H68">
        <v>496007.125</v>
      </c>
      <c r="I68" cm="1">
        <f t="array" ref="I68">TREND($X$8:$X$16,$W$8:$W$16,H68)</f>
        <v>245.54337479030693</v>
      </c>
      <c r="J68">
        <f>I68/(2/0.2)*3</f>
        <v>73.663012437092078</v>
      </c>
      <c r="K68">
        <v>7.4877216870856411E-2</v>
      </c>
      <c r="L68" s="1">
        <f t="shared" si="0"/>
        <v>983.7840602988955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2.93</v>
      </c>
      <c r="G69">
        <v>780993</v>
      </c>
      <c r="H69">
        <v>780992.93799999997</v>
      </c>
      <c r="I69" cm="1">
        <f t="array" ref="I69">TREND($X$8:$X$16,$W$8:$W$16,H69)</f>
        <v>386.16755740792638</v>
      </c>
      <c r="J69">
        <f>I69/(2/0.2)*3</f>
        <v>115.85026722237792</v>
      </c>
      <c r="K69">
        <v>0.14491144298368897</v>
      </c>
      <c r="L69" s="1">
        <f t="shared" si="0"/>
        <v>799.45561811442224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2.93</v>
      </c>
      <c r="G70">
        <v>549495</v>
      </c>
      <c r="H70">
        <v>549495.43799999997</v>
      </c>
      <c r="I70" cm="1">
        <f t="array" ref="I70">TREND($X$8:$X$16,$W$8:$W$16,H70)</f>
        <v>271.93679492599762</v>
      </c>
      <c r="J70">
        <f>I70/(2/0.2)*3</f>
        <v>81.581038477799297</v>
      </c>
      <c r="K70">
        <v>0.14571643408843418</v>
      </c>
      <c r="L70" s="1">
        <f t="shared" si="0"/>
        <v>559.86161745001527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2.92</v>
      </c>
      <c r="G71">
        <v>334689</v>
      </c>
      <c r="H71">
        <v>334689.18800000002</v>
      </c>
      <c r="I71" cm="1">
        <f t="array" ref="I71">TREND($X$8:$X$16,$W$8:$W$16,H71)</f>
        <v>165.94220870634604</v>
      </c>
      <c r="J71">
        <f>I71/(2/0.2)*3</f>
        <v>49.782662611903817</v>
      </c>
      <c r="K71">
        <v>0.26405012648597881</v>
      </c>
      <c r="L71" s="1">
        <f t="shared" si="0"/>
        <v>188.53489401584247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2.93</v>
      </c>
      <c r="G72">
        <v>282879</v>
      </c>
      <c r="H72">
        <v>282878.875</v>
      </c>
      <c r="I72" cm="1">
        <f t="array" ref="I72">TREND($X$8:$X$16,$W$8:$W$16,H72)</f>
        <v>140.37678550126873</v>
      </c>
      <c r="J72">
        <f>I72/(2/0.2)*3</f>
        <v>42.113035650380624</v>
      </c>
      <c r="K72">
        <v>0.17469611385926145</v>
      </c>
      <c r="L72" s="1">
        <f t="shared" si="0"/>
        <v>241.06452467687802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2.93</v>
      </c>
      <c r="G73">
        <v>207178</v>
      </c>
      <c r="H73">
        <v>207177.5</v>
      </c>
      <c r="I73" cm="1">
        <f t="array" ref="I73">TREND($X$8:$X$16,$W$8:$W$16,H73)</f>
        <v>103.02249101782756</v>
      </c>
      <c r="J73">
        <f>I73/(2/0.2)*3</f>
        <v>30.906747305348269</v>
      </c>
      <c r="K73">
        <v>0.1175417454223521</v>
      </c>
      <c r="L73" s="1">
        <f t="shared" ref="L73" si="1">J73/K73</f>
        <v>262.94272893680329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B4A7-B815-4F2A-A61C-79C96229ADF3}">
  <dimension ref="A1:AB73"/>
  <sheetViews>
    <sheetView workbookViewId="0">
      <selection activeCell="J1" sqref="J1:K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247</v>
      </c>
      <c r="P3" t="s">
        <v>78</v>
      </c>
    </row>
    <row r="5" spans="1:28" x14ac:dyDescent="0.3">
      <c r="A5" t="s">
        <v>248</v>
      </c>
      <c r="P5" t="s">
        <v>79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3.02</v>
      </c>
      <c r="G8">
        <v>105174</v>
      </c>
      <c r="H8">
        <v>105174.07799999999</v>
      </c>
      <c r="I8" cm="1">
        <f t="array" ref="I8">TREND($X$8:$X$16,$W$8:$W$16,H8)</f>
        <v>52.689642192998171</v>
      </c>
      <c r="J8">
        <f>I8/(2/0.2)*3</f>
        <v>15.80689265789945</v>
      </c>
      <c r="K8">
        <v>0.14813140740266978</v>
      </c>
      <c r="L8" s="1">
        <f>J8/K8</f>
        <v>106.70858351417083</v>
      </c>
      <c r="P8">
        <v>1</v>
      </c>
      <c r="Q8" t="s">
        <v>80</v>
      </c>
      <c r="R8" t="s">
        <v>39</v>
      </c>
      <c r="S8" t="s">
        <v>12</v>
      </c>
      <c r="T8" t="s">
        <v>13</v>
      </c>
      <c r="U8">
        <v>1.95</v>
      </c>
      <c r="V8">
        <v>1597</v>
      </c>
      <c r="W8">
        <v>1596.8109999999999</v>
      </c>
      <c r="X8">
        <v>1</v>
      </c>
      <c r="Y8">
        <v>0.84</v>
      </c>
      <c r="Z8">
        <v>-16</v>
      </c>
      <c r="AA8">
        <v>12</v>
      </c>
      <c r="AB8">
        <v>34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3.03</v>
      </c>
      <c r="G9">
        <v>162841</v>
      </c>
      <c r="H9">
        <v>162841.359</v>
      </c>
      <c r="I9" cm="1">
        <f t="array" ref="I9">TREND($X$8:$X$16,$W$8:$W$16,H9)</f>
        <v>81.145143781091519</v>
      </c>
      <c r="J9">
        <f>I9/(2/0.2)*3</f>
        <v>24.343543134327458</v>
      </c>
      <c r="K9">
        <v>0.11673675431760691</v>
      </c>
      <c r="L9" s="1">
        <f t="shared" ref="L9:L72" si="0">J9/K9</f>
        <v>208.53366428276502</v>
      </c>
      <c r="P9">
        <v>2</v>
      </c>
      <c r="Q9" t="s">
        <v>81</v>
      </c>
      <c r="R9" t="s">
        <v>40</v>
      </c>
      <c r="S9" t="s">
        <v>12</v>
      </c>
      <c r="T9" t="s">
        <v>14</v>
      </c>
      <c r="U9">
        <v>1.95</v>
      </c>
      <c r="V9">
        <v>4560</v>
      </c>
      <c r="W9">
        <v>4560.3</v>
      </c>
      <c r="X9">
        <v>2</v>
      </c>
      <c r="Y9">
        <v>2.339</v>
      </c>
      <c r="Z9">
        <v>16.899999999999999</v>
      </c>
      <c r="AA9">
        <v>69</v>
      </c>
      <c r="AB9">
        <v>35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3.03</v>
      </c>
      <c r="G10">
        <v>216401</v>
      </c>
      <c r="H10">
        <v>216401.40599999999</v>
      </c>
      <c r="I10" cm="1">
        <f t="array" ref="I10">TREND($X$8:$X$16,$W$8:$W$16,H10)</f>
        <v>107.57396053884457</v>
      </c>
      <c r="J10">
        <f>I10/(2/0.2)*3</f>
        <v>32.272188161653375</v>
      </c>
      <c r="K10">
        <v>8.6147092337289247E-2</v>
      </c>
      <c r="L10" s="1">
        <f t="shared" si="0"/>
        <v>374.61726549398787</v>
      </c>
      <c r="P10">
        <v>3</v>
      </c>
      <c r="Q10" t="s">
        <v>82</v>
      </c>
      <c r="R10" t="s">
        <v>41</v>
      </c>
      <c r="S10" t="s">
        <v>12</v>
      </c>
      <c r="T10" t="s">
        <v>15</v>
      </c>
      <c r="U10">
        <v>1.95</v>
      </c>
      <c r="V10">
        <v>8767</v>
      </c>
      <c r="W10">
        <v>8766.9439999999995</v>
      </c>
      <c r="X10">
        <v>5</v>
      </c>
      <c r="Y10">
        <v>4.4660000000000002</v>
      </c>
      <c r="Z10">
        <v>-10.7</v>
      </c>
      <c r="AA10">
        <v>73</v>
      </c>
      <c r="AB10">
        <v>140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3.02</v>
      </c>
      <c r="G11">
        <v>227394</v>
      </c>
      <c r="H11">
        <v>227393.78099999999</v>
      </c>
      <c r="I11" cm="1">
        <f t="array" ref="I11">TREND($X$8:$X$16,$W$8:$W$16,H11)</f>
        <v>112.9980682624152</v>
      </c>
      <c r="J11">
        <f>I11/(2/0.2)*3</f>
        <v>33.899420478724558</v>
      </c>
      <c r="K11">
        <v>8.9367056756270047E-2</v>
      </c>
      <c r="L11" s="1">
        <f t="shared" si="0"/>
        <v>379.32792808851406</v>
      </c>
      <c r="P11">
        <v>4</v>
      </c>
      <c r="Q11" t="s">
        <v>83</v>
      </c>
      <c r="R11" t="s">
        <v>42</v>
      </c>
      <c r="S11" t="s">
        <v>12</v>
      </c>
      <c r="T11" t="s">
        <v>16</v>
      </c>
      <c r="U11">
        <v>1.95</v>
      </c>
      <c r="V11">
        <v>21256</v>
      </c>
      <c r="W11">
        <v>21255.728999999999</v>
      </c>
      <c r="X11">
        <v>10</v>
      </c>
      <c r="Y11">
        <v>10.779</v>
      </c>
      <c r="Z11">
        <v>7.8</v>
      </c>
      <c r="AA11">
        <v>234</v>
      </c>
      <c r="AB11">
        <v>261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3.03</v>
      </c>
      <c r="G12">
        <v>127152</v>
      </c>
      <c r="H12">
        <v>127151.984</v>
      </c>
      <c r="I12" cm="1">
        <f t="array" ref="I12">TREND($X$8:$X$16,$W$8:$W$16,H12)</f>
        <v>63.534480517974281</v>
      </c>
      <c r="J12">
        <f>I12/(2/0.2)*3</f>
        <v>19.060344155392283</v>
      </c>
      <c r="K12">
        <v>9.3392012279996037E-2</v>
      </c>
      <c r="L12" s="1">
        <f t="shared" si="0"/>
        <v>204.0896613111621</v>
      </c>
      <c r="P12">
        <v>5</v>
      </c>
      <c r="Q12" t="s">
        <v>84</v>
      </c>
      <c r="R12" t="s">
        <v>43</v>
      </c>
      <c r="S12" t="s">
        <v>12</v>
      </c>
      <c r="T12" t="s">
        <v>17</v>
      </c>
      <c r="U12">
        <v>1.94</v>
      </c>
      <c r="V12">
        <v>41703</v>
      </c>
      <c r="W12">
        <v>41702.972999999998</v>
      </c>
      <c r="X12">
        <v>20</v>
      </c>
      <c r="Y12">
        <v>21.106000000000002</v>
      </c>
      <c r="Z12">
        <v>5.5</v>
      </c>
      <c r="AA12">
        <v>591</v>
      </c>
      <c r="AB12">
        <v>434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3.02</v>
      </c>
      <c r="G13">
        <v>163527</v>
      </c>
      <c r="H13">
        <v>163526.875</v>
      </c>
      <c r="I13" cm="1">
        <f t="array" ref="I13">TREND($X$8:$X$16,$W$8:$W$16,H13)</f>
        <v>81.483406679712729</v>
      </c>
      <c r="J13">
        <f>I13/(2/0.2)*3</f>
        <v>24.445022003913817</v>
      </c>
      <c r="K13">
        <v>0.18918595374467503</v>
      </c>
      <c r="L13" s="1">
        <f t="shared" si="0"/>
        <v>129.21161175054658</v>
      </c>
      <c r="P13">
        <v>6</v>
      </c>
      <c r="Q13" t="s">
        <v>85</v>
      </c>
      <c r="R13" t="s">
        <v>44</v>
      </c>
      <c r="S13" t="s">
        <v>12</v>
      </c>
      <c r="T13" t="s">
        <v>18</v>
      </c>
      <c r="U13">
        <v>1.95</v>
      </c>
      <c r="V13">
        <v>90759</v>
      </c>
      <c r="W13">
        <v>90759.233999999997</v>
      </c>
      <c r="X13">
        <v>50</v>
      </c>
      <c r="Y13">
        <v>45.838999999999999</v>
      </c>
      <c r="Z13">
        <v>-8.3000000000000007</v>
      </c>
      <c r="AA13">
        <v>857</v>
      </c>
      <c r="AB13">
        <v>659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3.03</v>
      </c>
      <c r="G14">
        <v>119554</v>
      </c>
      <c r="H14">
        <v>119554.156</v>
      </c>
      <c r="I14" cm="1">
        <f t="array" ref="I14">TREND($X$8:$X$16,$W$8:$W$16,H14)</f>
        <v>59.785387393225427</v>
      </c>
      <c r="J14">
        <f>I14/(2/0.2)*3</f>
        <v>17.935616217967628</v>
      </c>
      <c r="K14">
        <v>9.2587021175250833E-2</v>
      </c>
      <c r="L14" s="1">
        <f t="shared" si="0"/>
        <v>193.71631131774595</v>
      </c>
      <c r="P14">
        <v>7</v>
      </c>
      <c r="Q14" t="s">
        <v>86</v>
      </c>
      <c r="R14" t="s">
        <v>45</v>
      </c>
      <c r="S14" t="s">
        <v>12</v>
      </c>
      <c r="T14" t="s">
        <v>19</v>
      </c>
      <c r="U14">
        <v>1.95</v>
      </c>
      <c r="V14">
        <v>213903</v>
      </c>
      <c r="W14">
        <v>213902.70300000001</v>
      </c>
      <c r="X14">
        <v>100</v>
      </c>
      <c r="Y14">
        <v>107.654</v>
      </c>
      <c r="Z14">
        <v>7.7</v>
      </c>
      <c r="AA14">
        <v>2083</v>
      </c>
      <c r="AB14">
        <v>2574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3.02</v>
      </c>
      <c r="G15">
        <v>110003</v>
      </c>
      <c r="H15">
        <v>110002.82799999999</v>
      </c>
      <c r="I15" cm="1">
        <f t="array" ref="I15">TREND($X$8:$X$16,$W$8:$W$16,H15)</f>
        <v>55.072353860876284</v>
      </c>
      <c r="J15">
        <f>I15/(2/0.2)*3</f>
        <v>16.521706158262884</v>
      </c>
      <c r="K15">
        <v>0.14974138961216016</v>
      </c>
      <c r="L15" s="1">
        <f t="shared" si="0"/>
        <v>110.33493278682111</v>
      </c>
      <c r="P15">
        <v>8</v>
      </c>
      <c r="Q15" t="s">
        <v>87</v>
      </c>
      <c r="R15" t="s">
        <v>46</v>
      </c>
      <c r="S15" t="s">
        <v>12</v>
      </c>
      <c r="T15" t="s">
        <v>20</v>
      </c>
      <c r="U15">
        <v>1.95</v>
      </c>
      <c r="V15">
        <v>386442</v>
      </c>
      <c r="W15">
        <v>386442</v>
      </c>
      <c r="X15">
        <v>200</v>
      </c>
      <c r="Y15">
        <v>193.625</v>
      </c>
      <c r="Z15">
        <v>-3.2</v>
      </c>
      <c r="AA15">
        <v>4217</v>
      </c>
      <c r="AB15">
        <v>4928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3.03</v>
      </c>
      <c r="G16">
        <v>328528</v>
      </c>
      <c r="H16">
        <v>328528.34399999998</v>
      </c>
      <c r="I16" cm="1">
        <f t="array" ref="I16">TREND($X$8:$X$16,$W$8:$W$16,H16)</f>
        <v>162.90218491493482</v>
      </c>
      <c r="J16">
        <f>I16/(2/0.2)*3</f>
        <v>48.870655474480451</v>
      </c>
      <c r="K16">
        <v>0.19965083810636269</v>
      </c>
      <c r="L16" s="1">
        <f t="shared" si="0"/>
        <v>244.78061769239818</v>
      </c>
      <c r="P16">
        <v>9</v>
      </c>
      <c r="Q16" t="s">
        <v>88</v>
      </c>
      <c r="R16" t="s">
        <v>47</v>
      </c>
      <c r="S16" t="s">
        <v>12</v>
      </c>
      <c r="T16" t="s">
        <v>21</v>
      </c>
      <c r="U16">
        <v>1.95</v>
      </c>
      <c r="V16">
        <v>1016164</v>
      </c>
      <c r="W16">
        <v>1016164.063</v>
      </c>
      <c r="X16">
        <v>500</v>
      </c>
      <c r="Y16">
        <v>501.34800000000001</v>
      </c>
      <c r="Z16">
        <v>0.3</v>
      </c>
      <c r="AA16">
        <v>6763</v>
      </c>
      <c r="AB16">
        <v>12669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3.03</v>
      </c>
      <c r="G17">
        <v>405618</v>
      </c>
      <c r="H17">
        <v>405617.84399999998</v>
      </c>
      <c r="I17" cm="1">
        <f t="array" ref="I17">TREND($X$8:$X$16,$W$8:$W$16,H17)</f>
        <v>200.9414396125045</v>
      </c>
      <c r="J17">
        <f>I17/(2/0.2)*3</f>
        <v>60.282431883751343</v>
      </c>
      <c r="K17">
        <v>0.22058060682973793</v>
      </c>
      <c r="L17" s="1">
        <f t="shared" si="0"/>
        <v>273.28980888280097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3.02</v>
      </c>
      <c r="G18">
        <v>212757</v>
      </c>
      <c r="H18">
        <v>212756.766</v>
      </c>
      <c r="I18" cm="1">
        <f t="array" ref="I18">TREND($X$8:$X$16,$W$8:$W$16,H18)</f>
        <v>105.77553936292634</v>
      </c>
      <c r="J18">
        <f>I18/(2/0.2)*3</f>
        <v>31.732661808877904</v>
      </c>
      <c r="K18">
        <v>0.12720163867929454</v>
      </c>
      <c r="L18" s="1">
        <f t="shared" si="0"/>
        <v>249.46739789165341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3.03</v>
      </c>
      <c r="G19">
        <v>235192</v>
      </c>
      <c r="H19">
        <v>235192.04699999999</v>
      </c>
      <c r="I19" cm="1">
        <f t="array" ref="I19">TREND($X$8:$X$16,$W$8:$W$16,H19)</f>
        <v>116.84606606462431</v>
      </c>
      <c r="J19">
        <f>I19/(2/0.2)*3</f>
        <v>35.053819819387293</v>
      </c>
      <c r="K19">
        <v>0.1594012828691026</v>
      </c>
      <c r="L19" s="1">
        <f t="shared" si="0"/>
        <v>219.90927041768444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3.03</v>
      </c>
      <c r="G20">
        <v>289187</v>
      </c>
      <c r="H20">
        <v>289186.81300000002</v>
      </c>
      <c r="I20" cm="1">
        <f t="array" ref="I20">TREND($X$8:$X$16,$W$8:$W$16,H20)</f>
        <v>143.48939176020775</v>
      </c>
      <c r="J20">
        <f>I20/(2/0.2)*3</f>
        <v>43.04681752806232</v>
      </c>
      <c r="K20">
        <v>0.14491144298368897</v>
      </c>
      <c r="L20" s="1">
        <f t="shared" si="0"/>
        <v>297.05602705859201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3.03</v>
      </c>
      <c r="G21">
        <v>508325</v>
      </c>
      <c r="H21">
        <v>508324.5</v>
      </c>
      <c r="I21" cm="1">
        <f t="array" ref="I21">TREND($X$8:$X$16,$W$8:$W$16,H21)</f>
        <v>251.6212941545586</v>
      </c>
      <c r="J21">
        <f>I21/(2/0.2)*3</f>
        <v>75.486388246367568</v>
      </c>
      <c r="K21">
        <v>0.24553533107683917</v>
      </c>
      <c r="L21" s="1">
        <f t="shared" si="0"/>
        <v>307.43595194756085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3.02</v>
      </c>
      <c r="G22">
        <v>315288</v>
      </c>
      <c r="H22">
        <v>315287.5</v>
      </c>
      <c r="I22" cm="1">
        <f t="array" ref="I22">TREND($X$8:$X$16,$W$8:$W$16,H22)</f>
        <v>156.36858646992238</v>
      </c>
      <c r="J22">
        <f>I22/(2/0.2)*3</f>
        <v>46.910575940976713</v>
      </c>
      <c r="K22">
        <v>0.3002747261995129</v>
      </c>
      <c r="L22" s="1">
        <f t="shared" si="0"/>
        <v>156.22552232320646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3.02</v>
      </c>
      <c r="G23">
        <v>201305</v>
      </c>
      <c r="H23">
        <v>201305.43799999999</v>
      </c>
      <c r="I23" cm="1">
        <f t="array" ref="I23">TREND($X$8:$X$16,$W$8:$W$16,H23)</f>
        <v>100.12496460997798</v>
      </c>
      <c r="J23">
        <f>I23/(2/0.2)*3</f>
        <v>30.037489382993396</v>
      </c>
      <c r="K23">
        <v>0.17147614944028067</v>
      </c>
      <c r="L23" s="1">
        <f t="shared" si="0"/>
        <v>175.17007164576222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3.03</v>
      </c>
      <c r="G24">
        <v>173776</v>
      </c>
      <c r="H24">
        <v>173775.79699999999</v>
      </c>
      <c r="I24" cm="1">
        <f t="array" ref="I24">TREND($X$8:$X$16,$W$8:$W$16,H24)</f>
        <v>86.540662912189589</v>
      </c>
      <c r="J24">
        <f>I24/(2/0.2)*3</f>
        <v>25.962198873656874</v>
      </c>
      <c r="K24">
        <v>0.18113604269722305</v>
      </c>
      <c r="L24" s="1">
        <f t="shared" si="0"/>
        <v>143.32983368226633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3.02</v>
      </c>
      <c r="G25">
        <v>162368</v>
      </c>
      <c r="H25">
        <v>162368.29699999999</v>
      </c>
      <c r="I25" cm="1">
        <f t="array" ref="I25">TREND($X$8:$X$16,$W$8:$W$16,H25)</f>
        <v>80.911714767986737</v>
      </c>
      <c r="J25">
        <f>I25/(2/0.2)*3</f>
        <v>24.273514430396023</v>
      </c>
      <c r="K25">
        <v>8.2927127918308433E-2</v>
      </c>
      <c r="L25" s="1">
        <f t="shared" si="0"/>
        <v>292.70897280209533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3.02</v>
      </c>
      <c r="G26">
        <v>553593</v>
      </c>
      <c r="H26">
        <v>553593.375</v>
      </c>
      <c r="I26" cm="1">
        <f t="array" ref="I26">TREND($X$8:$X$16,$W$8:$W$16,H26)</f>
        <v>273.95889221911273</v>
      </c>
      <c r="J26">
        <f>I26/(2/0.2)*3</f>
        <v>82.187667665733812</v>
      </c>
      <c r="K26">
        <v>0.11593176321286171</v>
      </c>
      <c r="L26" s="1">
        <f t="shared" si="0"/>
        <v>708.93140402625863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3.03</v>
      </c>
      <c r="G27">
        <v>597110</v>
      </c>
      <c r="H27">
        <v>597109.875</v>
      </c>
      <c r="I27" cm="1">
        <f t="array" ref="I27">TREND($X$8:$X$16,$W$8:$W$16,H27)</f>
        <v>295.43179354869449</v>
      </c>
      <c r="J27">
        <f>I27/(2/0.2)*3</f>
        <v>88.62953806460834</v>
      </c>
      <c r="K27">
        <v>0.17469611385926145</v>
      </c>
      <c r="L27" s="1">
        <f t="shared" si="0"/>
        <v>507.33548735955281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3.02</v>
      </c>
      <c r="G28">
        <v>301406</v>
      </c>
      <c r="H28">
        <v>301406.43800000002</v>
      </c>
      <c r="I28" cm="1">
        <f t="array" ref="I28">TREND($X$8:$X$16,$W$8:$W$16,H28)</f>
        <v>149.51907709587329</v>
      </c>
      <c r="J28">
        <f>I28/(2/0.2)*3</f>
        <v>44.85572312876198</v>
      </c>
      <c r="K28">
        <v>0.17952606048773259</v>
      </c>
      <c r="L28" s="1">
        <f t="shared" si="0"/>
        <v>249.85633287389533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3.02</v>
      </c>
      <c r="G29">
        <v>522166</v>
      </c>
      <c r="H29">
        <v>522165.71899999998</v>
      </c>
      <c r="I29" cm="1">
        <f t="array" ref="I29">TREND($X$8:$X$16,$W$8:$W$16,H29)</f>
        <v>258.4511432892117</v>
      </c>
      <c r="J29">
        <f>I29/(2/0.2)*3</f>
        <v>77.53534298676351</v>
      </c>
      <c r="K29">
        <v>0.19723586479212707</v>
      </c>
      <c r="L29" s="1">
        <f t="shared" si="0"/>
        <v>393.10975754070074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3.02</v>
      </c>
      <c r="G30">
        <v>312566</v>
      </c>
      <c r="H30">
        <v>312566.03100000002</v>
      </c>
      <c r="I30" cm="1">
        <f t="array" ref="I30">TREND($X$8:$X$16,$W$8:$W$16,H30)</f>
        <v>155.02569732882608</v>
      </c>
      <c r="J30">
        <f>I30/(2/0.2)*3</f>
        <v>46.507709198647831</v>
      </c>
      <c r="K30">
        <v>0.28417490410460888</v>
      </c>
      <c r="L30" s="1">
        <f t="shared" si="0"/>
        <v>163.65874863294638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3.03</v>
      </c>
      <c r="G31">
        <v>414327</v>
      </c>
      <c r="H31">
        <v>414326.96899999998</v>
      </c>
      <c r="I31" cm="1">
        <f t="array" ref="I31">TREND($X$8:$X$16,$W$8:$W$16,H31)</f>
        <v>205.23889418242612</v>
      </c>
      <c r="J31">
        <f>I31/(2/0.2)*3</f>
        <v>61.571668254727832</v>
      </c>
      <c r="K31">
        <v>0.17872106938298743</v>
      </c>
      <c r="L31" s="1">
        <f t="shared" si="0"/>
        <v>344.512644576806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3.02</v>
      </c>
      <c r="G32">
        <v>514031</v>
      </c>
      <c r="H32">
        <v>514030.93800000002</v>
      </c>
      <c r="I32" cm="1">
        <f t="array" ref="I32">TREND($X$8:$X$16,$W$8:$W$16,H32)</f>
        <v>254.43709460076582</v>
      </c>
      <c r="J32">
        <f>I32/(2/0.2)*3</f>
        <v>76.331128380229757</v>
      </c>
      <c r="K32">
        <v>0.19884584700161748</v>
      </c>
      <c r="L32" s="1">
        <f t="shared" si="0"/>
        <v>383.87087048194098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3.02</v>
      </c>
      <c r="G33">
        <v>356640</v>
      </c>
      <c r="H33">
        <v>356639.75</v>
      </c>
      <c r="I33" cm="1">
        <f t="array" ref="I33">TREND($X$8:$X$16,$W$8:$W$16,H33)</f>
        <v>176.77355433282946</v>
      </c>
      <c r="J33">
        <f>I33/(2/0.2)*3</f>
        <v>53.032066299848843</v>
      </c>
      <c r="K33">
        <v>0.17469611385926145</v>
      </c>
      <c r="L33" s="1">
        <f t="shared" si="0"/>
        <v>303.56752149949079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3.02</v>
      </c>
      <c r="G34">
        <v>541949</v>
      </c>
      <c r="H34">
        <v>541948.56299999997</v>
      </c>
      <c r="I34" cm="1">
        <f t="array" ref="I34">TREND($X$8:$X$16,$W$8:$W$16,H34)</f>
        <v>268.21284418957151</v>
      </c>
      <c r="J34">
        <f>I34/(2/0.2)*3</f>
        <v>80.46385325687146</v>
      </c>
      <c r="K34">
        <v>0.24875529549582001</v>
      </c>
      <c r="L34" s="1">
        <f t="shared" si="0"/>
        <v>323.46589083255736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3.02</v>
      </c>
      <c r="G35">
        <v>416085</v>
      </c>
      <c r="H35">
        <v>416084.875</v>
      </c>
      <c r="I35" cm="1">
        <f t="array" ref="I35">TREND($X$8:$X$16,$W$8:$W$16,H35)</f>
        <v>206.10632014923596</v>
      </c>
      <c r="J35">
        <f>I35/(2/0.2)*3</f>
        <v>61.831896044770787</v>
      </c>
      <c r="K35">
        <v>0.18274602490671343</v>
      </c>
      <c r="L35" s="1">
        <f t="shared" si="0"/>
        <v>338.34878803155465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3.03</v>
      </c>
      <c r="G36">
        <v>762479</v>
      </c>
      <c r="H36">
        <v>762479</v>
      </c>
      <c r="I36" cm="1">
        <f t="array" ref="I36">TREND($X$8:$X$16,$W$8:$W$16,H36)</f>
        <v>377.03198897075902</v>
      </c>
      <c r="J36">
        <f>I36/(2/0.2)*3</f>
        <v>113.10959669122769</v>
      </c>
      <c r="K36">
        <v>0.18113604269722305</v>
      </c>
      <c r="L36" s="1">
        <f t="shared" si="0"/>
        <v>624.44555488216895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3.02</v>
      </c>
      <c r="G37">
        <v>444969</v>
      </c>
      <c r="H37">
        <v>444968.96899999998</v>
      </c>
      <c r="I37" cm="1">
        <f t="array" ref="I37">TREND($X$8:$X$16,$W$8:$W$16,H37)</f>
        <v>220.35896685695286</v>
      </c>
      <c r="J37">
        <f>I37/(2/0.2)*3</f>
        <v>66.107690057085847</v>
      </c>
      <c r="K37">
        <v>0.12156670094607813</v>
      </c>
      <c r="L37" s="1">
        <f t="shared" si="0"/>
        <v>543.79768096535281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3.02</v>
      </c>
      <c r="G38">
        <v>513625</v>
      </c>
      <c r="H38">
        <v>513625.34399999998</v>
      </c>
      <c r="I38" cm="1">
        <f t="array" ref="I38">TREND($X$8:$X$16,$W$8:$W$16,H38)</f>
        <v>254.2369571829617</v>
      </c>
      <c r="J38">
        <f>I38/(2/0.2)*3</f>
        <v>76.271087154888505</v>
      </c>
      <c r="K38">
        <v>8.8562065651524843E-2</v>
      </c>
      <c r="L38" s="1">
        <f t="shared" si="0"/>
        <v>861.21621705393545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3.02</v>
      </c>
      <c r="G39">
        <v>533932</v>
      </c>
      <c r="H39">
        <v>533932.125</v>
      </c>
      <c r="I39" cm="1">
        <f t="array" ref="I39">TREND($X$8:$X$16,$W$8:$W$16,H39)</f>
        <v>264.25719099621477</v>
      </c>
      <c r="J39">
        <f>I39/(2/0.2)*3</f>
        <v>79.277157298864438</v>
      </c>
      <c r="K39">
        <v>0.13766652304098212</v>
      </c>
      <c r="L39" s="1">
        <f t="shared" si="0"/>
        <v>575.86372886939489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3.02</v>
      </c>
      <c r="G40">
        <v>437283</v>
      </c>
      <c r="H40">
        <v>437282.71899999998</v>
      </c>
      <c r="I40" cm="1">
        <f t="array" ref="I40">TREND($X$8:$X$16,$W$8:$W$16,H40)</f>
        <v>216.56624253756831</v>
      </c>
      <c r="J40">
        <f>I40/(2/0.2)*3</f>
        <v>64.969872761270494</v>
      </c>
      <c r="K40">
        <v>8.2122136813563229E-2</v>
      </c>
      <c r="L40" s="1">
        <f t="shared" si="0"/>
        <v>791.13714379799387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3.03</v>
      </c>
      <c r="G41">
        <v>248576</v>
      </c>
      <c r="H41">
        <v>248575.92199999999</v>
      </c>
      <c r="I41" cm="1">
        <f t="array" ref="I41">TREND($X$8:$X$16,$W$8:$W$16,H41)</f>
        <v>123.45024211928072</v>
      </c>
      <c r="J41">
        <f>I41/(2/0.2)*3</f>
        <v>37.035072635784218</v>
      </c>
      <c r="K41">
        <v>0.10224691443219328</v>
      </c>
      <c r="L41" s="1">
        <f t="shared" si="0"/>
        <v>362.21212973956915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3.02</v>
      </c>
      <c r="G42">
        <v>581249</v>
      </c>
      <c r="H42">
        <v>581249.25</v>
      </c>
      <c r="I42" cm="1">
        <f t="array" ref="I42">TREND($X$8:$X$16,$W$8:$W$16,H42)</f>
        <v>287.60548316871223</v>
      </c>
      <c r="J42">
        <f>I42/(2/0.2)*3</f>
        <v>86.281644950613668</v>
      </c>
      <c r="K42">
        <v>0.12639664757454935</v>
      </c>
      <c r="L42" s="1">
        <f t="shared" si="0"/>
        <v>682.62605540803077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3.02</v>
      </c>
      <c r="G43">
        <v>214412</v>
      </c>
      <c r="H43">
        <v>214412.04699999999</v>
      </c>
      <c r="I43" cm="1">
        <f t="array" ref="I43">TREND($X$8:$X$16,$W$8:$W$16,H43)</f>
        <v>106.5923257677551</v>
      </c>
      <c r="J43">
        <f>I43/(2/0.2)*3</f>
        <v>31.977697730326533</v>
      </c>
      <c r="K43">
        <v>0.15054638071690538</v>
      </c>
      <c r="L43" s="1">
        <f t="shared" si="0"/>
        <v>212.41093660337759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3.03</v>
      </c>
      <c r="G44">
        <v>255919</v>
      </c>
      <c r="H44">
        <v>255919.125</v>
      </c>
      <c r="I44" cm="1">
        <f t="array" ref="I44">TREND($X$8:$X$16,$W$8:$W$16,H44)</f>
        <v>127.07369238440059</v>
      </c>
      <c r="J44">
        <f>I44/(2/0.2)*3</f>
        <v>38.122107715320176</v>
      </c>
      <c r="K44">
        <v>0.14893639850741497</v>
      </c>
      <c r="L44" s="1">
        <f t="shared" si="0"/>
        <v>255.9623308832879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3.02</v>
      </c>
      <c r="G45">
        <v>228783</v>
      </c>
      <c r="H45">
        <v>228783.09400000001</v>
      </c>
      <c r="I45" cm="1">
        <f t="array" ref="I45">TREND($X$8:$X$16,$W$8:$W$16,H45)</f>
        <v>113.68361468652803</v>
      </c>
      <c r="J45">
        <f>I45/(2/0.2)*3</f>
        <v>34.105084405958408</v>
      </c>
      <c r="K45">
        <v>4.0262599366812736E-2</v>
      </c>
      <c r="L45" s="1">
        <f t="shared" si="0"/>
        <v>847.06613438550653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3.03</v>
      </c>
      <c r="G46">
        <v>280767</v>
      </c>
      <c r="H46">
        <v>280767.25</v>
      </c>
      <c r="I46" cm="1">
        <f t="array" ref="I46">TREND($X$8:$X$16,$W$8:$W$16,H46)</f>
        <v>139.33481945919095</v>
      </c>
      <c r="J46">
        <f>I46/(2/0.2)*3</f>
        <v>41.80044583775728</v>
      </c>
      <c r="K46">
        <v>0.11351678989862611</v>
      </c>
      <c r="L46" s="1">
        <f t="shared" si="0"/>
        <v>368.23139444910595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3.02</v>
      </c>
      <c r="G47">
        <v>233478</v>
      </c>
      <c r="H47">
        <v>233478.45300000001</v>
      </c>
      <c r="I47" cm="1">
        <f t="array" ref="I47">TREND($X$8:$X$16,$W$8:$W$16,H47)</f>
        <v>116.00050553284986</v>
      </c>
      <c r="J47">
        <f>I47/(2/0.2)*3</f>
        <v>34.800151659854954</v>
      </c>
      <c r="K47">
        <v>0.10144192332744809</v>
      </c>
      <c r="L47" s="1">
        <f t="shared" si="0"/>
        <v>343.05492757192974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3.02</v>
      </c>
      <c r="G48">
        <v>303612</v>
      </c>
      <c r="H48">
        <v>303612.31300000002</v>
      </c>
      <c r="I48" cm="1">
        <f t="array" ref="I48">TREND($X$8:$X$16,$W$8:$W$16,H48)</f>
        <v>150.60755011692027</v>
      </c>
      <c r="J48">
        <f>I48/(2/0.2)*3</f>
        <v>45.182265035076085</v>
      </c>
      <c r="K48">
        <v>8.3732119023053622E-2</v>
      </c>
      <c r="L48" s="1">
        <f t="shared" si="0"/>
        <v>539.60493968433116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3.02</v>
      </c>
      <c r="G49">
        <v>305564</v>
      </c>
      <c r="H49">
        <v>305564.34399999998</v>
      </c>
      <c r="I49" cm="1">
        <f t="array" ref="I49">TREND($X$8:$X$16,$W$8:$W$16,H49)</f>
        <v>151.57076565712418</v>
      </c>
      <c r="J49">
        <f>I49/(2/0.2)*3</f>
        <v>45.471229697137261</v>
      </c>
      <c r="K49">
        <v>0.22299558014397355</v>
      </c>
      <c r="L49" s="1">
        <f t="shared" si="0"/>
        <v>203.91090113884536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3.02</v>
      </c>
      <c r="G50">
        <v>396818</v>
      </c>
      <c r="H50">
        <v>396817.81300000002</v>
      </c>
      <c r="I50" cm="1">
        <f t="array" ref="I50">TREND($X$8:$X$16,$W$8:$W$16,H50)</f>
        <v>196.59912813616199</v>
      </c>
      <c r="J50">
        <f>I50/(2/0.2)*3</f>
        <v>58.979738440848593</v>
      </c>
      <c r="K50">
        <v>0.1175417454223521</v>
      </c>
      <c r="L50" s="1">
        <f t="shared" si="0"/>
        <v>501.7769493631564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3.03</v>
      </c>
      <c r="G51">
        <v>371477</v>
      </c>
      <c r="H51">
        <v>371477.15600000002</v>
      </c>
      <c r="I51" cm="1">
        <f t="array" ref="I51">TREND($X$8:$X$16,$W$8:$W$16,H51)</f>
        <v>184.09496471796945</v>
      </c>
      <c r="J51">
        <f>I51/(2/0.2)*3</f>
        <v>55.22848941539084</v>
      </c>
      <c r="K51">
        <v>0.11351678989862611</v>
      </c>
      <c r="L51" s="1">
        <f t="shared" si="0"/>
        <v>486.52264977464154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3.02</v>
      </c>
      <c r="G52">
        <v>227771</v>
      </c>
      <c r="H52">
        <v>227770.79699999999</v>
      </c>
      <c r="I52" cm="1">
        <f t="array" ref="I52">TREND($X$8:$X$16,$W$8:$W$16,H52)</f>
        <v>113.18410407337596</v>
      </c>
      <c r="J52">
        <f>I52/(2/0.2)*3</f>
        <v>33.955231222012792</v>
      </c>
      <c r="K52">
        <v>8.4537110127798853E-2</v>
      </c>
      <c r="L52" s="1">
        <f t="shared" si="0"/>
        <v>401.66065732174923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3.02</v>
      </c>
      <c r="G53">
        <v>335247</v>
      </c>
      <c r="H53">
        <v>335247</v>
      </c>
      <c r="I53" cm="1">
        <f t="array" ref="I53">TREND($X$8:$X$16,$W$8:$W$16,H53)</f>
        <v>166.21745699231701</v>
      </c>
      <c r="J53">
        <f>I53/(2/0.2)*3</f>
        <v>49.865237097695108</v>
      </c>
      <c r="K53">
        <v>0.1078818521654097</v>
      </c>
      <c r="L53" s="1">
        <f t="shared" si="0"/>
        <v>462.22081005097414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3.02</v>
      </c>
      <c r="G54">
        <v>447610</v>
      </c>
      <c r="H54">
        <v>447609.53100000002</v>
      </c>
      <c r="I54" cm="1">
        <f t="array" ref="I54">TREND($X$8:$X$16,$W$8:$W$16,H54)</f>
        <v>221.66193302566234</v>
      </c>
      <c r="J54">
        <f>I54/(2/0.2)*3</f>
        <v>66.498579907698712</v>
      </c>
      <c r="K54">
        <v>0.14813140740266978</v>
      </c>
      <c r="L54" s="1">
        <f t="shared" si="0"/>
        <v>448.91614191535865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3.02</v>
      </c>
      <c r="G55">
        <v>491108</v>
      </c>
      <c r="H55">
        <v>491107.93800000002</v>
      </c>
      <c r="I55" cm="1">
        <f t="array" ref="I55">TREND($X$8:$X$16,$W$8:$W$16,H55)</f>
        <v>243.12590649561025</v>
      </c>
      <c r="J55">
        <f>I55/(2/0.2)*3</f>
        <v>72.937771948683064</v>
      </c>
      <c r="K55">
        <v>6.6022314718659172E-2</v>
      </c>
      <c r="L55" s="1">
        <f t="shared" si="0"/>
        <v>1104.7442407842368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3.02</v>
      </c>
      <c r="G56">
        <v>466011</v>
      </c>
      <c r="H56">
        <v>466010.96899999998</v>
      </c>
      <c r="I56" cm="1">
        <f t="array" ref="I56">TREND($X$8:$X$16,$W$8:$W$16,H56)</f>
        <v>230.74198915371522</v>
      </c>
      <c r="J56">
        <f>I56/(2/0.2)*3</f>
        <v>69.222596746114561</v>
      </c>
      <c r="K56">
        <v>0.22621554456295434</v>
      </c>
      <c r="L56" s="1">
        <f t="shared" si="0"/>
        <v>306.00282964573353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3.02</v>
      </c>
      <c r="G57">
        <v>290630</v>
      </c>
      <c r="H57">
        <v>290629.71899999998</v>
      </c>
      <c r="I57" cm="1">
        <f t="array" ref="I57">TREND($X$8:$X$16,$W$8:$W$16,H57)</f>
        <v>144.20138326149714</v>
      </c>
      <c r="J57">
        <f>I57/(2/0.2)*3</f>
        <v>43.260414978449148</v>
      </c>
      <c r="K57">
        <v>0.21897062462024752</v>
      </c>
      <c r="L57" s="1">
        <f t="shared" si="0"/>
        <v>197.56264135188934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3.02</v>
      </c>
      <c r="G58">
        <v>357300</v>
      </c>
      <c r="H58">
        <v>357300.40600000002</v>
      </c>
      <c r="I58" cm="1">
        <f t="array" ref="I58">TREND($X$8:$X$16,$W$8:$W$16,H58)</f>
        <v>177.09955024474323</v>
      </c>
      <c r="J58">
        <f>I58/(2/0.2)*3</f>
        <v>53.129865073422962</v>
      </c>
      <c r="K58">
        <v>0.11271179879388092</v>
      </c>
      <c r="L58" s="1">
        <f t="shared" si="0"/>
        <v>471.37802467852515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3.02</v>
      </c>
      <c r="G59">
        <v>816694</v>
      </c>
      <c r="H59">
        <v>816694.31299999997</v>
      </c>
      <c r="I59" cm="1">
        <f t="array" ref="I59">TREND($X$8:$X$16,$W$8:$W$16,H59)</f>
        <v>403.78414198401583</v>
      </c>
      <c r="J59">
        <f>I59/(2/0.2)*3</f>
        <v>121.13524259520476</v>
      </c>
      <c r="K59">
        <v>9.1782030070505644E-2</v>
      </c>
      <c r="L59" s="1">
        <f t="shared" si="0"/>
        <v>1319.8143743622841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3.02</v>
      </c>
      <c r="G60">
        <v>420548</v>
      </c>
      <c r="H60">
        <v>420547.93800000002</v>
      </c>
      <c r="I60" cm="1">
        <f t="array" ref="I60">TREND($X$8:$X$16,$W$8:$W$16,H60)</f>
        <v>208.30858621904184</v>
      </c>
      <c r="J60">
        <f>I60/(2/0.2)*3</f>
        <v>62.492575865712553</v>
      </c>
      <c r="K60">
        <v>0.16584121170706426</v>
      </c>
      <c r="L60" s="1">
        <f t="shared" si="0"/>
        <v>376.82175149622708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3.02</v>
      </c>
      <c r="G61">
        <v>479541</v>
      </c>
      <c r="H61">
        <v>479541.34399999998</v>
      </c>
      <c r="I61" cm="1">
        <f t="array" ref="I61">TREND($X$8:$X$16,$W$8:$W$16,H61)</f>
        <v>237.41845457090733</v>
      </c>
      <c r="J61">
        <f>I61/(2/0.2)*3</f>
        <v>71.225536371272199</v>
      </c>
      <c r="K61">
        <v>0.20850574025855992</v>
      </c>
      <c r="L61" s="1">
        <f t="shared" si="0"/>
        <v>341.59988249219498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3.02</v>
      </c>
      <c r="G62">
        <v>334568</v>
      </c>
      <c r="H62">
        <v>334567.68800000002</v>
      </c>
      <c r="I62" cm="1">
        <f t="array" ref="I62">TREND($X$8:$X$16,$W$8:$W$16,H62)</f>
        <v>165.88225541250245</v>
      </c>
      <c r="J62">
        <f>I62/(2/0.2)*3</f>
        <v>49.764676623750738</v>
      </c>
      <c r="K62">
        <v>0.15457133624063138</v>
      </c>
      <c r="L62" s="1">
        <f t="shared" si="0"/>
        <v>321.95281372400632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3.02</v>
      </c>
      <c r="G63">
        <v>339281</v>
      </c>
      <c r="H63">
        <v>339281.18800000002</v>
      </c>
      <c r="I63" cm="1">
        <f t="array" ref="I63">TREND($X$8:$X$16,$W$8:$W$16,H63)</f>
        <v>168.20809780371002</v>
      </c>
      <c r="J63">
        <f>I63/(2/0.2)*3</f>
        <v>50.462429341113001</v>
      </c>
      <c r="K63">
        <v>0.22863051787718996</v>
      </c>
      <c r="L63" s="1">
        <f t="shared" si="0"/>
        <v>220.71606979528056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3.02</v>
      </c>
      <c r="G64">
        <v>343632</v>
      </c>
      <c r="H64">
        <v>343632.21899999998</v>
      </c>
      <c r="I64" cm="1">
        <f t="array" ref="I64">TREND($X$8:$X$16,$W$8:$W$16,H64)</f>
        <v>170.35508249560735</v>
      </c>
      <c r="J64">
        <f>I64/(2/0.2)*3</f>
        <v>51.106524748682205</v>
      </c>
      <c r="K64">
        <v>0.19079593595416544</v>
      </c>
      <c r="L64" s="1">
        <f t="shared" si="0"/>
        <v>267.85960871283669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3.02</v>
      </c>
      <c r="G65">
        <v>248039</v>
      </c>
      <c r="H65">
        <v>248038.81299999999</v>
      </c>
      <c r="I65" cm="1">
        <f t="array" ref="I65">TREND($X$8:$X$16,$W$8:$W$16,H65)</f>
        <v>123.18520957851503</v>
      </c>
      <c r="J65">
        <f>I65/(2/0.2)*3</f>
        <v>36.955562873554506</v>
      </c>
      <c r="K65">
        <v>0.13122659420302052</v>
      </c>
      <c r="L65" s="1">
        <f t="shared" si="0"/>
        <v>281.61641394411714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3.02</v>
      </c>
      <c r="G66">
        <v>446505</v>
      </c>
      <c r="H66">
        <v>446504.53100000002</v>
      </c>
      <c r="I66" cm="1">
        <f t="array" ref="I66">TREND($X$8:$X$16,$W$8:$W$16,H66)</f>
        <v>221.11667878947173</v>
      </c>
      <c r="J66">
        <f>I66/(2/0.2)*3</f>
        <v>66.33500363684152</v>
      </c>
      <c r="K66">
        <v>0.13927650525047255</v>
      </c>
      <c r="L66" s="1">
        <f t="shared" si="0"/>
        <v>476.2827981470798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3.02</v>
      </c>
      <c r="G67">
        <v>366371</v>
      </c>
      <c r="H67">
        <v>366370.93800000002</v>
      </c>
      <c r="I67" cm="1">
        <f t="array" ref="I67">TREND($X$8:$X$16,$W$8:$W$16,H67)</f>
        <v>181.575338477777</v>
      </c>
      <c r="J67">
        <f>I67/(2/0.2)*3</f>
        <v>54.472601543333099</v>
      </c>
      <c r="K67">
        <v>9.7416967803722054E-2</v>
      </c>
      <c r="L67" s="1">
        <f t="shared" si="0"/>
        <v>559.16954480748927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3.02</v>
      </c>
      <c r="G68">
        <v>359381</v>
      </c>
      <c r="H68">
        <v>359380.81300000002</v>
      </c>
      <c r="I68" cm="1">
        <f t="array" ref="I68">TREND($X$8:$X$16,$W$8:$W$16,H68)</f>
        <v>178.12611199112388</v>
      </c>
      <c r="J68">
        <f>I68/(2/0.2)*3</f>
        <v>53.437833597337168</v>
      </c>
      <c r="K68">
        <v>7.4877216870856411E-2</v>
      </c>
      <c r="L68" s="1">
        <f t="shared" si="0"/>
        <v>713.67280770469119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3.02</v>
      </c>
      <c r="G69">
        <v>539124</v>
      </c>
      <c r="H69">
        <v>539123.5</v>
      </c>
      <c r="I69" cm="1">
        <f t="array" ref="I69">TREND($X$8:$X$16,$W$8:$W$16,H69)</f>
        <v>266.8188373404717</v>
      </c>
      <c r="J69">
        <f>I69/(2/0.2)*3</f>
        <v>80.045651202141499</v>
      </c>
      <c r="K69">
        <v>0.14491144298368897</v>
      </c>
      <c r="L69" s="1">
        <f t="shared" si="0"/>
        <v>552.37633104758561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3.02</v>
      </c>
      <c r="G70">
        <v>371666</v>
      </c>
      <c r="H70">
        <v>371665.875</v>
      </c>
      <c r="I70" cm="1">
        <f t="array" ref="I70">TREND($X$8:$X$16,$W$8:$W$16,H70)</f>
        <v>184.18808673986956</v>
      </c>
      <c r="J70">
        <f>I70/(2/0.2)*3</f>
        <v>55.256426021960863</v>
      </c>
      <c r="K70">
        <v>0.14571643408843418</v>
      </c>
      <c r="L70" s="1">
        <f t="shared" si="0"/>
        <v>379.20517591328212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3.02</v>
      </c>
      <c r="G71">
        <v>232204</v>
      </c>
      <c r="H71">
        <v>232204.17199999999</v>
      </c>
      <c r="I71" cm="1">
        <f t="array" ref="I71">TREND($X$8:$X$16,$W$8:$W$16,H71)</f>
        <v>115.37172081488859</v>
      </c>
      <c r="J71">
        <f>I71/(2/0.2)*3</f>
        <v>34.611516244466571</v>
      </c>
      <c r="K71">
        <v>0.26405012648597881</v>
      </c>
      <c r="L71" s="1">
        <f t="shared" si="0"/>
        <v>131.0793397643173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3.02</v>
      </c>
      <c r="G72">
        <v>177690</v>
      </c>
      <c r="H72">
        <v>177690.07800000001</v>
      </c>
      <c r="I72" cm="1">
        <f t="array" ref="I72">TREND($X$8:$X$16,$W$8:$W$16,H72)</f>
        <v>88.472136484036071</v>
      </c>
      <c r="J72">
        <f>I72/(2/0.2)*3</f>
        <v>26.541640945210819</v>
      </c>
      <c r="K72">
        <v>0.17469611385926145</v>
      </c>
      <c r="L72" s="1">
        <f t="shared" si="0"/>
        <v>151.93034555189519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3.02</v>
      </c>
      <c r="G73">
        <v>123019</v>
      </c>
      <c r="H73">
        <v>123018.859</v>
      </c>
      <c r="I73" cm="1">
        <f t="array" ref="I73">TREND($X$8:$X$16,$W$8:$W$16,H73)</f>
        <v>61.495019961453707</v>
      </c>
      <c r="J73">
        <f>I73/(2/0.2)*3</f>
        <v>18.448505988436111</v>
      </c>
      <c r="K73">
        <v>0.1175417454223521</v>
      </c>
      <c r="L73" s="1">
        <f t="shared" ref="L73" si="1">J73/K73</f>
        <v>156.95279938328946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E550-E339-490A-94B0-3DF872F93C99}">
  <dimension ref="A1:AB74"/>
  <sheetViews>
    <sheetView workbookViewId="0">
      <selection activeCell="J1" sqref="J1:K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249</v>
      </c>
      <c r="P3" t="s">
        <v>78</v>
      </c>
    </row>
    <row r="5" spans="1:28" x14ac:dyDescent="0.3">
      <c r="A5" t="s">
        <v>250</v>
      </c>
      <c r="P5" t="s">
        <v>79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3.11</v>
      </c>
      <c r="G8">
        <v>340896</v>
      </c>
      <c r="H8">
        <v>340895.84399999998</v>
      </c>
      <c r="I8" cm="1">
        <f t="array" ref="I8">TREND($X$8:$X$16,$W$8:$W$16,H8)</f>
        <v>169.00483809691411</v>
      </c>
      <c r="J8">
        <f>I8/(2/0.2)*3</f>
        <v>50.70145142907424</v>
      </c>
      <c r="K8">
        <v>0.14813140740266978</v>
      </c>
      <c r="L8" s="1">
        <f>J8/K8</f>
        <v>342.27347405976542</v>
      </c>
      <c r="P8">
        <v>1</v>
      </c>
      <c r="Q8" t="s">
        <v>80</v>
      </c>
      <c r="R8" t="s">
        <v>39</v>
      </c>
      <c r="S8" t="s">
        <v>12</v>
      </c>
      <c r="T8" t="s">
        <v>13</v>
      </c>
      <c r="U8">
        <v>1.95</v>
      </c>
      <c r="V8">
        <v>1597</v>
      </c>
      <c r="W8">
        <v>1596.8109999999999</v>
      </c>
      <c r="X8">
        <v>1</v>
      </c>
      <c r="Y8">
        <v>0.84</v>
      </c>
      <c r="Z8">
        <v>-16</v>
      </c>
      <c r="AA8">
        <v>12</v>
      </c>
      <c r="AB8">
        <v>34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3.11</v>
      </c>
      <c r="G9">
        <v>478466</v>
      </c>
      <c r="H9">
        <v>478466.25</v>
      </c>
      <c r="I9" cm="1">
        <f t="array" ref="I9">TREND($X$8:$X$16,$W$8:$W$16,H9)</f>
        <v>236.88795723352899</v>
      </c>
      <c r="J9">
        <f>I9/(2/0.2)*3</f>
        <v>71.066387170058704</v>
      </c>
      <c r="K9">
        <v>0.11673675431760691</v>
      </c>
      <c r="L9" s="1">
        <f t="shared" ref="L9:L72" si="0">J9/K9</f>
        <v>608.77473924542767</v>
      </c>
      <c r="P9">
        <v>2</v>
      </c>
      <c r="Q9" t="s">
        <v>81</v>
      </c>
      <c r="R9" t="s">
        <v>40</v>
      </c>
      <c r="S9" t="s">
        <v>12</v>
      </c>
      <c r="T9" t="s">
        <v>14</v>
      </c>
      <c r="U9">
        <v>1.95</v>
      </c>
      <c r="V9">
        <v>4560</v>
      </c>
      <c r="W9">
        <v>4560.3</v>
      </c>
      <c r="X9">
        <v>2</v>
      </c>
      <c r="Y9">
        <v>2.339</v>
      </c>
      <c r="Z9">
        <v>16.899999999999999</v>
      </c>
      <c r="AA9">
        <v>69</v>
      </c>
      <c r="AB9">
        <v>35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3.11</v>
      </c>
      <c r="G10">
        <v>627162</v>
      </c>
      <c r="H10">
        <v>627161.81299999997</v>
      </c>
      <c r="I10" cm="1">
        <f t="array" ref="I10">TREND($X$8:$X$16,$W$8:$W$16,H10)</f>
        <v>310.26070440863742</v>
      </c>
      <c r="J10">
        <f>I10/(2/0.2)*3</f>
        <v>93.078211322591216</v>
      </c>
      <c r="K10">
        <v>8.6147092337289247E-2</v>
      </c>
      <c r="L10" s="1">
        <f t="shared" si="0"/>
        <v>1080.4567954326858</v>
      </c>
      <c r="P10">
        <v>3</v>
      </c>
      <c r="Q10" t="s">
        <v>82</v>
      </c>
      <c r="R10" t="s">
        <v>41</v>
      </c>
      <c r="S10" t="s">
        <v>12</v>
      </c>
      <c r="T10" t="s">
        <v>15</v>
      </c>
      <c r="U10">
        <v>1.95</v>
      </c>
      <c r="V10">
        <v>8767</v>
      </c>
      <c r="W10">
        <v>8766.9439999999995</v>
      </c>
      <c r="X10">
        <v>5</v>
      </c>
      <c r="Y10">
        <v>4.4660000000000002</v>
      </c>
      <c r="Z10">
        <v>-10.7</v>
      </c>
      <c r="AA10">
        <v>73</v>
      </c>
      <c r="AB10">
        <v>140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3.11</v>
      </c>
      <c r="G11">
        <v>677807</v>
      </c>
      <c r="H11">
        <v>677806.625</v>
      </c>
      <c r="I11" cm="1">
        <f t="array" ref="I11">TREND($X$8:$X$16,$W$8:$W$16,H11)</f>
        <v>335.25101959784655</v>
      </c>
      <c r="J11">
        <f>I11/(2/0.2)*3</f>
        <v>100.57530587935398</v>
      </c>
      <c r="K11">
        <v>8.9367056756270047E-2</v>
      </c>
      <c r="L11" s="1">
        <f t="shared" si="0"/>
        <v>1125.4181297886098</v>
      </c>
      <c r="P11">
        <v>4</v>
      </c>
      <c r="Q11" t="s">
        <v>83</v>
      </c>
      <c r="R11" t="s">
        <v>42</v>
      </c>
      <c r="S11" t="s">
        <v>12</v>
      </c>
      <c r="T11" t="s">
        <v>16</v>
      </c>
      <c r="U11">
        <v>1.95</v>
      </c>
      <c r="V11">
        <v>21256</v>
      </c>
      <c r="W11">
        <v>21255.728999999999</v>
      </c>
      <c r="X11">
        <v>10</v>
      </c>
      <c r="Y11">
        <v>10.779</v>
      </c>
      <c r="Z11">
        <v>7.8</v>
      </c>
      <c r="AA11">
        <v>234</v>
      </c>
      <c r="AB11">
        <v>261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3.11</v>
      </c>
      <c r="G12">
        <v>385744</v>
      </c>
      <c r="H12">
        <v>385744.18800000002</v>
      </c>
      <c r="I12" cm="1">
        <f t="array" ref="I12">TREND($X$8:$X$16,$W$8:$W$16,H12)</f>
        <v>191.13492818934208</v>
      </c>
      <c r="J12">
        <f>I12/(2/0.2)*3</f>
        <v>57.340478456802629</v>
      </c>
      <c r="K12">
        <v>9.3392012279996037E-2</v>
      </c>
      <c r="L12" s="1">
        <f t="shared" si="0"/>
        <v>613.97626046317225</v>
      </c>
      <c r="P12">
        <v>5</v>
      </c>
      <c r="Q12" t="s">
        <v>84</v>
      </c>
      <c r="R12" t="s">
        <v>43</v>
      </c>
      <c r="S12" t="s">
        <v>12</v>
      </c>
      <c r="T12" t="s">
        <v>17</v>
      </c>
      <c r="U12">
        <v>1.94</v>
      </c>
      <c r="V12">
        <v>41703</v>
      </c>
      <c r="W12">
        <v>41702.972999999998</v>
      </c>
      <c r="X12">
        <v>20</v>
      </c>
      <c r="Y12">
        <v>21.106000000000002</v>
      </c>
      <c r="Z12">
        <v>5.5</v>
      </c>
      <c r="AA12">
        <v>591</v>
      </c>
      <c r="AB12">
        <v>434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3.11</v>
      </c>
      <c r="G13">
        <v>466158</v>
      </c>
      <c r="H13">
        <v>466158.125</v>
      </c>
      <c r="I13" cm="1">
        <f t="array" ref="I13">TREND($X$8:$X$16,$W$8:$W$16,H13)</f>
        <v>230.81460221469342</v>
      </c>
      <c r="J13">
        <f>I13/(2/0.2)*3</f>
        <v>69.244380664408027</v>
      </c>
      <c r="K13">
        <v>0.18918595374467503</v>
      </c>
      <c r="L13" s="1">
        <f t="shared" si="0"/>
        <v>366.01227149167795</v>
      </c>
      <c r="P13">
        <v>6</v>
      </c>
      <c r="Q13" t="s">
        <v>85</v>
      </c>
      <c r="R13" t="s">
        <v>44</v>
      </c>
      <c r="S13" t="s">
        <v>12</v>
      </c>
      <c r="T13" t="s">
        <v>18</v>
      </c>
      <c r="U13">
        <v>1.95</v>
      </c>
      <c r="V13">
        <v>90759</v>
      </c>
      <c r="W13">
        <v>90759.233999999997</v>
      </c>
      <c r="X13">
        <v>50</v>
      </c>
      <c r="Y13">
        <v>45.838999999999999</v>
      </c>
      <c r="Z13">
        <v>-8.3000000000000007</v>
      </c>
      <c r="AA13">
        <v>857</v>
      </c>
      <c r="AB13">
        <v>659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3.11</v>
      </c>
      <c r="G14">
        <v>384926</v>
      </c>
      <c r="H14">
        <v>384926.03100000002</v>
      </c>
      <c r="I14" cm="1">
        <f t="array" ref="I14">TREND($X$8:$X$16,$W$8:$W$16,H14)</f>
        <v>190.73121455122532</v>
      </c>
      <c r="J14">
        <f>I14/(2/0.2)*3</f>
        <v>57.219364365367596</v>
      </c>
      <c r="K14">
        <v>9.2587021175250833E-2</v>
      </c>
      <c r="L14" s="1">
        <f t="shared" si="0"/>
        <v>618.00632139424249</v>
      </c>
      <c r="P14">
        <v>7</v>
      </c>
      <c r="Q14" t="s">
        <v>86</v>
      </c>
      <c r="R14" t="s">
        <v>45</v>
      </c>
      <c r="S14" t="s">
        <v>12</v>
      </c>
      <c r="T14" t="s">
        <v>19</v>
      </c>
      <c r="U14">
        <v>1.95</v>
      </c>
      <c r="V14">
        <v>213903</v>
      </c>
      <c r="W14">
        <v>213902.70300000001</v>
      </c>
      <c r="X14">
        <v>100</v>
      </c>
      <c r="Y14">
        <v>107.654</v>
      </c>
      <c r="Z14">
        <v>7.7</v>
      </c>
      <c r="AA14">
        <v>2083</v>
      </c>
      <c r="AB14">
        <v>2574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3.11</v>
      </c>
      <c r="G15">
        <v>358959</v>
      </c>
      <c r="H15">
        <v>358959.18800000002</v>
      </c>
      <c r="I15" cm="1">
        <f t="array" ref="I15">TREND($X$8:$X$16,$W$8:$W$16,H15)</f>
        <v>177.91806419263168</v>
      </c>
      <c r="J15">
        <f>I15/(2/0.2)*3</f>
        <v>53.375419257789503</v>
      </c>
      <c r="K15">
        <v>0.14974138961216016</v>
      </c>
      <c r="L15" s="1">
        <f t="shared" si="0"/>
        <v>356.45067403231184</v>
      </c>
      <c r="P15">
        <v>8</v>
      </c>
      <c r="Q15" t="s">
        <v>87</v>
      </c>
      <c r="R15" t="s">
        <v>46</v>
      </c>
      <c r="S15" t="s">
        <v>12</v>
      </c>
      <c r="T15" t="s">
        <v>20</v>
      </c>
      <c r="U15">
        <v>1.95</v>
      </c>
      <c r="V15">
        <v>386442</v>
      </c>
      <c r="W15">
        <v>386442</v>
      </c>
      <c r="X15">
        <v>200</v>
      </c>
      <c r="Y15">
        <v>193.625</v>
      </c>
      <c r="Z15">
        <v>-3.2</v>
      </c>
      <c r="AA15">
        <v>4217</v>
      </c>
      <c r="AB15">
        <v>4928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3.11</v>
      </c>
      <c r="G16">
        <v>1028299</v>
      </c>
      <c r="H16">
        <v>1028298.625</v>
      </c>
      <c r="I16" cm="1">
        <f t="array" ref="I16">TREND($X$8:$X$16,$W$8:$W$16,H16)</f>
        <v>508.19875511903427</v>
      </c>
      <c r="J16">
        <f>I16/(2/0.2)*3</f>
        <v>152.45962653571027</v>
      </c>
      <c r="K16">
        <v>0.19965083810636269</v>
      </c>
      <c r="L16" s="1">
        <f t="shared" si="0"/>
        <v>763.63128741031574</v>
      </c>
      <c r="P16">
        <v>9</v>
      </c>
      <c r="Q16" t="s">
        <v>88</v>
      </c>
      <c r="R16" t="s">
        <v>47</v>
      </c>
      <c r="S16" t="s">
        <v>12</v>
      </c>
      <c r="T16" t="s">
        <v>21</v>
      </c>
      <c r="U16">
        <v>1.95</v>
      </c>
      <c r="V16">
        <v>1016164</v>
      </c>
      <c r="W16">
        <v>1016164.063</v>
      </c>
      <c r="X16">
        <v>500</v>
      </c>
      <c r="Y16">
        <v>501.34800000000001</v>
      </c>
      <c r="Z16">
        <v>0.3</v>
      </c>
      <c r="AA16">
        <v>6763</v>
      </c>
      <c r="AB16">
        <v>12669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3.11</v>
      </c>
      <c r="G17">
        <v>1333695</v>
      </c>
      <c r="H17">
        <v>1333694.75</v>
      </c>
      <c r="I17" cm="1">
        <f t="array" ref="I17">TREND($X$8:$X$16,$W$8:$W$16,H17)</f>
        <v>658.8942581710171</v>
      </c>
      <c r="J17">
        <f>I17/(2/0.2)*3</f>
        <v>197.66827745130513</v>
      </c>
      <c r="K17">
        <v>0.22058060682973793</v>
      </c>
      <c r="L17" s="1">
        <f t="shared" si="0"/>
        <v>896.12718131599661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3.11</v>
      </c>
      <c r="G18">
        <v>680335</v>
      </c>
      <c r="H18">
        <v>680334.81299999997</v>
      </c>
      <c r="I18" cm="1">
        <f t="array" ref="I18">TREND($X$8:$X$16,$W$8:$W$16,H18)</f>
        <v>336.49853563122775</v>
      </c>
      <c r="J18">
        <f>I18/(2/0.2)*3</f>
        <v>100.94956068936833</v>
      </c>
      <c r="K18">
        <v>0.12720163867929454</v>
      </c>
      <c r="L18" s="1">
        <f t="shared" si="0"/>
        <v>793.61839782493746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3.11</v>
      </c>
      <c r="G19">
        <v>807375</v>
      </c>
      <c r="H19">
        <v>807375.18799999997</v>
      </c>
      <c r="I19" cm="1">
        <f t="array" ref="I19">TREND($X$8:$X$16,$W$8:$W$16,H19)</f>
        <v>399.18568733800709</v>
      </c>
      <c r="J19">
        <f>I19/(2/0.2)*3</f>
        <v>119.75570620140213</v>
      </c>
      <c r="K19">
        <v>0.1594012828691026</v>
      </c>
      <c r="L19" s="1">
        <f t="shared" si="0"/>
        <v>751.28445672387284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3.11</v>
      </c>
      <c r="G20">
        <v>915798</v>
      </c>
      <c r="H20">
        <v>915797.75</v>
      </c>
      <c r="I20" cm="1">
        <f t="array" ref="I20">TREND($X$8:$X$16,$W$8:$W$16,H20)</f>
        <v>452.68601424220344</v>
      </c>
      <c r="J20">
        <f>I20/(2/0.2)*3</f>
        <v>135.80580427266102</v>
      </c>
      <c r="K20">
        <v>0.14491144298368897</v>
      </c>
      <c r="L20" s="1">
        <f t="shared" si="0"/>
        <v>937.16411538284899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3.11</v>
      </c>
      <c r="G21">
        <v>1346026</v>
      </c>
      <c r="H21">
        <v>1346025.625</v>
      </c>
      <c r="I21" cm="1">
        <f t="array" ref="I21">TREND($X$8:$X$16,$W$8:$W$16,H21)</f>
        <v>664.97883901236253</v>
      </c>
      <c r="J21">
        <f>I21/(2/0.2)*3</f>
        <v>199.49365170370874</v>
      </c>
      <c r="K21">
        <v>0.24553533107683917</v>
      </c>
      <c r="L21" s="1">
        <f t="shared" si="0"/>
        <v>812.48450407847054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3.11</v>
      </c>
      <c r="G22">
        <v>921173</v>
      </c>
      <c r="H22">
        <v>921173.18799999997</v>
      </c>
      <c r="I22" cm="1">
        <f t="array" ref="I22">TREND($X$8:$X$16,$W$8:$W$16,H22)</f>
        <v>455.3384851389273</v>
      </c>
      <c r="J22">
        <f>I22/(2/0.2)*3</f>
        <v>136.60154554167818</v>
      </c>
      <c r="K22">
        <v>0.3002747261995129</v>
      </c>
      <c r="L22" s="1">
        <f t="shared" si="0"/>
        <v>454.92188860049242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3.11</v>
      </c>
      <c r="G23">
        <v>701317</v>
      </c>
      <c r="H23">
        <v>701317.43799999997</v>
      </c>
      <c r="I23" cm="1">
        <f t="array" ref="I23">TREND($X$8:$X$16,$W$8:$W$16,H23)</f>
        <v>346.85225976484634</v>
      </c>
      <c r="J23">
        <f>I23/(2/0.2)*3</f>
        <v>104.05567792945389</v>
      </c>
      <c r="K23">
        <v>0.17147614944028067</v>
      </c>
      <c r="L23" s="1">
        <f t="shared" si="0"/>
        <v>606.82303789246771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3.11</v>
      </c>
      <c r="G24">
        <v>476208</v>
      </c>
      <c r="H24">
        <v>476207.875</v>
      </c>
      <c r="I24" cm="1">
        <f t="array" ref="I24">TREND($X$8:$X$16,$W$8:$W$16,H24)</f>
        <v>235.77357846822861</v>
      </c>
      <c r="J24">
        <f>I24/(2/0.2)*3</f>
        <v>70.732073540468576</v>
      </c>
      <c r="K24">
        <v>0.18113604269722305</v>
      </c>
      <c r="L24" s="1">
        <f t="shared" si="0"/>
        <v>390.49143664190774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3.11</v>
      </c>
      <c r="G25">
        <v>558069</v>
      </c>
      <c r="H25">
        <v>558069.25</v>
      </c>
      <c r="I25" cm="1">
        <f t="array" ref="I25">TREND($X$8:$X$16,$W$8:$W$16,H25)</f>
        <v>276.16748027740192</v>
      </c>
      <c r="J25">
        <f>I25/(2/0.2)*3</f>
        <v>82.850244083220588</v>
      </c>
      <c r="K25">
        <v>8.2927127918308433E-2</v>
      </c>
      <c r="L25" s="1">
        <f t="shared" si="0"/>
        <v>999.07287473933036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3.11</v>
      </c>
      <c r="G26">
        <v>1419233</v>
      </c>
      <c r="H26">
        <v>1419233</v>
      </c>
      <c r="I26" cm="1">
        <f t="array" ref="I26">TREND($X$8:$X$16,$W$8:$W$16,H26)</f>
        <v>701.10248728308034</v>
      </c>
      <c r="J26">
        <f>I26/(2/0.2)*3</f>
        <v>210.33074618492412</v>
      </c>
      <c r="K26">
        <v>0.11593176321286171</v>
      </c>
      <c r="L26" s="1">
        <f t="shared" si="0"/>
        <v>1814.2633248727266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3.11</v>
      </c>
      <c r="G27">
        <v>1368103</v>
      </c>
      <c r="H27">
        <v>1368102.75</v>
      </c>
      <c r="I27" cm="1">
        <f t="array" ref="I27">TREND($X$8:$X$16,$W$8:$W$16,H27)</f>
        <v>675.87263623332103</v>
      </c>
      <c r="J27">
        <f>I27/(2/0.2)*3</f>
        <v>202.76179086999633</v>
      </c>
      <c r="K27">
        <v>0.17469611385926145</v>
      </c>
      <c r="L27" s="1">
        <f t="shared" si="0"/>
        <v>1160.6542720998655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3.11</v>
      </c>
      <c r="G28">
        <v>807934</v>
      </c>
      <c r="H28">
        <v>807934.18799999997</v>
      </c>
      <c r="I28" cm="1">
        <f t="array" ref="I28">TREND($X$8:$X$16,$W$8:$W$16,H28)</f>
        <v>399.46152183396231</v>
      </c>
      <c r="J28">
        <f>I28/(2/0.2)*3</f>
        <v>119.83845655018868</v>
      </c>
      <c r="K28">
        <v>0.17952606048773259</v>
      </c>
      <c r="L28" s="1">
        <f t="shared" si="0"/>
        <v>667.52679931044054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3.11</v>
      </c>
      <c r="G29">
        <v>1368291</v>
      </c>
      <c r="H29">
        <v>1368291.25</v>
      </c>
      <c r="I29" cm="1">
        <f t="array" ref="I29">TREND($X$8:$X$16,$W$8:$W$16,H29)</f>
        <v>675.96565019125944</v>
      </c>
      <c r="J29">
        <f>I29/(2/0.2)*3</f>
        <v>202.78969505737786</v>
      </c>
      <c r="K29">
        <v>0.19723586479212707</v>
      </c>
      <c r="L29" s="1">
        <f t="shared" si="0"/>
        <v>1028.1583183215898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3.11</v>
      </c>
      <c r="G30">
        <v>935781</v>
      </c>
      <c r="H30">
        <v>935781.375</v>
      </c>
      <c r="I30" cm="1">
        <f t="array" ref="I30">TREND($X$8:$X$16,$W$8:$W$16,H30)</f>
        <v>462.54678907088595</v>
      </c>
      <c r="J30">
        <f>I30/(2/0.2)*3</f>
        <v>138.7640367212658</v>
      </c>
      <c r="K30">
        <v>0.28417490410460888</v>
      </c>
      <c r="L30" s="1">
        <f t="shared" si="0"/>
        <v>488.30503579649223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3.11</v>
      </c>
      <c r="G31">
        <v>1103989</v>
      </c>
      <c r="H31">
        <v>1103988.625</v>
      </c>
      <c r="I31" cm="1">
        <f t="array" ref="I31">TREND($X$8:$X$16,$W$8:$W$16,H31)</f>
        <v>545.54743669122047</v>
      </c>
      <c r="J31">
        <f>I31/(2/0.2)*3</f>
        <v>163.66423100736614</v>
      </c>
      <c r="K31">
        <v>0.17872106938298743</v>
      </c>
      <c r="L31" s="1">
        <f t="shared" si="0"/>
        <v>915.75230370093925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3.11</v>
      </c>
      <c r="G32">
        <v>1468605</v>
      </c>
      <c r="H32">
        <v>1468605.25</v>
      </c>
      <c r="I32" cm="1">
        <f t="array" ref="I32">TREND($X$8:$X$16,$W$8:$W$16,H32)</f>
        <v>725.46486598241142</v>
      </c>
      <c r="J32">
        <f>I32/(2/0.2)*3</f>
        <v>217.63945979472345</v>
      </c>
      <c r="K32">
        <v>0.19884584700161748</v>
      </c>
      <c r="L32" s="1">
        <f t="shared" si="0"/>
        <v>1094.5134790416473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3.11</v>
      </c>
      <c r="G33">
        <v>918414</v>
      </c>
      <c r="H33">
        <v>918413.68799999997</v>
      </c>
      <c r="I33" cm="1">
        <f t="array" ref="I33">TREND($X$8:$X$16,$W$8:$W$16,H33)</f>
        <v>453.97682987669384</v>
      </c>
      <c r="J33">
        <f>I33/(2/0.2)*3</f>
        <v>136.19304896300815</v>
      </c>
      <c r="K33">
        <v>0.17469611385926145</v>
      </c>
      <c r="L33" s="1">
        <f t="shared" si="0"/>
        <v>779.59976300748099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3.11</v>
      </c>
      <c r="G34">
        <v>1406904</v>
      </c>
      <c r="H34">
        <v>1406904.375</v>
      </c>
      <c r="I34" cm="1">
        <f t="array" ref="I34">TREND($X$8:$X$16,$W$8:$W$16,H34)</f>
        <v>695.0190166879172</v>
      </c>
      <c r="J34">
        <f>I34/(2/0.2)*3</f>
        <v>208.50570500637514</v>
      </c>
      <c r="K34">
        <v>0.24875529549582001</v>
      </c>
      <c r="L34" s="1">
        <f t="shared" si="0"/>
        <v>838.19604559887159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3.11</v>
      </c>
      <c r="G35">
        <v>937778</v>
      </c>
      <c r="H35">
        <v>937778.25</v>
      </c>
      <c r="I35" cm="1">
        <f t="array" ref="I35">TREND($X$8:$X$16,$W$8:$W$16,H35)</f>
        <v>463.53213255766701</v>
      </c>
      <c r="J35">
        <f>I35/(2/0.2)*3</f>
        <v>139.0596397673001</v>
      </c>
      <c r="K35">
        <v>0.18274602490671343</v>
      </c>
      <c r="L35" s="1">
        <f t="shared" si="0"/>
        <v>760.944813099415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3.11</v>
      </c>
      <c r="G36">
        <v>2087509</v>
      </c>
      <c r="H36">
        <v>2087508.5</v>
      </c>
      <c r="I36" cm="1">
        <f t="array" ref="I36">TREND($X$8:$X$16,$W$8:$W$16,H36)</f>
        <v>1030.8581862128406</v>
      </c>
      <c r="J36">
        <f>I36/(2/0.2)*3</f>
        <v>309.25745586385221</v>
      </c>
      <c r="K36">
        <v>0.18113604269722305</v>
      </c>
      <c r="L36" s="1">
        <f t="shared" si="0"/>
        <v>1707.3214764926149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3.11</v>
      </c>
      <c r="G37">
        <v>1226968</v>
      </c>
      <c r="H37">
        <v>1226967.875</v>
      </c>
      <c r="I37" cm="1">
        <f t="array" ref="I37">TREND($X$8:$X$16,$W$8:$W$16,H37)</f>
        <v>606.23065571931249</v>
      </c>
      <c r="J37">
        <f>I37/(2/0.2)*3</f>
        <v>181.86919671579375</v>
      </c>
      <c r="K37">
        <v>0.12156670094607813</v>
      </c>
      <c r="L37" s="1">
        <f t="shared" si="0"/>
        <v>1496.0445195963923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3.11</v>
      </c>
      <c r="G38">
        <v>1227127</v>
      </c>
      <c r="H38">
        <v>1227126.875</v>
      </c>
      <c r="I38" cm="1">
        <f t="array" ref="I38">TREND($X$8:$X$16,$W$8:$W$16,H38)</f>
        <v>606.30911311619423</v>
      </c>
      <c r="J38">
        <f>I38/(2/0.2)*3</f>
        <v>181.89273393485826</v>
      </c>
      <c r="K38">
        <v>8.8562065651524843E-2</v>
      </c>
      <c r="L38" s="1">
        <f t="shared" si="0"/>
        <v>2053.8447539217541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3.11</v>
      </c>
      <c r="G39">
        <v>1386211</v>
      </c>
      <c r="H39">
        <v>1386211</v>
      </c>
      <c r="I39" cm="1">
        <f t="array" ref="I39">TREND($X$8:$X$16,$W$8:$W$16,H39)</f>
        <v>684.80802086906613</v>
      </c>
      <c r="J39">
        <f>I39/(2/0.2)*3</f>
        <v>205.44240626071982</v>
      </c>
      <c r="K39">
        <v>0.13766652304098212</v>
      </c>
      <c r="L39" s="1">
        <f t="shared" si="0"/>
        <v>1492.3192779377555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3.11</v>
      </c>
      <c r="G40">
        <v>1220740</v>
      </c>
      <c r="H40">
        <v>1220739.5</v>
      </c>
      <c r="I40" cm="1">
        <f t="array" ref="I40">TREND($X$8:$X$16,$W$8:$W$16,H40)</f>
        <v>603.15730924570744</v>
      </c>
      <c r="J40">
        <f>I40/(2/0.2)*3</f>
        <v>180.94719277371223</v>
      </c>
      <c r="K40">
        <v>8.2122136813563229E-2</v>
      </c>
      <c r="L40" s="1">
        <f t="shared" si="0"/>
        <v>2203.3911901793954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3.11</v>
      </c>
      <c r="G41">
        <v>723348</v>
      </c>
      <c r="H41">
        <v>723348.125</v>
      </c>
      <c r="I41" cm="1">
        <f t="array" ref="I41">TREND($X$8:$X$16,$W$8:$W$16,H41)</f>
        <v>357.72314249148798</v>
      </c>
      <c r="J41">
        <f>I41/(2/0.2)*3</f>
        <v>107.3169427474464</v>
      </c>
      <c r="K41">
        <v>0.10224691443219328</v>
      </c>
      <c r="L41" s="1">
        <f t="shared" si="0"/>
        <v>1049.5861253457717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3.11</v>
      </c>
      <c r="G42">
        <v>1691024</v>
      </c>
      <c r="H42">
        <v>1691024</v>
      </c>
      <c r="I42" cm="1">
        <f t="array" ref="I42">TREND($X$8:$X$16,$W$8:$W$16,H42)</f>
        <v>835.21578511880591</v>
      </c>
      <c r="J42">
        <f>I42/(2/0.2)*3</f>
        <v>250.56473553564177</v>
      </c>
      <c r="K42">
        <v>0.12639664757454935</v>
      </c>
      <c r="L42" s="1">
        <f t="shared" si="0"/>
        <v>1982.3685227715987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3.11</v>
      </c>
      <c r="G43">
        <v>638284</v>
      </c>
      <c r="H43">
        <v>638283.68799999997</v>
      </c>
      <c r="I43" cm="1">
        <f t="array" ref="I43">TREND($X$8:$X$16,$W$8:$W$16,H43)</f>
        <v>315.74871296803309</v>
      </c>
      <c r="J43">
        <f>I43/(2/0.2)*3</f>
        <v>94.724613890409927</v>
      </c>
      <c r="K43">
        <v>0.15054638071690538</v>
      </c>
      <c r="L43" s="1">
        <f t="shared" si="0"/>
        <v>629.20552084566305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3.11</v>
      </c>
      <c r="G44">
        <v>818101</v>
      </c>
      <c r="H44">
        <v>818100.625</v>
      </c>
      <c r="I44" cm="1">
        <f t="array" ref="I44">TREND($X$8:$X$16,$W$8:$W$16,H44)</f>
        <v>404.47807644139652</v>
      </c>
      <c r="J44">
        <f>I44/(2/0.2)*3</f>
        <v>121.34342293241895</v>
      </c>
      <c r="K44">
        <v>0.14893639850741497</v>
      </c>
      <c r="L44" s="1">
        <f t="shared" si="0"/>
        <v>814.73316226575548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3.11</v>
      </c>
      <c r="G45">
        <v>675955</v>
      </c>
      <c r="H45">
        <v>675954.68799999997</v>
      </c>
      <c r="I45" cm="1">
        <f t="array" ref="I45">TREND($X$8:$X$16,$W$8:$W$16,H45)</f>
        <v>334.33719471602927</v>
      </c>
      <c r="J45">
        <f>I45/(2/0.2)*3</f>
        <v>100.30115841480878</v>
      </c>
      <c r="K45">
        <v>4.0262599366812736E-2</v>
      </c>
      <c r="L45" s="1">
        <f t="shared" si="0"/>
        <v>2491.1744396086865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3.11</v>
      </c>
      <c r="G46">
        <v>780376</v>
      </c>
      <c r="H46">
        <v>780376.125</v>
      </c>
      <c r="I46" cm="1">
        <f t="array" ref="I46">TREND($X$8:$X$16,$W$8:$W$16,H46)</f>
        <v>385.86319550639928</v>
      </c>
      <c r="J46">
        <f>I46/(2/0.2)*3</f>
        <v>115.75895865191978</v>
      </c>
      <c r="K46">
        <v>0.11351678989862611</v>
      </c>
      <c r="L46" s="1">
        <f t="shared" si="0"/>
        <v>1019.7518689111628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3.11</v>
      </c>
      <c r="G47">
        <v>760420</v>
      </c>
      <c r="H47">
        <v>760420.31299999997</v>
      </c>
      <c r="I47" cm="1">
        <f t="array" ref="I47">TREND($X$8:$X$16,$W$8:$W$16,H47)</f>
        <v>376.01614480085806</v>
      </c>
      <c r="J47">
        <f>I47/(2/0.2)*3</f>
        <v>112.80484344025743</v>
      </c>
      <c r="K47">
        <v>0.10144192332744809</v>
      </c>
      <c r="L47" s="1">
        <f t="shared" si="0"/>
        <v>1112.014044490566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3.11</v>
      </c>
      <c r="G48">
        <v>952693</v>
      </c>
      <c r="H48">
        <v>952692.5</v>
      </c>
      <c r="I48" cm="1">
        <f t="array" ref="I48">TREND($X$8:$X$16,$W$8:$W$16,H48)</f>
        <v>470.89146105731004</v>
      </c>
      <c r="J48">
        <f>I48/(2/0.2)*3</f>
        <v>141.26743831719301</v>
      </c>
      <c r="K48">
        <v>8.3732119023053622E-2</v>
      </c>
      <c r="L48" s="1">
        <f t="shared" si="0"/>
        <v>1687.13559343098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3.11</v>
      </c>
      <c r="G49">
        <v>986377</v>
      </c>
      <c r="H49">
        <v>986376.56299999997</v>
      </c>
      <c r="I49" cm="1">
        <f t="array" ref="I49">TREND($X$8:$X$16,$W$8:$W$16,H49)</f>
        <v>487.51261765718397</v>
      </c>
      <c r="J49">
        <f>I49/(2/0.2)*3</f>
        <v>146.25378529715519</v>
      </c>
      <c r="K49">
        <v>0.22299558014397355</v>
      </c>
      <c r="L49" s="1">
        <f t="shared" si="0"/>
        <v>655.85956996425114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3.11</v>
      </c>
      <c r="G50">
        <v>1236133</v>
      </c>
      <c r="H50">
        <v>1236133.375</v>
      </c>
      <c r="I50" cm="1">
        <f t="array" ref="I50">TREND($X$8:$X$16,$W$8:$W$16,H50)</f>
        <v>610.75330522320826</v>
      </c>
      <c r="J50">
        <f>I50/(2/0.2)*3</f>
        <v>183.22599156696248</v>
      </c>
      <c r="K50">
        <v>0.1175417454223521</v>
      </c>
      <c r="L50" s="1">
        <f t="shared" si="0"/>
        <v>1558.8163244351454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3.11</v>
      </c>
      <c r="G51">
        <v>1308200</v>
      </c>
      <c r="H51">
        <v>1308200.125</v>
      </c>
      <c r="I51" cm="1">
        <f t="array" ref="I51">TREND($X$8:$X$16,$W$8:$W$16,H51)</f>
        <v>646.3141203598492</v>
      </c>
      <c r="J51">
        <f>I51/(2/0.2)*3</f>
        <v>193.89423610795478</v>
      </c>
      <c r="K51">
        <v>0.11351678989862611</v>
      </c>
      <c r="L51" s="1">
        <f t="shared" si="0"/>
        <v>1708.0665889258155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3.11</v>
      </c>
      <c r="G52">
        <v>946537</v>
      </c>
      <c r="H52">
        <v>946537.25</v>
      </c>
      <c r="I52" cm="1">
        <f t="array" ref="I52">TREND($X$8:$X$16,$W$8:$W$16,H52)</f>
        <v>467.85419758462939</v>
      </c>
      <c r="J52">
        <f>I52/(2/0.2)*3</f>
        <v>140.35625927538882</v>
      </c>
      <c r="K52">
        <v>8.4537110127798853E-2</v>
      </c>
      <c r="L52" s="1">
        <f t="shared" si="0"/>
        <v>1660.291664373261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3.11</v>
      </c>
      <c r="G53">
        <v>1349637</v>
      </c>
      <c r="H53">
        <v>1349637.375</v>
      </c>
      <c r="I53" cm="1">
        <f t="array" ref="I53">TREND($X$8:$X$16,$W$8:$W$16,H53)</f>
        <v>666.7610308563095</v>
      </c>
      <c r="J53">
        <f>I53/(2/0.2)*3</f>
        <v>200.02830925689287</v>
      </c>
      <c r="K53">
        <v>0.1078818521654097</v>
      </c>
      <c r="L53" s="1">
        <f t="shared" si="0"/>
        <v>1854.1423348034452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3.11</v>
      </c>
      <c r="G54">
        <v>1161506</v>
      </c>
      <c r="H54">
        <v>1161505.75</v>
      </c>
      <c r="I54" cm="1">
        <f t="array" ref="I54">TREND($X$8:$X$16,$W$8:$W$16,H54)</f>
        <v>573.92884489009259</v>
      </c>
      <c r="J54">
        <f>I54/(2/0.2)*3</f>
        <v>172.1786534670278</v>
      </c>
      <c r="K54">
        <v>0.14813140740266978</v>
      </c>
      <c r="L54" s="1">
        <f t="shared" si="0"/>
        <v>1162.3372550494287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3.11</v>
      </c>
      <c r="G55">
        <v>1257683</v>
      </c>
      <c r="H55">
        <v>1257682.875</v>
      </c>
      <c r="I55" cm="1">
        <f t="array" ref="I55">TREND($X$8:$X$16,$W$8:$W$16,H55)</f>
        <v>621.38674971442015</v>
      </c>
      <c r="J55">
        <f>I55/(2/0.2)*3</f>
        <v>186.41602491432604</v>
      </c>
      <c r="K55">
        <v>6.6022314718659172E-2</v>
      </c>
      <c r="L55" s="1">
        <f t="shared" si="0"/>
        <v>2823.530585207448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3.11</v>
      </c>
      <c r="G56">
        <v>1324243</v>
      </c>
      <c r="H56">
        <v>1324243.25</v>
      </c>
      <c r="I56" cm="1">
        <f t="array" ref="I56">TREND($X$8:$X$16,$W$8:$W$16,H56)</f>
        <v>654.23048404128383</v>
      </c>
      <c r="J56">
        <f>I56/(2/0.2)*3</f>
        <v>196.26914521238513</v>
      </c>
      <c r="K56">
        <v>0.22621554456295434</v>
      </c>
      <c r="L56" s="1">
        <f t="shared" si="0"/>
        <v>867.62006382706682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3.11</v>
      </c>
      <c r="G57">
        <v>894703</v>
      </c>
      <c r="H57">
        <v>894702.875</v>
      </c>
      <c r="I57" cm="1">
        <f t="array" ref="I57">TREND($X$8:$X$16,$W$8:$W$16,H57)</f>
        <v>442.27690116015731</v>
      </c>
      <c r="J57">
        <f>I57/(2/0.2)*3</f>
        <v>132.68307034804718</v>
      </c>
      <c r="K57">
        <v>0.21897062462024752</v>
      </c>
      <c r="L57" s="1">
        <f t="shared" si="0"/>
        <v>605.94004596805814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3.11</v>
      </c>
      <c r="G58">
        <v>1272286</v>
      </c>
      <c r="H58">
        <v>1272285.625</v>
      </c>
      <c r="I58" cm="1">
        <f t="array" ref="I58">TREND($X$8:$X$16,$W$8:$W$16,H58)</f>
        <v>628.59237079815966</v>
      </c>
      <c r="J58">
        <f>I58/(2/0.2)*3</f>
        <v>188.57771123944792</v>
      </c>
      <c r="K58">
        <v>0.11271179879388092</v>
      </c>
      <c r="L58" s="1">
        <f t="shared" si="0"/>
        <v>1673.0964571358231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3.11</v>
      </c>
      <c r="G59">
        <v>2021448</v>
      </c>
      <c r="H59">
        <v>2021447.75</v>
      </c>
      <c r="I59" cm="1">
        <f t="array" ref="I59">TREND($X$8:$X$16,$W$8:$W$16,H59)</f>
        <v>998.26098821878838</v>
      </c>
      <c r="J59">
        <f>I59/(2/0.2)*3</f>
        <v>299.4782964656365</v>
      </c>
      <c r="K59">
        <v>9.1782030070505644E-2</v>
      </c>
      <c r="L59" s="1">
        <f t="shared" si="0"/>
        <v>3262.929532454028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3.11</v>
      </c>
      <c r="G60">
        <v>1044250</v>
      </c>
      <c r="H60">
        <v>1044250.438</v>
      </c>
      <c r="I60" cm="1">
        <f t="array" ref="I60">TREND($X$8:$X$16,$W$8:$W$16,H60)</f>
        <v>516.07006155629222</v>
      </c>
      <c r="J60">
        <f>I60/(2/0.2)*3</f>
        <v>154.82101846688766</v>
      </c>
      <c r="K60">
        <v>0.16584121170706426</v>
      </c>
      <c r="L60" s="1">
        <f t="shared" si="0"/>
        <v>933.54973033094905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3.11</v>
      </c>
      <c r="G61">
        <v>1438679</v>
      </c>
      <c r="H61">
        <v>1438679.25</v>
      </c>
      <c r="I61" cm="1">
        <f t="array" ref="I61">TREND($X$8:$X$16,$W$8:$W$16,H61)</f>
        <v>710.69809831522628</v>
      </c>
      <c r="J61">
        <f>I61/(2/0.2)*3</f>
        <v>213.2094294945679</v>
      </c>
      <c r="K61">
        <v>0.20850574025855992</v>
      </c>
      <c r="L61" s="1">
        <f t="shared" si="0"/>
        <v>1022.5590395265623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3.11</v>
      </c>
      <c r="G62">
        <v>926960</v>
      </c>
      <c r="H62">
        <v>926959.56299999997</v>
      </c>
      <c r="I62" cm="1">
        <f t="array" ref="I62">TREND($X$8:$X$16,$W$8:$W$16,H62)</f>
        <v>458.19372991805608</v>
      </c>
      <c r="J62">
        <f>I62/(2/0.2)*3</f>
        <v>137.45811897541682</v>
      </c>
      <c r="K62">
        <v>0.15457133624063138</v>
      </c>
      <c r="L62" s="1">
        <f t="shared" si="0"/>
        <v>889.28595895313163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3.11</v>
      </c>
      <c r="G63">
        <v>1167654</v>
      </c>
      <c r="H63">
        <v>1167653.5</v>
      </c>
      <c r="I63" cm="1">
        <f t="array" ref="I63">TREND($X$8:$X$16,$W$8:$W$16,H63)</f>
        <v>576.96240754216569</v>
      </c>
      <c r="J63">
        <f>I63/(2/0.2)*3</f>
        <v>173.0887222626497</v>
      </c>
      <c r="K63">
        <v>0.22863051787718996</v>
      </c>
      <c r="L63" s="1">
        <f t="shared" si="0"/>
        <v>757.06744606870541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3.11</v>
      </c>
      <c r="G64">
        <v>1019964</v>
      </c>
      <c r="H64">
        <v>1019964</v>
      </c>
      <c r="I64" cm="1">
        <f t="array" ref="I64">TREND($X$8:$X$16,$W$8:$W$16,H64)</f>
        <v>504.08609485812025</v>
      </c>
      <c r="J64">
        <f>I64/(2/0.2)*3</f>
        <v>151.22582845743608</v>
      </c>
      <c r="K64">
        <v>0.19079593595416544</v>
      </c>
      <c r="L64" s="1">
        <f t="shared" si="0"/>
        <v>792.60508197493675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3.11</v>
      </c>
      <c r="G65">
        <v>882639</v>
      </c>
      <c r="H65">
        <v>882639.31299999997</v>
      </c>
      <c r="I65" cm="1">
        <f t="array" ref="I65">TREND($X$8:$X$16,$W$8:$W$16,H65)</f>
        <v>436.32422398002348</v>
      </c>
      <c r="J65">
        <f>I65/(2/0.2)*3</f>
        <v>130.89726719400704</v>
      </c>
      <c r="K65">
        <v>0.13122659420302052</v>
      </c>
      <c r="L65" s="1">
        <f t="shared" si="0"/>
        <v>997.49039429839979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3.11</v>
      </c>
      <c r="G66">
        <v>1296120</v>
      </c>
      <c r="H66">
        <v>1296119.75</v>
      </c>
      <c r="I66" cm="1">
        <f t="array" ref="I66">TREND($X$8:$X$16,$W$8:$W$16,H66)</f>
        <v>640.35314692679867</v>
      </c>
      <c r="J66">
        <f>I66/(2/0.2)*3</f>
        <v>192.10594407803958</v>
      </c>
      <c r="K66">
        <v>0.13927650525047255</v>
      </c>
      <c r="L66" s="1">
        <f t="shared" si="0"/>
        <v>1379.3133575010334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3.11</v>
      </c>
      <c r="G67">
        <v>1025506</v>
      </c>
      <c r="H67">
        <v>1025506.125</v>
      </c>
      <c r="I67" cm="1">
        <f t="array" ref="I67">TREND($X$8:$X$16,$W$8:$W$16,H67)</f>
        <v>506.82081624612732</v>
      </c>
      <c r="J67">
        <f>I67/(2/0.2)*3</f>
        <v>152.04624487383819</v>
      </c>
      <c r="K67">
        <v>9.7416967803722054E-2</v>
      </c>
      <c r="L67" s="1">
        <f t="shared" si="0"/>
        <v>1560.7778429337327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3.11</v>
      </c>
      <c r="G68">
        <v>938917</v>
      </c>
      <c r="H68">
        <v>938916.93799999997</v>
      </c>
      <c r="I68" cm="1">
        <f t="array" ref="I68">TREND($X$8:$X$16,$W$8:$W$16,H68)</f>
        <v>464.09400989314156</v>
      </c>
      <c r="J68">
        <f>I68/(2/0.2)*3</f>
        <v>139.22820296794248</v>
      </c>
      <c r="K68">
        <v>7.4877216870856411E-2</v>
      </c>
      <c r="L68" s="1">
        <f t="shared" si="0"/>
        <v>1859.4201118355488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3.11</v>
      </c>
      <c r="G69">
        <v>1458499</v>
      </c>
      <c r="H69">
        <v>1458499.25</v>
      </c>
      <c r="I69" cm="1">
        <f t="array" ref="I69">TREND($X$8:$X$16,$W$8:$W$16,H69)</f>
        <v>720.47813357431903</v>
      </c>
      <c r="J69">
        <f>I69/(2/0.2)*3</f>
        <v>216.14344007229573</v>
      </c>
      <c r="K69">
        <v>0.14491144298368897</v>
      </c>
      <c r="L69" s="1">
        <f t="shared" si="0"/>
        <v>1491.5553638964491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3.11</v>
      </c>
      <c r="G70">
        <v>1208330</v>
      </c>
      <c r="H70">
        <v>1208330</v>
      </c>
      <c r="I70" cm="1">
        <f t="array" ref="I70">TREND($X$8:$X$16,$W$8:$W$16,H70)</f>
        <v>597.03393146832548</v>
      </c>
      <c r="J70">
        <f>I70/(2/0.2)*3</f>
        <v>179.11017944049763</v>
      </c>
      <c r="K70">
        <v>0.14571643408843418</v>
      </c>
      <c r="L70" s="1">
        <f t="shared" si="0"/>
        <v>1229.169383405286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3.11</v>
      </c>
      <c r="G71">
        <v>636994</v>
      </c>
      <c r="H71">
        <v>636993.5</v>
      </c>
      <c r="I71" cm="1">
        <f t="array" ref="I71">TREND($X$8:$X$16,$W$8:$W$16,H71)</f>
        <v>315.11207905628447</v>
      </c>
      <c r="J71">
        <f>I71/(2/0.2)*3</f>
        <v>94.53362371688533</v>
      </c>
      <c r="K71">
        <v>0.26405012648597881</v>
      </c>
      <c r="L71" s="1">
        <f t="shared" si="0"/>
        <v>358.0139308204615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3.11</v>
      </c>
      <c r="G72">
        <v>474806</v>
      </c>
      <c r="H72">
        <v>474806.03100000002</v>
      </c>
      <c r="I72" cm="1">
        <f t="array" ref="I72">TREND($X$8:$X$16,$W$8:$W$16,H72)</f>
        <v>235.08184871304456</v>
      </c>
      <c r="J72">
        <f>I72/(2/0.2)*3</f>
        <v>70.524554613913381</v>
      </c>
      <c r="K72">
        <v>0.17469611385926145</v>
      </c>
      <c r="L72" s="1">
        <f t="shared" si="0"/>
        <v>403.69847420148864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3.11</v>
      </c>
      <c r="G73">
        <v>359360</v>
      </c>
      <c r="H73">
        <v>359359.93800000002</v>
      </c>
      <c r="I73" cm="1">
        <f t="array" ref="I73">TREND($X$8:$X$16,$W$8:$W$16,H73)</f>
        <v>178.11581137376595</v>
      </c>
      <c r="J73">
        <f>I73/(2/0.2)*3</f>
        <v>53.434743412129791</v>
      </c>
      <c r="K73">
        <v>0.1175417454223521</v>
      </c>
      <c r="L73" s="1">
        <f t="shared" ref="L73" si="1">J73/K73</f>
        <v>454.60226254193833</v>
      </c>
    </row>
    <row r="74" spans="1:12" x14ac:dyDescent="0.3">
      <c r="A74">
        <v>34</v>
      </c>
      <c r="B74" t="s">
        <v>235</v>
      </c>
      <c r="C74" t="s">
        <v>236</v>
      </c>
      <c r="D74" t="s">
        <v>237</v>
      </c>
      <c r="E74" t="s">
        <v>238</v>
      </c>
      <c r="F74">
        <v>3.09</v>
      </c>
      <c r="G74">
        <v>4156</v>
      </c>
      <c r="H74">
        <v>4156.1400000000003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B963-EB64-4D14-95CB-585C6E491E1C}">
  <dimension ref="A1:AB74"/>
  <sheetViews>
    <sheetView workbookViewId="0">
      <selection activeCell="C8" sqref="C8:C40"/>
    </sheetView>
  </sheetViews>
  <sheetFormatPr defaultRowHeight="16.5" x14ac:dyDescent="0.3"/>
  <cols>
    <col min="12" max="12" width="11.5" customWidth="1"/>
  </cols>
  <sheetData>
    <row r="1" spans="1:28" x14ac:dyDescent="0.3">
      <c r="A1" t="s">
        <v>0</v>
      </c>
      <c r="P1" t="s">
        <v>0</v>
      </c>
    </row>
    <row r="3" spans="1:28" x14ac:dyDescent="0.3">
      <c r="A3" t="s">
        <v>251</v>
      </c>
      <c r="P3" t="s">
        <v>53</v>
      </c>
    </row>
    <row r="5" spans="1:28" x14ac:dyDescent="0.3">
      <c r="A5" t="s">
        <v>252</v>
      </c>
      <c r="P5" t="s">
        <v>22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269</v>
      </c>
      <c r="K7" t="s">
        <v>270</v>
      </c>
      <c r="L7" t="s">
        <v>271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95</v>
      </c>
      <c r="C8" t="s">
        <v>272</v>
      </c>
      <c r="D8" t="s">
        <v>23</v>
      </c>
      <c r="E8" t="s">
        <v>24</v>
      </c>
      <c r="F8">
        <v>3.27</v>
      </c>
      <c r="G8">
        <v>26262</v>
      </c>
      <c r="H8">
        <v>26262.473000000002</v>
      </c>
      <c r="I8" cm="1">
        <f t="array" ref="I8">TREND($X$8:$X$12,$W$8:$W$12,H8)</f>
        <v>15.217609152522947</v>
      </c>
      <c r="J8">
        <f>I8/(2/0.2)*3</f>
        <v>4.5652827457568836</v>
      </c>
      <c r="K8">
        <v>0.14813140740266978</v>
      </c>
      <c r="L8" s="1">
        <f>J8/K8</f>
        <v>30.819141097788581</v>
      </c>
      <c r="P8">
        <v>1</v>
      </c>
      <c r="Q8" t="s">
        <v>54</v>
      </c>
      <c r="R8" t="s">
        <v>39</v>
      </c>
      <c r="S8" t="s">
        <v>12</v>
      </c>
      <c r="T8" t="s">
        <v>55</v>
      </c>
      <c r="U8">
        <v>1.93</v>
      </c>
      <c r="V8">
        <v>1509</v>
      </c>
      <c r="W8">
        <v>1508.6279999999999</v>
      </c>
      <c r="X8">
        <v>1</v>
      </c>
      <c r="Y8">
        <v>1.1399999999999999</v>
      </c>
      <c r="Z8">
        <v>14</v>
      </c>
      <c r="AA8">
        <v>22</v>
      </c>
      <c r="AB8">
        <v>34</v>
      </c>
    </row>
    <row r="9" spans="1:28" x14ac:dyDescent="0.3">
      <c r="A9">
        <v>2</v>
      </c>
      <c r="B9" t="s">
        <v>96</v>
      </c>
      <c r="C9" t="s">
        <v>273</v>
      </c>
      <c r="D9" t="s">
        <v>23</v>
      </c>
      <c r="E9" t="s">
        <v>25</v>
      </c>
      <c r="F9">
        <v>3.28</v>
      </c>
      <c r="G9">
        <v>34751</v>
      </c>
      <c r="H9">
        <v>34750.563000000002</v>
      </c>
      <c r="I9" cm="1">
        <f t="array" ref="I9">TREND($X$8:$X$12,$W$8:$W$12,H9)</f>
        <v>20.106216584000965</v>
      </c>
      <c r="J9">
        <f>I9/(2/0.2)*3</f>
        <v>6.03186497520029</v>
      </c>
      <c r="K9">
        <v>0.11673675431760691</v>
      </c>
      <c r="L9" s="1">
        <f t="shared" ref="L9:L72" si="0">J9/K9</f>
        <v>51.670658572443529</v>
      </c>
      <c r="P9">
        <v>2</v>
      </c>
      <c r="Q9" t="s">
        <v>56</v>
      </c>
      <c r="R9" t="s">
        <v>40</v>
      </c>
      <c r="S9" t="s">
        <v>12</v>
      </c>
      <c r="T9" t="s">
        <v>57</v>
      </c>
      <c r="U9">
        <v>1.91</v>
      </c>
      <c r="V9">
        <v>2855</v>
      </c>
      <c r="W9">
        <v>2854.8319999999999</v>
      </c>
      <c r="X9">
        <v>2</v>
      </c>
      <c r="Y9">
        <v>1.8380000000000001</v>
      </c>
      <c r="Z9">
        <v>-8.1</v>
      </c>
      <c r="AA9">
        <v>25</v>
      </c>
      <c r="AB9">
        <v>35</v>
      </c>
    </row>
    <row r="10" spans="1:28" x14ac:dyDescent="0.3">
      <c r="A10">
        <v>3</v>
      </c>
      <c r="B10" t="s">
        <v>97</v>
      </c>
      <c r="C10" t="s">
        <v>274</v>
      </c>
      <c r="D10" t="s">
        <v>23</v>
      </c>
      <c r="E10" t="s">
        <v>26</v>
      </c>
      <c r="F10">
        <v>3.28</v>
      </c>
      <c r="G10">
        <v>34617</v>
      </c>
      <c r="H10">
        <v>34616.625</v>
      </c>
      <c r="I10" cm="1">
        <f t="array" ref="I10">TREND($X$8:$X$12,$W$8:$W$12,H10)</f>
        <v>20.029076697152767</v>
      </c>
      <c r="J10">
        <f>I10/(2/0.2)*3</f>
        <v>6.0087230091458297</v>
      </c>
      <c r="K10">
        <v>8.6147092337289247E-2</v>
      </c>
      <c r="L10" s="1">
        <f t="shared" si="0"/>
        <v>69.749574200601558</v>
      </c>
      <c r="P10">
        <v>3</v>
      </c>
      <c r="Q10" t="s">
        <v>58</v>
      </c>
      <c r="R10" t="s">
        <v>41</v>
      </c>
      <c r="S10" t="s">
        <v>12</v>
      </c>
      <c r="T10" t="s">
        <v>59</v>
      </c>
      <c r="U10">
        <v>1.91</v>
      </c>
      <c r="V10">
        <v>8957</v>
      </c>
      <c r="W10">
        <v>8956.8379999999997</v>
      </c>
      <c r="X10">
        <v>5</v>
      </c>
      <c r="Y10">
        <v>5.0039999999999996</v>
      </c>
      <c r="Z10">
        <v>0.1</v>
      </c>
      <c r="AA10">
        <v>181</v>
      </c>
      <c r="AB10">
        <v>140</v>
      </c>
    </row>
    <row r="11" spans="1:28" x14ac:dyDescent="0.3">
      <c r="A11">
        <v>4</v>
      </c>
      <c r="B11" t="s">
        <v>98</v>
      </c>
      <c r="C11" t="s">
        <v>275</v>
      </c>
      <c r="D11" t="s">
        <v>23</v>
      </c>
      <c r="E11" t="s">
        <v>27</v>
      </c>
      <c r="F11">
        <v>3.27</v>
      </c>
      <c r="G11">
        <v>45333</v>
      </c>
      <c r="H11">
        <v>45333.254000000001</v>
      </c>
      <c r="I11" cm="1">
        <f t="array" ref="I11">TREND($X$8:$X$12,$W$8:$W$12,H11)</f>
        <v>26.201182809339706</v>
      </c>
      <c r="J11">
        <f>I11/(2/0.2)*3</f>
        <v>7.860354842801911</v>
      </c>
      <c r="K11">
        <v>8.9367056756270047E-2</v>
      </c>
      <c r="L11" s="1">
        <f t="shared" si="0"/>
        <v>87.955843328704276</v>
      </c>
      <c r="P11">
        <v>4</v>
      </c>
      <c r="Q11" t="s">
        <v>60</v>
      </c>
      <c r="R11" t="s">
        <v>42</v>
      </c>
      <c r="S11" t="s">
        <v>12</v>
      </c>
      <c r="T11" t="s">
        <v>61</v>
      </c>
      <c r="U11">
        <v>1.91</v>
      </c>
      <c r="V11">
        <v>17536</v>
      </c>
      <c r="W11">
        <v>17536.437999999998</v>
      </c>
      <c r="X11">
        <v>10</v>
      </c>
      <c r="Y11">
        <v>9.4600000000000009</v>
      </c>
      <c r="Z11">
        <v>-5.4</v>
      </c>
      <c r="AA11">
        <v>332</v>
      </c>
      <c r="AB11">
        <v>261</v>
      </c>
    </row>
    <row r="12" spans="1:28" x14ac:dyDescent="0.3">
      <c r="A12">
        <v>5</v>
      </c>
      <c r="B12" t="s">
        <v>99</v>
      </c>
      <c r="C12" t="s">
        <v>276</v>
      </c>
      <c r="D12" t="s">
        <v>23</v>
      </c>
      <c r="E12" t="s">
        <v>28</v>
      </c>
      <c r="F12">
        <v>3.28</v>
      </c>
      <c r="G12">
        <v>24031</v>
      </c>
      <c r="H12">
        <v>24031.361000000001</v>
      </c>
      <c r="I12" cm="1">
        <f t="array" ref="I12">TREND($X$8:$X$12,$W$8:$W$12,H12)</f>
        <v>13.93262858520335</v>
      </c>
      <c r="J12">
        <f>I12/(2/0.2)*3</f>
        <v>4.1797885755610054</v>
      </c>
      <c r="K12">
        <v>9.3392012279996037E-2</v>
      </c>
      <c r="L12" s="1">
        <f t="shared" si="0"/>
        <v>44.755311225436451</v>
      </c>
      <c r="P12">
        <v>5</v>
      </c>
      <c r="Q12" t="s">
        <v>62</v>
      </c>
      <c r="R12" t="s">
        <v>43</v>
      </c>
      <c r="S12" t="s">
        <v>12</v>
      </c>
      <c r="T12" t="s">
        <v>63</v>
      </c>
      <c r="U12">
        <v>1.92</v>
      </c>
      <c r="V12">
        <v>34323</v>
      </c>
      <c r="W12">
        <v>34323.347999999998</v>
      </c>
      <c r="X12">
        <v>20</v>
      </c>
      <c r="Y12">
        <v>18.192</v>
      </c>
      <c r="Z12">
        <v>-9</v>
      </c>
      <c r="AA12">
        <v>602</v>
      </c>
      <c r="AB12">
        <v>434</v>
      </c>
    </row>
    <row r="13" spans="1:28" x14ac:dyDescent="0.3">
      <c r="A13">
        <v>6</v>
      </c>
      <c r="B13" t="s">
        <v>100</v>
      </c>
      <c r="C13" t="s">
        <v>277</v>
      </c>
      <c r="D13" t="s">
        <v>23</v>
      </c>
      <c r="E13" t="s">
        <v>29</v>
      </c>
      <c r="F13">
        <v>3.28</v>
      </c>
      <c r="G13">
        <v>27507</v>
      </c>
      <c r="H13">
        <v>27507.192999999999</v>
      </c>
      <c r="I13" cm="1">
        <f t="array" ref="I13">TREND($X$8:$X$12,$W$8:$W$12,H13)</f>
        <v>15.934489798476196</v>
      </c>
      <c r="J13">
        <f>I13/(2/0.2)*3</f>
        <v>4.7803469395428593</v>
      </c>
      <c r="K13">
        <v>0.18918595374467503</v>
      </c>
      <c r="L13" s="1">
        <f t="shared" si="0"/>
        <v>25.267980232794688</v>
      </c>
      <c r="P13">
        <v>6</v>
      </c>
      <c r="Q13" t="s">
        <v>64</v>
      </c>
      <c r="R13" t="s">
        <v>44</v>
      </c>
      <c r="S13" t="s">
        <v>12</v>
      </c>
      <c r="T13" t="s">
        <v>65</v>
      </c>
      <c r="U13">
        <v>1.91</v>
      </c>
      <c r="V13">
        <v>103325</v>
      </c>
      <c r="W13">
        <v>103324.602</v>
      </c>
      <c r="X13">
        <v>50</v>
      </c>
      <c r="Y13">
        <v>54.280999999999999</v>
      </c>
      <c r="Z13">
        <v>8.6</v>
      </c>
      <c r="AA13">
        <v>1352</v>
      </c>
      <c r="AB13">
        <v>659</v>
      </c>
    </row>
    <row r="14" spans="1:28" x14ac:dyDescent="0.3">
      <c r="A14">
        <v>7</v>
      </c>
      <c r="B14" t="s">
        <v>101</v>
      </c>
      <c r="C14" t="s">
        <v>278</v>
      </c>
      <c r="D14" t="s">
        <v>23</v>
      </c>
      <c r="E14" t="s">
        <v>30</v>
      </c>
      <c r="F14">
        <v>3.27</v>
      </c>
      <c r="G14">
        <v>19053</v>
      </c>
      <c r="H14">
        <v>19052.861000000001</v>
      </c>
      <c r="I14" cm="1">
        <f t="array" ref="I14">TREND($X$8:$X$12,$W$8:$W$12,H14)</f>
        <v>11.065324857555165</v>
      </c>
      <c r="J14">
        <f>I14/(2/0.2)*3</f>
        <v>3.3195974572665499</v>
      </c>
      <c r="K14">
        <v>9.2587021175250833E-2</v>
      </c>
      <c r="L14" s="1">
        <f t="shared" si="0"/>
        <v>35.853809909092334</v>
      </c>
      <c r="P14">
        <v>7</v>
      </c>
      <c r="Q14" t="s">
        <v>66</v>
      </c>
      <c r="R14" t="s">
        <v>45</v>
      </c>
      <c r="S14" t="s">
        <v>12</v>
      </c>
      <c r="T14" t="s">
        <v>67</v>
      </c>
      <c r="U14">
        <v>1.91</v>
      </c>
      <c r="V14">
        <v>195317</v>
      </c>
      <c r="W14">
        <v>195317.17199999999</v>
      </c>
      <c r="X14">
        <v>100</v>
      </c>
      <c r="Y14">
        <v>102.895</v>
      </c>
      <c r="Z14">
        <v>2.9</v>
      </c>
      <c r="AA14">
        <v>443</v>
      </c>
      <c r="AB14">
        <v>2574</v>
      </c>
    </row>
    <row r="15" spans="1:28" x14ac:dyDescent="0.3">
      <c r="A15">
        <v>8</v>
      </c>
      <c r="B15" t="s">
        <v>102</v>
      </c>
      <c r="C15" t="s">
        <v>279</v>
      </c>
      <c r="D15" t="s">
        <v>23</v>
      </c>
      <c r="E15" t="s">
        <v>31</v>
      </c>
      <c r="F15">
        <v>3.27</v>
      </c>
      <c r="G15">
        <v>18189</v>
      </c>
      <c r="H15">
        <v>18189.190999999999</v>
      </c>
      <c r="I15" cm="1">
        <f t="array" ref="I15">TREND($X$8:$X$12,$W$8:$W$12,H15)</f>
        <v>10.567905110551465</v>
      </c>
      <c r="J15">
        <f>I15/(2/0.2)*3</f>
        <v>3.1703715331654396</v>
      </c>
      <c r="K15">
        <v>0.14974138961216016</v>
      </c>
      <c r="L15" s="1">
        <f t="shared" si="0"/>
        <v>21.172312754522356</v>
      </c>
      <c r="P15">
        <v>8</v>
      </c>
      <c r="Q15" t="s">
        <v>68</v>
      </c>
      <c r="R15" t="s">
        <v>46</v>
      </c>
      <c r="S15" t="s">
        <v>12</v>
      </c>
      <c r="T15" t="s">
        <v>69</v>
      </c>
      <c r="U15">
        <v>1.91</v>
      </c>
      <c r="V15">
        <v>363591</v>
      </c>
      <c r="W15">
        <v>363591.125</v>
      </c>
      <c r="X15">
        <v>200</v>
      </c>
      <c r="Y15">
        <v>193.369</v>
      </c>
      <c r="Z15">
        <v>-3.3</v>
      </c>
      <c r="AA15">
        <v>4104</v>
      </c>
      <c r="AB15">
        <v>4928</v>
      </c>
    </row>
    <row r="16" spans="1:28" x14ac:dyDescent="0.3">
      <c r="A16">
        <v>9</v>
      </c>
      <c r="B16" t="s">
        <v>103</v>
      </c>
      <c r="C16" t="s">
        <v>280</v>
      </c>
      <c r="D16" t="s">
        <v>23</v>
      </c>
      <c r="E16" t="s">
        <v>32</v>
      </c>
      <c r="F16">
        <v>3.27</v>
      </c>
      <c r="G16">
        <v>58725</v>
      </c>
      <c r="H16">
        <v>58724.675999999999</v>
      </c>
      <c r="I16" cm="1">
        <f t="array" ref="I16">TREND($X$8:$X$12,$W$8:$W$12,H16)</f>
        <v>33.9138019153174</v>
      </c>
      <c r="J16">
        <f>I16/(2/0.2)*3</f>
        <v>10.174140574595221</v>
      </c>
      <c r="K16">
        <v>0.19965083810636269</v>
      </c>
      <c r="L16" s="1">
        <f t="shared" si="0"/>
        <v>50.959668745167065</v>
      </c>
      <c r="P16">
        <v>9</v>
      </c>
      <c r="Q16" t="s">
        <v>70</v>
      </c>
      <c r="R16" t="s">
        <v>47</v>
      </c>
      <c r="S16" t="s">
        <v>12</v>
      </c>
      <c r="T16" t="s">
        <v>71</v>
      </c>
      <c r="U16">
        <v>1.91</v>
      </c>
      <c r="V16">
        <v>908708</v>
      </c>
      <c r="W16">
        <v>908708.25</v>
      </c>
      <c r="X16">
        <v>500</v>
      </c>
      <c r="Y16">
        <v>501.84500000000003</v>
      </c>
      <c r="Z16">
        <v>0.4</v>
      </c>
      <c r="AA16">
        <v>11259</v>
      </c>
      <c r="AB16">
        <v>12669</v>
      </c>
    </row>
    <row r="17" spans="1:12" x14ac:dyDescent="0.3">
      <c r="A17">
        <v>10</v>
      </c>
      <c r="B17" t="s">
        <v>104</v>
      </c>
      <c r="C17" t="s">
        <v>281</v>
      </c>
      <c r="D17" t="s">
        <v>23</v>
      </c>
      <c r="E17" t="s">
        <v>33</v>
      </c>
      <c r="F17">
        <v>3.27</v>
      </c>
      <c r="G17">
        <v>89256</v>
      </c>
      <c r="H17">
        <v>89256.210999999996</v>
      </c>
      <c r="I17" cm="1">
        <f t="array" ref="I17">TREND($X$8:$X$12,$W$8:$W$12,H17)</f>
        <v>51.498051009687408</v>
      </c>
      <c r="J17">
        <f>I17/(2/0.2)*3</f>
        <v>15.449415302906221</v>
      </c>
      <c r="K17">
        <v>0.22058060682973793</v>
      </c>
      <c r="L17" s="1">
        <f t="shared" si="0"/>
        <v>70.039771514598002</v>
      </c>
    </row>
    <row r="18" spans="1:12" x14ac:dyDescent="0.3">
      <c r="A18">
        <v>11</v>
      </c>
      <c r="B18" t="s">
        <v>105</v>
      </c>
      <c r="C18" t="s">
        <v>282</v>
      </c>
      <c r="D18" t="s">
        <v>23</v>
      </c>
      <c r="E18" t="s">
        <v>34</v>
      </c>
      <c r="F18">
        <v>3.27</v>
      </c>
      <c r="G18">
        <v>37298</v>
      </c>
      <c r="H18">
        <v>37298.273000000001</v>
      </c>
      <c r="I18" cm="1">
        <f t="array" ref="I18">TREND($X$8:$X$12,$W$8:$W$12,H18)</f>
        <v>21.57353774096924</v>
      </c>
      <c r="J18">
        <f>I18/(2/0.2)*3</f>
        <v>6.4720613222907719</v>
      </c>
      <c r="K18">
        <v>0.12720163867929454</v>
      </c>
      <c r="L18" s="1">
        <f t="shared" si="0"/>
        <v>50.880329762168955</v>
      </c>
    </row>
    <row r="19" spans="1:12" x14ac:dyDescent="0.3">
      <c r="A19">
        <v>12</v>
      </c>
      <c r="B19" t="s">
        <v>106</v>
      </c>
      <c r="C19" t="s">
        <v>283</v>
      </c>
      <c r="D19" t="s">
        <v>23</v>
      </c>
      <c r="E19" t="s">
        <v>35</v>
      </c>
      <c r="F19">
        <v>3.28</v>
      </c>
      <c r="G19">
        <v>56081</v>
      </c>
      <c r="H19">
        <v>56081.101999999999</v>
      </c>
      <c r="I19" cm="1">
        <f t="array" ref="I19">TREND($X$8:$X$12,$W$8:$W$12,H19)</f>
        <v>32.391269107340328</v>
      </c>
      <c r="J19">
        <f>I19/(2/0.2)*3</f>
        <v>9.7173807322020984</v>
      </c>
      <c r="K19">
        <v>0.1594012828691026</v>
      </c>
      <c r="L19" s="1">
        <f t="shared" si="0"/>
        <v>60.961747341656171</v>
      </c>
    </row>
    <row r="20" spans="1:12" x14ac:dyDescent="0.3">
      <c r="A20">
        <v>13</v>
      </c>
      <c r="B20" t="s">
        <v>107</v>
      </c>
      <c r="C20" t="s">
        <v>284</v>
      </c>
      <c r="D20" t="s">
        <v>23</v>
      </c>
      <c r="E20" t="s">
        <v>36</v>
      </c>
      <c r="F20">
        <v>3.27</v>
      </c>
      <c r="G20">
        <v>66027</v>
      </c>
      <c r="H20">
        <v>66026.656000000003</v>
      </c>
      <c r="I20" cm="1">
        <f t="array" ref="I20">TREND($X$8:$X$12,$W$8:$W$12,H20)</f>
        <v>38.119284384577718</v>
      </c>
      <c r="J20">
        <f>I20/(2/0.2)*3</f>
        <v>11.435785315373316</v>
      </c>
      <c r="K20">
        <v>0.14491144298368897</v>
      </c>
      <c r="L20" s="1">
        <f t="shared" si="0"/>
        <v>78.915681742679993</v>
      </c>
    </row>
    <row r="21" spans="1:12" x14ac:dyDescent="0.3">
      <c r="A21">
        <v>14</v>
      </c>
      <c r="B21" t="s">
        <v>108</v>
      </c>
      <c r="C21" t="s">
        <v>285</v>
      </c>
      <c r="D21" t="s">
        <v>23</v>
      </c>
      <c r="E21" t="s">
        <v>37</v>
      </c>
      <c r="F21">
        <v>3.27</v>
      </c>
      <c r="G21">
        <v>73885</v>
      </c>
      <c r="H21">
        <v>73884.554999999993</v>
      </c>
      <c r="I21" cm="1">
        <f t="array" ref="I21">TREND($X$8:$X$12,$W$8:$W$12,H21)</f>
        <v>42.644941328272196</v>
      </c>
      <c r="J21">
        <f>I21/(2/0.2)*3</f>
        <v>12.793482398481657</v>
      </c>
      <c r="K21">
        <v>0.24553533107683917</v>
      </c>
      <c r="L21" s="1">
        <f t="shared" si="0"/>
        <v>52.104445997134299</v>
      </c>
    </row>
    <row r="22" spans="1:12" x14ac:dyDescent="0.3">
      <c r="A22">
        <v>15</v>
      </c>
      <c r="B22" t="s">
        <v>109</v>
      </c>
      <c r="C22" t="s">
        <v>286</v>
      </c>
      <c r="D22" t="s">
        <v>23</v>
      </c>
      <c r="E22" t="s">
        <v>38</v>
      </c>
      <c r="F22">
        <v>3.27</v>
      </c>
      <c r="G22">
        <v>67298</v>
      </c>
      <c r="H22">
        <v>67297.891000000003</v>
      </c>
      <c r="I22" cm="1">
        <f t="array" ref="I22">TREND($X$8:$X$12,$W$8:$W$12,H22)</f>
        <v>38.851436007399222</v>
      </c>
      <c r="J22">
        <f>I22/(2/0.2)*3</f>
        <v>11.655430802219765</v>
      </c>
      <c r="K22">
        <v>0.3002747261995129</v>
      </c>
      <c r="L22" s="1">
        <f t="shared" si="0"/>
        <v>38.815890200747347</v>
      </c>
    </row>
    <row r="23" spans="1:12" x14ac:dyDescent="0.3">
      <c r="A23">
        <v>16</v>
      </c>
      <c r="B23" t="s">
        <v>110</v>
      </c>
      <c r="C23" t="s">
        <v>287</v>
      </c>
      <c r="D23" t="s">
        <v>23</v>
      </c>
      <c r="E23" t="s">
        <v>48</v>
      </c>
      <c r="F23">
        <v>3.27</v>
      </c>
      <c r="G23">
        <v>42425</v>
      </c>
      <c r="H23">
        <v>42425.285000000003</v>
      </c>
      <c r="I23" cm="1">
        <f t="array" ref="I23">TREND($X$8:$X$12,$W$8:$W$12,H23)</f>
        <v>24.526375065323364</v>
      </c>
      <c r="J23">
        <f>I23/(2/0.2)*3</f>
        <v>7.3579125195970088</v>
      </c>
      <c r="K23">
        <v>0.17147614944028067</v>
      </c>
      <c r="L23" s="1">
        <f t="shared" si="0"/>
        <v>42.909247400376927</v>
      </c>
    </row>
    <row r="24" spans="1:12" x14ac:dyDescent="0.3">
      <c r="A24">
        <v>17</v>
      </c>
      <c r="B24" t="s">
        <v>111</v>
      </c>
      <c r="C24" t="s">
        <v>288</v>
      </c>
      <c r="D24" t="s">
        <v>23</v>
      </c>
      <c r="E24" t="s">
        <v>49</v>
      </c>
      <c r="F24">
        <v>3.27</v>
      </c>
      <c r="G24">
        <v>24911</v>
      </c>
      <c r="H24">
        <v>24911.476999999999</v>
      </c>
      <c r="I24" cm="1">
        <f t="array" ref="I24">TREND($X$8:$X$12,$W$8:$W$12,H24)</f>
        <v>14.439520196645113</v>
      </c>
      <c r="J24">
        <f>I24/(2/0.2)*3</f>
        <v>4.3318560589935338</v>
      </c>
      <c r="K24">
        <v>0.18113604269722305</v>
      </c>
      <c r="L24" s="1">
        <f t="shared" si="0"/>
        <v>23.914931531514263</v>
      </c>
    </row>
    <row r="25" spans="1:12" x14ac:dyDescent="0.3">
      <c r="A25">
        <v>18</v>
      </c>
      <c r="B25" t="s">
        <v>112</v>
      </c>
      <c r="C25" t="s">
        <v>289</v>
      </c>
      <c r="D25" t="s">
        <v>23</v>
      </c>
      <c r="E25" t="s">
        <v>50</v>
      </c>
      <c r="F25">
        <v>3.27</v>
      </c>
      <c r="G25">
        <v>41022</v>
      </c>
      <c r="H25">
        <v>41021.851999999999</v>
      </c>
      <c r="I25" cm="1">
        <f t="array" ref="I25">TREND($X$8:$X$12,$W$8:$W$12,H25)</f>
        <v>23.718085686513582</v>
      </c>
      <c r="J25">
        <f>I25/(2/0.2)*3</f>
        <v>7.115425705954074</v>
      </c>
      <c r="K25">
        <v>8.2927127918308433E-2</v>
      </c>
      <c r="L25" s="1">
        <f t="shared" si="0"/>
        <v>85.803353915301201</v>
      </c>
    </row>
    <row r="26" spans="1:12" x14ac:dyDescent="0.3">
      <c r="A26">
        <v>19</v>
      </c>
      <c r="B26" t="s">
        <v>113</v>
      </c>
      <c r="C26" t="s">
        <v>290</v>
      </c>
      <c r="D26" t="s">
        <v>23</v>
      </c>
      <c r="E26" t="s">
        <v>51</v>
      </c>
      <c r="F26">
        <v>3.27</v>
      </c>
      <c r="G26">
        <v>91094</v>
      </c>
      <c r="H26">
        <v>91094.148000000001</v>
      </c>
      <c r="I26" cm="1">
        <f t="array" ref="I26">TREND($X$8:$X$12,$W$8:$W$12,H26)</f>
        <v>52.556587438588188</v>
      </c>
      <c r="J26">
        <f>I26/(2/0.2)*3</f>
        <v>15.766976231576455</v>
      </c>
      <c r="K26">
        <v>0.11593176321286171</v>
      </c>
      <c r="L26" s="1">
        <f t="shared" si="0"/>
        <v>136.00221194451078</v>
      </c>
    </row>
    <row r="27" spans="1:12" x14ac:dyDescent="0.3">
      <c r="A27">
        <v>20</v>
      </c>
      <c r="B27" t="s">
        <v>114</v>
      </c>
      <c r="C27" t="s">
        <v>291</v>
      </c>
      <c r="D27" t="s">
        <v>23</v>
      </c>
      <c r="E27" t="s">
        <v>52</v>
      </c>
      <c r="F27">
        <v>3.27</v>
      </c>
      <c r="G27">
        <v>73705</v>
      </c>
      <c r="H27">
        <v>73705.070000000007</v>
      </c>
      <c r="I27" cm="1">
        <f t="array" ref="I27">TREND($X$8:$X$12,$W$8:$W$12,H27)</f>
        <v>42.54156922632243</v>
      </c>
      <c r="J27">
        <f>I27/(2/0.2)*3</f>
        <v>12.762470767896728</v>
      </c>
      <c r="K27">
        <v>0.17469611385926145</v>
      </c>
      <c r="L27" s="1">
        <f t="shared" si="0"/>
        <v>73.05526428698019</v>
      </c>
    </row>
    <row r="28" spans="1:12" x14ac:dyDescent="0.3">
      <c r="A28">
        <v>21</v>
      </c>
      <c r="B28" t="s">
        <v>115</v>
      </c>
      <c r="C28" t="s">
        <v>292</v>
      </c>
      <c r="D28" t="s">
        <v>23</v>
      </c>
      <c r="E28" t="s">
        <v>72</v>
      </c>
      <c r="F28">
        <v>3.27</v>
      </c>
      <c r="G28">
        <v>49128</v>
      </c>
      <c r="H28">
        <v>49127.851999999999</v>
      </c>
      <c r="I28" cm="1">
        <f t="array" ref="I28">TREND($X$8:$X$12,$W$8:$W$12,H28)</f>
        <v>28.386633244275199</v>
      </c>
      <c r="J28">
        <f>I28/(2/0.2)*3</f>
        <v>8.5159899732825597</v>
      </c>
      <c r="K28">
        <v>0.17952606048773259</v>
      </c>
      <c r="L28" s="1">
        <f t="shared" si="0"/>
        <v>47.435954145857707</v>
      </c>
    </row>
    <row r="29" spans="1:12" x14ac:dyDescent="0.3">
      <c r="A29">
        <v>22</v>
      </c>
      <c r="B29" t="s">
        <v>116</v>
      </c>
      <c r="C29" t="s">
        <v>293</v>
      </c>
      <c r="D29" t="s">
        <v>23</v>
      </c>
      <c r="E29" t="s">
        <v>73</v>
      </c>
      <c r="F29">
        <v>3.27</v>
      </c>
      <c r="G29">
        <v>90029</v>
      </c>
      <c r="H29">
        <v>90028.960999999996</v>
      </c>
      <c r="I29" cm="1">
        <f t="array" ref="I29">TREND($X$8:$X$12,$W$8:$W$12,H29)</f>
        <v>51.943106539573947</v>
      </c>
      <c r="J29">
        <f>I29/(2/0.2)*3</f>
        <v>15.582931961872184</v>
      </c>
      <c r="K29">
        <v>0.19723586479212707</v>
      </c>
      <c r="L29" s="1">
        <f t="shared" si="0"/>
        <v>79.006584214770044</v>
      </c>
    </row>
    <row r="30" spans="1:12" x14ac:dyDescent="0.3">
      <c r="A30">
        <v>23</v>
      </c>
      <c r="B30" t="s">
        <v>117</v>
      </c>
      <c r="C30" t="s">
        <v>294</v>
      </c>
      <c r="D30" t="s">
        <v>23</v>
      </c>
      <c r="E30" t="s">
        <v>74</v>
      </c>
      <c r="F30">
        <v>3.27</v>
      </c>
      <c r="G30">
        <v>44145</v>
      </c>
      <c r="H30">
        <v>44144.722999999998</v>
      </c>
      <c r="I30" cm="1">
        <f t="array" ref="I30">TREND($X$8:$X$12,$W$8:$W$12,H30)</f>
        <v>25.516663502977259</v>
      </c>
      <c r="J30">
        <f>I30/(2/0.2)*3</f>
        <v>7.6549990508931778</v>
      </c>
      <c r="K30">
        <v>0.28417490410460888</v>
      </c>
      <c r="L30" s="1">
        <f t="shared" si="0"/>
        <v>26.937632212854595</v>
      </c>
    </row>
    <row r="31" spans="1:12" x14ac:dyDescent="0.3">
      <c r="A31">
        <v>24</v>
      </c>
      <c r="B31" t="s">
        <v>118</v>
      </c>
      <c r="C31" t="s">
        <v>119</v>
      </c>
      <c r="D31" t="s">
        <v>23</v>
      </c>
      <c r="E31" t="s">
        <v>75</v>
      </c>
      <c r="F31">
        <v>3.27</v>
      </c>
      <c r="G31">
        <v>76203</v>
      </c>
      <c r="H31">
        <v>76202.702999999994</v>
      </c>
      <c r="I31" cm="1">
        <f t="array" ref="I31">TREND($X$8:$X$12,$W$8:$W$12,H31)</f>
        <v>43.980049172329679</v>
      </c>
      <c r="J31">
        <f>I31/(2/0.2)*3</f>
        <v>13.194014751698905</v>
      </c>
      <c r="K31">
        <v>0.17872106938298743</v>
      </c>
      <c r="L31" s="1">
        <f t="shared" si="0"/>
        <v>73.824618424954721</v>
      </c>
    </row>
    <row r="32" spans="1:12" x14ac:dyDescent="0.3">
      <c r="A32">
        <v>25</v>
      </c>
      <c r="B32" t="s">
        <v>120</v>
      </c>
      <c r="C32" t="s">
        <v>121</v>
      </c>
      <c r="D32" t="s">
        <v>23</v>
      </c>
      <c r="E32" t="s">
        <v>76</v>
      </c>
      <c r="F32">
        <v>3.27</v>
      </c>
      <c r="G32">
        <v>86703</v>
      </c>
      <c r="H32">
        <v>86702.983999999997</v>
      </c>
      <c r="I32" cm="1">
        <f t="array" ref="I32">TREND($X$8:$X$12,$W$8:$W$12,H32)</f>
        <v>50.027552406768457</v>
      </c>
      <c r="J32">
        <f>I32/(2/0.2)*3</f>
        <v>15.008265722030538</v>
      </c>
      <c r="K32">
        <v>0.19884584700161748</v>
      </c>
      <c r="L32" s="1">
        <f t="shared" si="0"/>
        <v>75.476887993081675</v>
      </c>
    </row>
    <row r="33" spans="1:12" x14ac:dyDescent="0.3">
      <c r="A33">
        <v>26</v>
      </c>
      <c r="B33" t="s">
        <v>122</v>
      </c>
      <c r="C33" t="s">
        <v>123</v>
      </c>
      <c r="D33" t="s">
        <v>23</v>
      </c>
      <c r="E33" t="s">
        <v>77</v>
      </c>
      <c r="F33">
        <v>3.27</v>
      </c>
      <c r="G33">
        <v>70241</v>
      </c>
      <c r="H33">
        <v>70240.547000000006</v>
      </c>
      <c r="I33" cm="1">
        <f t="array" ref="I33">TREND($X$8:$X$12,$W$8:$W$12,H33)</f>
        <v>40.546221287701783</v>
      </c>
      <c r="J33">
        <f>I33/(2/0.2)*3</f>
        <v>12.163866386310536</v>
      </c>
      <c r="K33">
        <v>0.17469611385926145</v>
      </c>
      <c r="L33" s="1">
        <f t="shared" si="0"/>
        <v>69.628717649151483</v>
      </c>
    </row>
    <row r="34" spans="1:12" x14ac:dyDescent="0.3">
      <c r="A34">
        <v>27</v>
      </c>
      <c r="B34" t="s">
        <v>124</v>
      </c>
      <c r="C34" t="s">
        <v>125</v>
      </c>
      <c r="D34" t="s">
        <v>23</v>
      </c>
      <c r="E34" t="s">
        <v>126</v>
      </c>
      <c r="F34">
        <v>3.27</v>
      </c>
      <c r="G34">
        <v>88303</v>
      </c>
      <c r="H34">
        <v>88303.375</v>
      </c>
      <c r="I34" cm="1">
        <f t="array" ref="I34">TREND($X$8:$X$12,$W$8:$W$12,H34)</f>
        <v>50.949277239548337</v>
      </c>
      <c r="J34">
        <f>I34/(2/0.2)*3</f>
        <v>15.284783171864502</v>
      </c>
      <c r="K34">
        <v>0.24875529549582001</v>
      </c>
      <c r="L34" s="1">
        <f t="shared" si="0"/>
        <v>61.445056441507361</v>
      </c>
    </row>
    <row r="35" spans="1:12" x14ac:dyDescent="0.3">
      <c r="A35">
        <v>28</v>
      </c>
      <c r="B35" t="s">
        <v>127</v>
      </c>
      <c r="C35" t="s">
        <v>128</v>
      </c>
      <c r="D35" t="s">
        <v>23</v>
      </c>
      <c r="E35" t="s">
        <v>129</v>
      </c>
      <c r="F35">
        <v>3.27</v>
      </c>
      <c r="G35">
        <v>52197</v>
      </c>
      <c r="H35">
        <v>52197.292999999998</v>
      </c>
      <c r="I35" cm="1">
        <f t="array" ref="I35">TREND($X$8:$X$12,$W$8:$W$12,H35)</f>
        <v>30.154438732092046</v>
      </c>
      <c r="J35">
        <f>I35/(2/0.2)*3</f>
        <v>9.0463316196276153</v>
      </c>
      <c r="K35">
        <v>0.18274602490671343</v>
      </c>
      <c r="L35" s="1">
        <f t="shared" si="0"/>
        <v>49.502207362625292</v>
      </c>
    </row>
    <row r="36" spans="1:12" x14ac:dyDescent="0.3">
      <c r="A36">
        <v>29</v>
      </c>
      <c r="B36" t="s">
        <v>130</v>
      </c>
      <c r="C36" t="s">
        <v>131</v>
      </c>
      <c r="D36" t="s">
        <v>23</v>
      </c>
      <c r="E36" t="s">
        <v>132</v>
      </c>
      <c r="F36">
        <v>3.27</v>
      </c>
      <c r="G36">
        <v>103704</v>
      </c>
      <c r="H36">
        <v>103703.602</v>
      </c>
      <c r="I36" cm="1">
        <f t="array" ref="I36">TREND($X$8:$X$12,$W$8:$W$12,H36)</f>
        <v>59.818842024870875</v>
      </c>
      <c r="J36">
        <f>I36/(2/0.2)*3</f>
        <v>17.945652607461263</v>
      </c>
      <c r="K36">
        <v>0.18113604269722305</v>
      </c>
      <c r="L36" s="1">
        <f t="shared" si="0"/>
        <v>99.072787172778305</v>
      </c>
    </row>
    <row r="37" spans="1:12" x14ac:dyDescent="0.3">
      <c r="A37">
        <v>30</v>
      </c>
      <c r="B37" t="s">
        <v>133</v>
      </c>
      <c r="C37" t="s">
        <v>134</v>
      </c>
      <c r="D37" t="s">
        <v>23</v>
      </c>
      <c r="E37" t="s">
        <v>55</v>
      </c>
      <c r="F37">
        <v>3.27</v>
      </c>
      <c r="G37">
        <v>88480</v>
      </c>
      <c r="H37">
        <v>88480.460999999996</v>
      </c>
      <c r="I37" cm="1">
        <f t="array" ref="I37">TREND($X$8:$X$12,$W$8:$W$12,H37)</f>
        <v>51.05126766797342</v>
      </c>
      <c r="J37">
        <f>I37/(2/0.2)*3</f>
        <v>15.315380300392027</v>
      </c>
      <c r="K37">
        <v>0.12156670094607813</v>
      </c>
      <c r="L37" s="1">
        <f t="shared" si="0"/>
        <v>125.98335054913832</v>
      </c>
    </row>
    <row r="38" spans="1:12" x14ac:dyDescent="0.3">
      <c r="A38">
        <v>31</v>
      </c>
      <c r="B38" t="s">
        <v>135</v>
      </c>
      <c r="C38" t="s">
        <v>136</v>
      </c>
      <c r="D38" t="s">
        <v>23</v>
      </c>
      <c r="E38" t="s">
        <v>57</v>
      </c>
      <c r="F38">
        <v>3.27</v>
      </c>
      <c r="G38">
        <v>84614</v>
      </c>
      <c r="H38">
        <v>84613.702999999994</v>
      </c>
      <c r="I38" cm="1">
        <f t="array" ref="I38">TREND($X$8:$X$12,$W$8:$W$12,H38)</f>
        <v>48.824257599215066</v>
      </c>
      <c r="J38">
        <f>I38/(2/0.2)*3</f>
        <v>14.64727727976452</v>
      </c>
      <c r="K38">
        <v>8.8562065651524843E-2</v>
      </c>
      <c r="L38" s="1">
        <f t="shared" si="0"/>
        <v>165.38996885414591</v>
      </c>
    </row>
    <row r="39" spans="1:12" x14ac:dyDescent="0.3">
      <c r="A39">
        <v>32</v>
      </c>
      <c r="B39" t="s">
        <v>137</v>
      </c>
      <c r="C39" t="s">
        <v>138</v>
      </c>
      <c r="D39" t="s">
        <v>23</v>
      </c>
      <c r="E39" t="s">
        <v>59</v>
      </c>
      <c r="F39">
        <v>3.27</v>
      </c>
      <c r="G39">
        <v>76537</v>
      </c>
      <c r="H39">
        <v>76537.383000000002</v>
      </c>
      <c r="I39" cm="1">
        <f t="array" ref="I39">TREND($X$8:$X$12,$W$8:$W$12,H39)</f>
        <v>44.172803859799664</v>
      </c>
      <c r="J39">
        <f>I39/(2/0.2)*3</f>
        <v>13.251841157939898</v>
      </c>
      <c r="K39">
        <v>0.13766652304098212</v>
      </c>
      <c r="L39" s="1">
        <f t="shared" si="0"/>
        <v>96.260447821399111</v>
      </c>
    </row>
    <row r="40" spans="1:12" x14ac:dyDescent="0.3">
      <c r="A40">
        <v>33</v>
      </c>
      <c r="B40" t="s">
        <v>139</v>
      </c>
      <c r="C40" t="s">
        <v>140</v>
      </c>
      <c r="D40" t="s">
        <v>23</v>
      </c>
      <c r="E40" t="s">
        <v>61</v>
      </c>
      <c r="F40">
        <v>3.27</v>
      </c>
      <c r="G40">
        <v>83505</v>
      </c>
      <c r="H40">
        <v>83504.570000000007</v>
      </c>
      <c r="I40" cm="1">
        <f t="array" ref="I40">TREND($X$8:$X$12,$W$8:$W$12,H40)</f>
        <v>48.185466560677845</v>
      </c>
      <c r="J40">
        <f>I40/(2/0.2)*3</f>
        <v>14.455639968203354</v>
      </c>
      <c r="K40">
        <v>8.2122136813563229E-2</v>
      </c>
      <c r="L40" s="1">
        <f t="shared" si="0"/>
        <v>176.02610610365744</v>
      </c>
    </row>
    <row r="41" spans="1:12" x14ac:dyDescent="0.3">
      <c r="A41">
        <v>35</v>
      </c>
      <c r="B41" t="s">
        <v>141</v>
      </c>
      <c r="C41" t="s">
        <v>142</v>
      </c>
      <c r="D41" t="s">
        <v>23</v>
      </c>
      <c r="E41" t="s">
        <v>63</v>
      </c>
      <c r="F41">
        <v>3.27</v>
      </c>
      <c r="G41">
        <v>55306</v>
      </c>
      <c r="H41">
        <v>55306.417999999998</v>
      </c>
      <c r="I41" cm="1">
        <f t="array" ref="I41">TREND($X$8:$X$12,$W$8:$W$12,H41)</f>
        <v>31.945099714762364</v>
      </c>
      <c r="J41">
        <f>I41/(2/0.2)*3</f>
        <v>9.5835299144287092</v>
      </c>
      <c r="K41">
        <v>0.10224691443219328</v>
      </c>
      <c r="L41" s="1">
        <f t="shared" si="0"/>
        <v>93.729282371490882</v>
      </c>
    </row>
    <row r="42" spans="1:12" x14ac:dyDescent="0.3">
      <c r="A42">
        <v>36</v>
      </c>
      <c r="B42" t="s">
        <v>143</v>
      </c>
      <c r="C42" t="s">
        <v>144</v>
      </c>
      <c r="D42" t="s">
        <v>23</v>
      </c>
      <c r="E42" t="s">
        <v>65</v>
      </c>
      <c r="F42">
        <v>3.27</v>
      </c>
      <c r="G42">
        <v>104914</v>
      </c>
      <c r="H42">
        <v>104913.789</v>
      </c>
      <c r="I42" cm="1">
        <f t="array" ref="I42">TREND($X$8:$X$12,$W$8:$W$12,H42)</f>
        <v>60.515833828878385</v>
      </c>
      <c r="J42">
        <f>I42/(2/0.2)*3</f>
        <v>18.154750148663517</v>
      </c>
      <c r="K42">
        <v>0.12639664757454935</v>
      </c>
      <c r="L42" s="1">
        <f t="shared" si="0"/>
        <v>143.63316193141719</v>
      </c>
    </row>
    <row r="43" spans="1:12" x14ac:dyDescent="0.3">
      <c r="A43">
        <v>37</v>
      </c>
      <c r="B43" t="s">
        <v>145</v>
      </c>
      <c r="C43" t="s">
        <v>146</v>
      </c>
      <c r="D43" t="s">
        <v>23</v>
      </c>
      <c r="E43" t="s">
        <v>67</v>
      </c>
      <c r="F43">
        <v>3.27</v>
      </c>
      <c r="G43">
        <v>49764</v>
      </c>
      <c r="H43">
        <v>49763.66</v>
      </c>
      <c r="I43" cm="1">
        <f t="array" ref="I43">TREND($X$8:$X$12,$W$8:$W$12,H43)</f>
        <v>28.752818771736997</v>
      </c>
      <c r="J43">
        <f>I43/(2/0.2)*3</f>
        <v>8.6258456315210985</v>
      </c>
      <c r="K43">
        <v>0.15054638071690538</v>
      </c>
      <c r="L43" s="1">
        <f t="shared" si="0"/>
        <v>57.296931287518305</v>
      </c>
    </row>
    <row r="44" spans="1:12" x14ac:dyDescent="0.3">
      <c r="A44">
        <v>38</v>
      </c>
      <c r="B44" t="s">
        <v>147</v>
      </c>
      <c r="C44" t="s">
        <v>148</v>
      </c>
      <c r="D44" t="s">
        <v>23</v>
      </c>
      <c r="E44" t="s">
        <v>69</v>
      </c>
      <c r="F44">
        <v>3.27</v>
      </c>
      <c r="G44">
        <v>56263</v>
      </c>
      <c r="H44">
        <v>56262.964999999997</v>
      </c>
      <c r="I44" cm="1">
        <f t="array" ref="I44">TREND($X$8:$X$12,$W$8:$W$12,H44)</f>
        <v>32.49601078813199</v>
      </c>
      <c r="J44">
        <f>I44/(2/0.2)*3</f>
        <v>9.7488032364395956</v>
      </c>
      <c r="K44">
        <v>0.14893639850741497</v>
      </c>
      <c r="L44" s="1">
        <f t="shared" si="0"/>
        <v>65.45614996829832</v>
      </c>
    </row>
    <row r="45" spans="1:12" x14ac:dyDescent="0.3">
      <c r="A45">
        <v>39</v>
      </c>
      <c r="B45" t="s">
        <v>149</v>
      </c>
      <c r="C45" t="s">
        <v>150</v>
      </c>
      <c r="D45" t="s">
        <v>23</v>
      </c>
      <c r="E45" t="s">
        <v>71</v>
      </c>
      <c r="F45">
        <v>3.27</v>
      </c>
      <c r="G45">
        <v>55182</v>
      </c>
      <c r="H45">
        <v>55182.116999999998</v>
      </c>
      <c r="I45" cm="1">
        <f t="array" ref="I45">TREND($X$8:$X$12,$W$8:$W$12,H45)</f>
        <v>31.873510135441204</v>
      </c>
      <c r="J45">
        <f>I45/(2/0.2)*3</f>
        <v>9.5620530406323621</v>
      </c>
      <c r="K45">
        <v>4.0262599366812736E-2</v>
      </c>
      <c r="L45" s="1">
        <f t="shared" si="0"/>
        <v>237.49219352474492</v>
      </c>
    </row>
    <row r="46" spans="1:12" x14ac:dyDescent="0.3">
      <c r="A46">
        <v>40</v>
      </c>
      <c r="B46" t="s">
        <v>151</v>
      </c>
      <c r="C46" t="s">
        <v>152</v>
      </c>
      <c r="D46" t="s">
        <v>23</v>
      </c>
      <c r="E46" t="s">
        <v>153</v>
      </c>
      <c r="F46">
        <v>3.27</v>
      </c>
      <c r="G46">
        <v>62350</v>
      </c>
      <c r="H46">
        <v>62349.559000000001</v>
      </c>
      <c r="I46" cm="1">
        <f t="array" ref="I46">TREND($X$8:$X$12,$W$8:$W$12,H46)</f>
        <v>36.001507155487836</v>
      </c>
      <c r="J46">
        <f>I46/(2/0.2)*3</f>
        <v>10.80045214664635</v>
      </c>
      <c r="K46">
        <v>0.11351678989862611</v>
      </c>
      <c r="L46" s="1">
        <f t="shared" si="0"/>
        <v>95.144094158154729</v>
      </c>
    </row>
    <row r="47" spans="1:12" x14ac:dyDescent="0.3">
      <c r="A47">
        <v>41</v>
      </c>
      <c r="B47" t="s">
        <v>154</v>
      </c>
      <c r="C47" t="s">
        <v>155</v>
      </c>
      <c r="D47" t="s">
        <v>23</v>
      </c>
      <c r="E47" t="s">
        <v>156</v>
      </c>
      <c r="F47">
        <v>3.27</v>
      </c>
      <c r="G47">
        <v>45625</v>
      </c>
      <c r="H47">
        <v>45625.012000000002</v>
      </c>
      <c r="I47" cm="1">
        <f t="array" ref="I47">TREND($X$8:$X$12,$W$8:$W$12,H47)</f>
        <v>26.369217117057129</v>
      </c>
      <c r="J47">
        <f>I47/(2/0.2)*3</f>
        <v>7.9107651351171393</v>
      </c>
      <c r="K47">
        <v>0.10144192332744809</v>
      </c>
      <c r="L47" s="1">
        <f t="shared" si="0"/>
        <v>77.98319349271101</v>
      </c>
    </row>
    <row r="48" spans="1:12" x14ac:dyDescent="0.3">
      <c r="A48">
        <v>42</v>
      </c>
      <c r="B48" t="s">
        <v>157</v>
      </c>
      <c r="C48" t="s">
        <v>158</v>
      </c>
      <c r="D48" t="s">
        <v>23</v>
      </c>
      <c r="E48" t="s">
        <v>159</v>
      </c>
      <c r="F48">
        <v>3.27</v>
      </c>
      <c r="G48">
        <v>68786</v>
      </c>
      <c r="H48">
        <v>68786.133000000002</v>
      </c>
      <c r="I48" cm="1">
        <f t="array" ref="I48">TREND($X$8:$X$12,$W$8:$W$12,H48)</f>
        <v>39.708570050633647</v>
      </c>
      <c r="J48">
        <f>I48/(2/0.2)*3</f>
        <v>11.912571015190093</v>
      </c>
      <c r="K48">
        <v>8.3732119023053622E-2</v>
      </c>
      <c r="L48" s="1">
        <f t="shared" si="0"/>
        <v>142.27002916181129</v>
      </c>
    </row>
    <row r="49" spans="1:12" x14ac:dyDescent="0.3">
      <c r="A49">
        <v>43</v>
      </c>
      <c r="B49" t="s">
        <v>160</v>
      </c>
      <c r="C49" t="s">
        <v>161</v>
      </c>
      <c r="D49" t="s">
        <v>23</v>
      </c>
      <c r="E49" t="s">
        <v>162</v>
      </c>
      <c r="F49">
        <v>3.27</v>
      </c>
      <c r="G49">
        <v>76421</v>
      </c>
      <c r="H49">
        <v>76420.789000000004</v>
      </c>
      <c r="I49" cm="1">
        <f t="array" ref="I49">TREND($X$8:$X$12,$W$8:$W$12,H49)</f>
        <v>44.10565302906322</v>
      </c>
      <c r="J49">
        <f>I49/(2/0.2)*3</f>
        <v>13.231695908718967</v>
      </c>
      <c r="K49">
        <v>0.22299558014397355</v>
      </c>
      <c r="L49" s="1">
        <f t="shared" si="0"/>
        <v>59.336135273067441</v>
      </c>
    </row>
    <row r="50" spans="1:12" x14ac:dyDescent="0.3">
      <c r="A50">
        <v>44</v>
      </c>
      <c r="B50" t="s">
        <v>163</v>
      </c>
      <c r="C50" t="s">
        <v>164</v>
      </c>
      <c r="D50" t="s">
        <v>23</v>
      </c>
      <c r="E50" t="s">
        <v>165</v>
      </c>
      <c r="F50">
        <v>3.27</v>
      </c>
      <c r="G50">
        <v>96563</v>
      </c>
      <c r="H50">
        <v>96563.008000000002</v>
      </c>
      <c r="I50" cm="1">
        <f t="array" ref="I50">TREND($X$8:$X$12,$W$8:$W$12,H50)</f>
        <v>55.706307768805338</v>
      </c>
      <c r="J50">
        <f>I50/(2/0.2)*3</f>
        <v>16.7118923306416</v>
      </c>
      <c r="K50">
        <v>0.1175417454223521</v>
      </c>
      <c r="L50" s="1">
        <f t="shared" si="0"/>
        <v>142.17835774509109</v>
      </c>
    </row>
    <row r="51" spans="1:12" x14ac:dyDescent="0.3">
      <c r="A51">
        <v>45</v>
      </c>
      <c r="B51" t="s">
        <v>166</v>
      </c>
      <c r="C51" t="s">
        <v>167</v>
      </c>
      <c r="D51" t="s">
        <v>23</v>
      </c>
      <c r="E51" t="s">
        <v>168</v>
      </c>
      <c r="F51">
        <v>3.27</v>
      </c>
      <c r="G51">
        <v>74306</v>
      </c>
      <c r="H51">
        <v>74306.156000000003</v>
      </c>
      <c r="I51" cm="1">
        <f t="array" ref="I51">TREND($X$8:$X$12,$W$8:$W$12,H51)</f>
        <v>42.88775705969335</v>
      </c>
      <c r="J51">
        <f>I51/(2/0.2)*3</f>
        <v>12.866327117908003</v>
      </c>
      <c r="K51">
        <v>0.11351678989862611</v>
      </c>
      <c r="L51" s="1">
        <f t="shared" si="0"/>
        <v>113.3429436244455</v>
      </c>
    </row>
    <row r="52" spans="1:12" x14ac:dyDescent="0.3">
      <c r="A52">
        <v>46</v>
      </c>
      <c r="B52" t="s">
        <v>169</v>
      </c>
      <c r="C52" t="s">
        <v>170</v>
      </c>
      <c r="D52" t="s">
        <v>23</v>
      </c>
      <c r="E52" t="s">
        <v>171</v>
      </c>
      <c r="F52">
        <v>3.27</v>
      </c>
      <c r="G52">
        <v>69330</v>
      </c>
      <c r="H52">
        <v>69329.851999999999</v>
      </c>
      <c r="I52" cm="1">
        <f t="array" ref="I52">TREND($X$8:$X$12,$W$8:$W$12,H52)</f>
        <v>40.021718090302855</v>
      </c>
      <c r="J52">
        <f>I52/(2/0.2)*3</f>
        <v>12.006515427090855</v>
      </c>
      <c r="K52">
        <v>8.4537110127798853E-2</v>
      </c>
      <c r="L52" s="1">
        <f t="shared" si="0"/>
        <v>142.02656571699723</v>
      </c>
    </row>
    <row r="53" spans="1:12" x14ac:dyDescent="0.3">
      <c r="A53">
        <v>47</v>
      </c>
      <c r="B53" t="s">
        <v>172</v>
      </c>
      <c r="C53" t="s">
        <v>173</v>
      </c>
      <c r="D53" t="s">
        <v>23</v>
      </c>
      <c r="E53" t="s">
        <v>174</v>
      </c>
      <c r="F53">
        <v>3.27</v>
      </c>
      <c r="G53">
        <v>84951</v>
      </c>
      <c r="H53">
        <v>84951.460999999996</v>
      </c>
      <c r="I53" cm="1">
        <f t="array" ref="I53">TREND($X$8:$X$12,$W$8:$W$12,H53)</f>
        <v>49.018785021620012</v>
      </c>
      <c r="J53">
        <f>I53/(2/0.2)*3</f>
        <v>14.705635506486002</v>
      </c>
      <c r="K53">
        <v>0.1078818521654097</v>
      </c>
      <c r="L53" s="1">
        <f t="shared" si="0"/>
        <v>136.3124122483419</v>
      </c>
    </row>
    <row r="54" spans="1:12" x14ac:dyDescent="0.3">
      <c r="A54">
        <v>48</v>
      </c>
      <c r="B54" t="s">
        <v>175</v>
      </c>
      <c r="C54" t="s">
        <v>176</v>
      </c>
      <c r="D54" t="s">
        <v>23</v>
      </c>
      <c r="E54" t="s">
        <v>177</v>
      </c>
      <c r="F54">
        <v>3.27</v>
      </c>
      <c r="G54">
        <v>63421</v>
      </c>
      <c r="H54">
        <v>63421</v>
      </c>
      <c r="I54" cm="1">
        <f t="array" ref="I54">TREND($X$8:$X$12,$W$8:$W$12,H54)</f>
        <v>36.618589966225031</v>
      </c>
      <c r="J54">
        <f>I54/(2/0.2)*3</f>
        <v>10.985576989867511</v>
      </c>
      <c r="K54">
        <v>0.14813140740266978</v>
      </c>
      <c r="L54" s="1">
        <f t="shared" si="0"/>
        <v>74.161024879788712</v>
      </c>
    </row>
    <row r="55" spans="1:12" x14ac:dyDescent="0.3">
      <c r="A55">
        <v>49</v>
      </c>
      <c r="B55" t="s">
        <v>178</v>
      </c>
      <c r="C55" t="s">
        <v>179</v>
      </c>
      <c r="D55" t="s">
        <v>23</v>
      </c>
      <c r="E55" t="s">
        <v>180</v>
      </c>
      <c r="F55">
        <v>3.27</v>
      </c>
      <c r="G55">
        <v>94582</v>
      </c>
      <c r="H55">
        <v>94581.601999999999</v>
      </c>
      <c r="I55" cm="1">
        <f t="array" ref="I55">TREND($X$8:$X$12,$W$8:$W$12,H55)</f>
        <v>54.565142194880565</v>
      </c>
      <c r="J55">
        <f>I55/(2/0.2)*3</f>
        <v>16.369542658464169</v>
      </c>
      <c r="K55">
        <v>6.6022314718659172E-2</v>
      </c>
      <c r="L55" s="1">
        <f t="shared" si="0"/>
        <v>247.93954480723201</v>
      </c>
    </row>
    <row r="56" spans="1:12" x14ac:dyDescent="0.3">
      <c r="A56">
        <v>50</v>
      </c>
      <c r="B56" t="s">
        <v>181</v>
      </c>
      <c r="C56" t="s">
        <v>182</v>
      </c>
      <c r="D56" t="s">
        <v>23</v>
      </c>
      <c r="E56" t="s">
        <v>183</v>
      </c>
      <c r="F56">
        <v>3.27</v>
      </c>
      <c r="G56">
        <v>63501</v>
      </c>
      <c r="H56">
        <v>63500.934000000001</v>
      </c>
      <c r="I56" cm="1">
        <f t="array" ref="I56">TREND($X$8:$X$12,$W$8:$W$12,H56)</f>
        <v>36.664626936430075</v>
      </c>
      <c r="J56">
        <f>I56/(2/0.2)*3</f>
        <v>10.999388080929023</v>
      </c>
      <c r="K56">
        <v>0.22621554456295434</v>
      </c>
      <c r="L56" s="1">
        <f t="shared" si="0"/>
        <v>48.623484748493773</v>
      </c>
    </row>
    <row r="57" spans="1:12" x14ac:dyDescent="0.3">
      <c r="A57">
        <v>51</v>
      </c>
      <c r="B57" t="s">
        <v>184</v>
      </c>
      <c r="C57" t="s">
        <v>185</v>
      </c>
      <c r="D57" t="s">
        <v>23</v>
      </c>
      <c r="E57" t="s">
        <v>186</v>
      </c>
      <c r="F57">
        <v>3.27</v>
      </c>
      <c r="G57">
        <v>48199</v>
      </c>
      <c r="H57">
        <v>48199.43</v>
      </c>
      <c r="I57" cm="1">
        <f t="array" ref="I57">TREND($X$8:$X$12,$W$8:$W$12,H57)</f>
        <v>27.851920406787887</v>
      </c>
      <c r="J57">
        <f>I57/(2/0.2)*3</f>
        <v>8.355576122036366</v>
      </c>
      <c r="K57">
        <v>0.21897062462024752</v>
      </c>
      <c r="L57" s="1">
        <f t="shared" si="0"/>
        <v>38.158433975000648</v>
      </c>
    </row>
    <row r="58" spans="1:12" x14ac:dyDescent="0.3">
      <c r="A58">
        <v>52</v>
      </c>
      <c r="B58" t="s">
        <v>187</v>
      </c>
      <c r="C58" t="s">
        <v>188</v>
      </c>
      <c r="D58" t="s">
        <v>23</v>
      </c>
      <c r="E58" t="s">
        <v>189</v>
      </c>
      <c r="F58">
        <v>3.27</v>
      </c>
      <c r="G58">
        <v>79222</v>
      </c>
      <c r="H58">
        <v>79221.718999999997</v>
      </c>
      <c r="I58" cm="1">
        <f t="array" ref="I58">TREND($X$8:$X$12,$W$8:$W$12,H58)</f>
        <v>45.718813023013524</v>
      </c>
      <c r="J58">
        <f>I58/(2/0.2)*3</f>
        <v>13.715643906904056</v>
      </c>
      <c r="K58">
        <v>0.11271179879388092</v>
      </c>
      <c r="L58" s="1">
        <f t="shared" si="0"/>
        <v>121.68773858348425</v>
      </c>
    </row>
    <row r="59" spans="1:12" x14ac:dyDescent="0.3">
      <c r="A59">
        <v>53</v>
      </c>
      <c r="B59" t="s">
        <v>190</v>
      </c>
      <c r="C59" t="s">
        <v>191</v>
      </c>
      <c r="D59" t="s">
        <v>23</v>
      </c>
      <c r="E59" t="s">
        <v>192</v>
      </c>
      <c r="F59">
        <v>3.27</v>
      </c>
      <c r="G59">
        <v>110856</v>
      </c>
      <c r="H59">
        <v>110856.156</v>
      </c>
      <c r="I59" cm="1">
        <f t="array" ref="I59">TREND($X$8:$X$12,$W$8:$W$12,H59)</f>
        <v>63.938264490755174</v>
      </c>
      <c r="J59">
        <f>I59/(2/0.2)*3</f>
        <v>19.181479347226549</v>
      </c>
      <c r="K59">
        <v>9.1782030070505644E-2</v>
      </c>
      <c r="L59" s="1">
        <f t="shared" si="0"/>
        <v>208.98948664015833</v>
      </c>
    </row>
    <row r="60" spans="1:12" x14ac:dyDescent="0.3">
      <c r="A60">
        <v>54</v>
      </c>
      <c r="B60" t="s">
        <v>193</v>
      </c>
      <c r="C60" t="s">
        <v>194</v>
      </c>
      <c r="D60" t="s">
        <v>23</v>
      </c>
      <c r="E60" t="s">
        <v>195</v>
      </c>
      <c r="F60">
        <v>3.27</v>
      </c>
      <c r="G60">
        <v>55646</v>
      </c>
      <c r="H60">
        <v>55645.504000000001</v>
      </c>
      <c r="I60" cm="1">
        <f t="array" ref="I60">TREND($X$8:$X$12,$W$8:$W$12,H60)</f>
        <v>32.140391981869584</v>
      </c>
      <c r="J60">
        <f>I60/(2/0.2)*3</f>
        <v>9.6421175945608759</v>
      </c>
      <c r="K60">
        <v>0.16584121170706426</v>
      </c>
      <c r="L60" s="1">
        <f t="shared" si="0"/>
        <v>58.140660546983661</v>
      </c>
    </row>
    <row r="61" spans="1:12" x14ac:dyDescent="0.3">
      <c r="A61">
        <v>55</v>
      </c>
      <c r="B61" t="s">
        <v>196</v>
      </c>
      <c r="C61" t="s">
        <v>197</v>
      </c>
      <c r="D61" t="s">
        <v>23</v>
      </c>
      <c r="E61" t="s">
        <v>198</v>
      </c>
      <c r="F61">
        <v>3.27</v>
      </c>
      <c r="G61">
        <v>91851</v>
      </c>
      <c r="H61">
        <v>91851.476999999999</v>
      </c>
      <c r="I61" cm="1">
        <f t="array" ref="I61">TREND($X$8:$X$12,$W$8:$W$12,H61)</f>
        <v>52.992761439744378</v>
      </c>
      <c r="J61">
        <f>I61/(2/0.2)*3</f>
        <v>15.897828431923312</v>
      </c>
      <c r="K61">
        <v>0.20850574025855992</v>
      </c>
      <c r="L61" s="1">
        <f t="shared" si="0"/>
        <v>76.246478452866711</v>
      </c>
    </row>
    <row r="62" spans="1:12" x14ac:dyDescent="0.3">
      <c r="A62">
        <v>56</v>
      </c>
      <c r="B62" t="s">
        <v>199</v>
      </c>
      <c r="C62" t="s">
        <v>200</v>
      </c>
      <c r="D62" t="s">
        <v>23</v>
      </c>
      <c r="E62" t="s">
        <v>201</v>
      </c>
      <c r="F62">
        <v>3.27</v>
      </c>
      <c r="G62">
        <v>67678</v>
      </c>
      <c r="H62">
        <v>67678.258000000002</v>
      </c>
      <c r="I62" cm="1">
        <f t="array" ref="I62">TREND($X$8:$X$12,$W$8:$W$12,H62)</f>
        <v>39.070503541189389</v>
      </c>
      <c r="J62">
        <f>I62/(2/0.2)*3</f>
        <v>11.721151062356817</v>
      </c>
      <c r="K62">
        <v>0.15457133624063138</v>
      </c>
      <c r="L62" s="1">
        <f t="shared" si="0"/>
        <v>75.830042926650577</v>
      </c>
    </row>
    <row r="63" spans="1:12" x14ac:dyDescent="0.3">
      <c r="A63">
        <v>57</v>
      </c>
      <c r="B63" t="s">
        <v>202</v>
      </c>
      <c r="C63" t="s">
        <v>203</v>
      </c>
      <c r="D63" t="s">
        <v>23</v>
      </c>
      <c r="E63" t="s">
        <v>204</v>
      </c>
      <c r="F63">
        <v>3.27</v>
      </c>
      <c r="G63">
        <v>57895</v>
      </c>
      <c r="H63">
        <v>57895.046999999999</v>
      </c>
      <c r="I63" cm="1">
        <f t="array" ref="I63">TREND($X$8:$X$12,$W$8:$W$12,H63)</f>
        <v>33.435987649119738</v>
      </c>
      <c r="J63">
        <f>I63/(2/0.2)*3</f>
        <v>10.030796294735921</v>
      </c>
      <c r="K63">
        <v>0.22863051787718996</v>
      </c>
      <c r="L63" s="1">
        <f t="shared" si="0"/>
        <v>43.873391828312329</v>
      </c>
    </row>
    <row r="64" spans="1:12" x14ac:dyDescent="0.3">
      <c r="A64">
        <v>58</v>
      </c>
      <c r="B64" t="s">
        <v>205</v>
      </c>
      <c r="C64" t="s">
        <v>206</v>
      </c>
      <c r="D64" t="s">
        <v>23</v>
      </c>
      <c r="E64" t="s">
        <v>207</v>
      </c>
      <c r="F64">
        <v>3.27</v>
      </c>
      <c r="G64">
        <v>65613</v>
      </c>
      <c r="H64">
        <v>65613.070000000007</v>
      </c>
      <c r="I64" cm="1">
        <f t="array" ref="I64">TREND($X$8:$X$12,$W$8:$W$12,H64)</f>
        <v>37.881084790422236</v>
      </c>
      <c r="J64">
        <f>I64/(2/0.2)*3</f>
        <v>11.36432543712667</v>
      </c>
      <c r="K64">
        <v>0.19079593595416544</v>
      </c>
      <c r="L64" s="1">
        <f t="shared" si="0"/>
        <v>59.562722760807134</v>
      </c>
    </row>
    <row r="65" spans="1:12" x14ac:dyDescent="0.3">
      <c r="A65">
        <v>59</v>
      </c>
      <c r="B65" t="s">
        <v>208</v>
      </c>
      <c r="C65" t="s">
        <v>209</v>
      </c>
      <c r="D65" t="s">
        <v>23</v>
      </c>
      <c r="E65" t="s">
        <v>210</v>
      </c>
      <c r="F65">
        <v>3.27</v>
      </c>
      <c r="G65">
        <v>62179</v>
      </c>
      <c r="H65">
        <v>62178.559000000001</v>
      </c>
      <c r="I65" cm="1">
        <f t="array" ref="I65">TREND($X$8:$X$12,$W$8:$W$12,H65)</f>
        <v>35.903021881323362</v>
      </c>
      <c r="J65">
        <f>I65/(2/0.2)*3</f>
        <v>10.770906564397009</v>
      </c>
      <c r="K65">
        <v>0.13122659420302052</v>
      </c>
      <c r="L65" s="1">
        <f t="shared" si="0"/>
        <v>82.078687097017479</v>
      </c>
    </row>
    <row r="66" spans="1:12" x14ac:dyDescent="0.3">
      <c r="A66">
        <v>60</v>
      </c>
      <c r="B66" t="s">
        <v>211</v>
      </c>
      <c r="C66" t="s">
        <v>212</v>
      </c>
      <c r="D66" t="s">
        <v>23</v>
      </c>
      <c r="E66" t="s">
        <v>213</v>
      </c>
      <c r="F66">
        <v>3.27</v>
      </c>
      <c r="G66">
        <v>89096</v>
      </c>
      <c r="H66">
        <v>89096.468999999997</v>
      </c>
      <c r="I66" cm="1">
        <f t="array" ref="I66">TREND($X$8:$X$12,$W$8:$W$12,H66)</f>
        <v>51.406049637374068</v>
      </c>
      <c r="J66">
        <f>I66/(2/0.2)*3</f>
        <v>15.421814891212222</v>
      </c>
      <c r="K66">
        <v>0.13927650525047255</v>
      </c>
      <c r="L66" s="1">
        <f t="shared" si="0"/>
        <v>110.72804320784677</v>
      </c>
    </row>
    <row r="67" spans="1:12" x14ac:dyDescent="0.3">
      <c r="A67">
        <v>61</v>
      </c>
      <c r="B67" t="s">
        <v>214</v>
      </c>
      <c r="C67" t="s">
        <v>215</v>
      </c>
      <c r="D67" t="s">
        <v>23</v>
      </c>
      <c r="E67" t="s">
        <v>216</v>
      </c>
      <c r="F67">
        <v>3.27</v>
      </c>
      <c r="G67">
        <v>73766</v>
      </c>
      <c r="H67">
        <v>73766.375</v>
      </c>
      <c r="I67" cm="1">
        <f t="array" ref="I67">TREND($X$8:$X$12,$W$8:$W$12,H67)</f>
        <v>42.576877061016305</v>
      </c>
      <c r="J67">
        <f>I67/(2/0.2)*3</f>
        <v>12.77306311830489</v>
      </c>
      <c r="K67">
        <v>9.7416967803722054E-2</v>
      </c>
      <c r="L67" s="1">
        <f t="shared" si="0"/>
        <v>131.11743679027612</v>
      </c>
    </row>
    <row r="68" spans="1:12" x14ac:dyDescent="0.3">
      <c r="A68">
        <v>62</v>
      </c>
      <c r="B68" t="s">
        <v>217</v>
      </c>
      <c r="C68" t="s">
        <v>218</v>
      </c>
      <c r="D68" t="s">
        <v>23</v>
      </c>
      <c r="E68" t="s">
        <v>219</v>
      </c>
      <c r="F68">
        <v>3.27</v>
      </c>
      <c r="G68">
        <v>61746</v>
      </c>
      <c r="H68">
        <v>61745.866999999998</v>
      </c>
      <c r="I68" cm="1">
        <f t="array" ref="I68">TREND($X$8:$X$12,$W$8:$W$12,H68)</f>
        <v>35.653818429576141</v>
      </c>
      <c r="J68">
        <f>I68/(2/0.2)*3</f>
        <v>10.696145528872844</v>
      </c>
      <c r="K68">
        <v>7.4877216870856411E-2</v>
      </c>
      <c r="L68" s="1">
        <f t="shared" si="0"/>
        <v>142.84913323262126</v>
      </c>
    </row>
    <row r="69" spans="1:12" x14ac:dyDescent="0.3">
      <c r="A69">
        <v>63</v>
      </c>
      <c r="B69" t="s">
        <v>220</v>
      </c>
      <c r="C69" t="s">
        <v>221</v>
      </c>
      <c r="D69" t="s">
        <v>23</v>
      </c>
      <c r="E69" t="s">
        <v>222</v>
      </c>
      <c r="F69">
        <v>3.27</v>
      </c>
      <c r="G69">
        <v>81326</v>
      </c>
      <c r="H69">
        <v>81325.891000000003</v>
      </c>
      <c r="I69" cm="1">
        <f t="array" ref="I69">TREND($X$8:$X$12,$W$8:$W$12,H69)</f>
        <v>46.930684112541087</v>
      </c>
      <c r="J69">
        <f>I69/(2/0.2)*3</f>
        <v>14.079205233762325</v>
      </c>
      <c r="K69">
        <v>0.14491144298368897</v>
      </c>
      <c r="L69" s="1">
        <f t="shared" si="0"/>
        <v>97.157304791637898</v>
      </c>
    </row>
    <row r="70" spans="1:12" x14ac:dyDescent="0.3">
      <c r="A70">
        <v>64</v>
      </c>
      <c r="B70" t="s">
        <v>223</v>
      </c>
      <c r="C70" t="s">
        <v>224</v>
      </c>
      <c r="D70" t="s">
        <v>23</v>
      </c>
      <c r="E70" t="s">
        <v>225</v>
      </c>
      <c r="F70">
        <v>3.27</v>
      </c>
      <c r="G70">
        <v>85821</v>
      </c>
      <c r="H70">
        <v>85821.148000000001</v>
      </c>
      <c r="I70" cm="1">
        <f t="array" ref="I70">TREND($X$8:$X$12,$W$8:$W$12,H70)</f>
        <v>49.519670183212298</v>
      </c>
      <c r="J70">
        <f>I70/(2/0.2)*3</f>
        <v>14.855901054963688</v>
      </c>
      <c r="K70">
        <v>0.14571643408843418</v>
      </c>
      <c r="L70" s="1">
        <f t="shared" si="0"/>
        <v>101.95075900600035</v>
      </c>
    </row>
    <row r="71" spans="1:12" x14ac:dyDescent="0.3">
      <c r="A71">
        <v>65</v>
      </c>
      <c r="B71" t="s">
        <v>226</v>
      </c>
      <c r="C71" t="s">
        <v>227</v>
      </c>
      <c r="D71" t="s">
        <v>23</v>
      </c>
      <c r="E71" t="s">
        <v>228</v>
      </c>
      <c r="F71">
        <v>3.27</v>
      </c>
      <c r="G71">
        <v>48969</v>
      </c>
      <c r="H71">
        <v>48969.086000000003</v>
      </c>
      <c r="I71" cm="1">
        <f t="array" ref="I71">TREND($X$8:$X$12,$W$8:$W$12,H71)</f>
        <v>28.295193986743055</v>
      </c>
      <c r="J71">
        <f>I71/(2/0.2)*3</f>
        <v>8.4885581960229164</v>
      </c>
      <c r="K71">
        <v>0.26405012648597881</v>
      </c>
      <c r="L71" s="1">
        <f t="shared" si="0"/>
        <v>32.147525581562874</v>
      </c>
    </row>
    <row r="72" spans="1:12" x14ac:dyDescent="0.3">
      <c r="A72">
        <v>66</v>
      </c>
      <c r="B72" t="s">
        <v>229</v>
      </c>
      <c r="C72" t="s">
        <v>230</v>
      </c>
      <c r="D72" t="s">
        <v>23</v>
      </c>
      <c r="E72" t="s">
        <v>231</v>
      </c>
      <c r="F72">
        <v>3.27</v>
      </c>
      <c r="G72">
        <v>34535</v>
      </c>
      <c r="H72">
        <v>34535.133000000002</v>
      </c>
      <c r="I72" cm="1">
        <f t="array" ref="I72">TREND($X$8:$X$12,$W$8:$W$12,H72)</f>
        <v>19.982142416672001</v>
      </c>
      <c r="J72">
        <f>I72/(2/0.2)*3</f>
        <v>5.9946427250016008</v>
      </c>
      <c r="K72">
        <v>0.17469611385926145</v>
      </c>
      <c r="L72" s="1">
        <f t="shared" si="0"/>
        <v>34.314688475732211</v>
      </c>
    </row>
    <row r="73" spans="1:12" x14ac:dyDescent="0.3">
      <c r="A73">
        <v>67</v>
      </c>
      <c r="B73" t="s">
        <v>232</v>
      </c>
      <c r="C73" t="s">
        <v>233</v>
      </c>
      <c r="D73" t="s">
        <v>23</v>
      </c>
      <c r="E73" t="s">
        <v>234</v>
      </c>
      <c r="F73">
        <v>3.27</v>
      </c>
      <c r="G73">
        <v>25985</v>
      </c>
      <c r="H73">
        <v>25984.631000000001</v>
      </c>
      <c r="I73" cm="1">
        <f t="array" ref="I73">TREND($X$8:$X$12,$W$8:$W$12,H73)</f>
        <v>15.057589587935777</v>
      </c>
      <c r="J73">
        <f>I73/(2/0.2)*3</f>
        <v>4.5172768763807323</v>
      </c>
      <c r="K73">
        <v>0.1175417454223521</v>
      </c>
      <c r="L73" s="1">
        <f t="shared" ref="L73" si="1">J73/K73</f>
        <v>38.431255722375148</v>
      </c>
    </row>
    <row r="74" spans="1:12" x14ac:dyDescent="0.3">
      <c r="A74">
        <v>34</v>
      </c>
      <c r="B74" t="s">
        <v>235</v>
      </c>
      <c r="C74" t="s">
        <v>236</v>
      </c>
      <c r="D74" t="s">
        <v>237</v>
      </c>
      <c r="E74" t="s">
        <v>238</v>
      </c>
      <c r="F74">
        <v>3.35</v>
      </c>
      <c r="G74">
        <v>618</v>
      </c>
      <c r="H74">
        <v>618.14499999999998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NP_C16</vt:lpstr>
      <vt:lpstr>NP_C18</vt:lpstr>
      <vt:lpstr>NP_C20</vt:lpstr>
      <vt:lpstr>NP_C22</vt:lpstr>
      <vt:lpstr>NP_C24</vt:lpstr>
      <vt:lpstr>NP_C25</vt:lpstr>
      <vt:lpstr>NP_C26</vt:lpstr>
      <vt:lpstr>NP_C28</vt:lpstr>
      <vt:lpstr>NP_C30</vt:lpstr>
      <vt:lpstr>AH_C16</vt:lpstr>
      <vt:lpstr>AH_C18</vt:lpstr>
      <vt:lpstr>AH_C20</vt:lpstr>
      <vt:lpstr>AH_C22</vt:lpstr>
      <vt:lpstr>AH_C24</vt:lpstr>
      <vt:lpstr>AH_C25</vt:lpstr>
      <vt:lpstr>AH_C26</vt:lpstr>
      <vt:lpstr>AH_C28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주경미/분석인증 Lab/KYUNGMI JOO</cp:lastModifiedBy>
  <dcterms:created xsi:type="dcterms:W3CDTF">2024-02-18T23:26:16Z</dcterms:created>
  <dcterms:modified xsi:type="dcterms:W3CDTF">2026-03-30T06:20:13Z</dcterms:modified>
</cp:coreProperties>
</file>