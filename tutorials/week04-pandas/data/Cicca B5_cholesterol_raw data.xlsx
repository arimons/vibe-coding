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s\엑셀계산\BY26년 분석\건식\Cicca B5\"/>
    </mc:Choice>
  </mc:AlternateContent>
  <xr:revisionPtr revIDLastSave="0" documentId="8_{B462132C-0E03-4D1F-8843-51C308476121}" xr6:coauthVersionLast="47" xr6:coauthVersionMax="47" xr10:uidLastSave="{00000000-0000-0000-0000-000000000000}"/>
  <bookViews>
    <workbookView xWindow="-120" yWindow="-120" windowWidth="29040" windowHeight="15720" xr2:uid="{F3D351BE-10AC-48FE-A715-622688B1BA17}"/>
  </bookViews>
  <sheets>
    <sheet name="cholestero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3" i="2" l="1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L31" i="2"/>
  <c r="J31" i="2"/>
  <c r="J30" i="2"/>
  <c r="L30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L13" i="2"/>
  <c r="J13" i="2"/>
  <c r="J12" i="2"/>
  <c r="L12" i="2" s="1"/>
  <c r="J11" i="2"/>
  <c r="L11" i="2" s="1"/>
  <c r="J10" i="2"/>
  <c r="L10" i="2" s="1"/>
  <c r="J9" i="2"/>
  <c r="L9" i="2" s="1"/>
  <c r="J8" i="2"/>
  <c r="L8" i="2" s="1"/>
</calcChain>
</file>

<file path=xl/sharedStrings.xml><?xml version="1.0" encoding="utf-8"?>
<sst xmlns="http://schemas.openxmlformats.org/spreadsheetml/2006/main" count="316" uniqueCount="236">
  <si>
    <t>V1_S1</t>
  </si>
  <si>
    <t>V1_S2</t>
  </si>
  <si>
    <t>V1_S3</t>
  </si>
  <si>
    <t>V1_S4</t>
  </si>
  <si>
    <t>V1_S5</t>
  </si>
  <si>
    <t>V1_S6</t>
  </si>
  <si>
    <t>V1_S7</t>
  </si>
  <si>
    <t>V1_S8</t>
  </si>
  <si>
    <t>V1_S9</t>
  </si>
  <si>
    <t>V1_S10</t>
  </si>
  <si>
    <t>V1_S11</t>
  </si>
  <si>
    <t>V1_S12</t>
  </si>
  <si>
    <t>V1_S13</t>
  </si>
  <si>
    <t>V1_S14</t>
  </si>
  <si>
    <t>V1_S15</t>
  </si>
  <si>
    <t>V1_S16</t>
  </si>
  <si>
    <t>V1_S17</t>
  </si>
  <si>
    <t>V1_S18</t>
  </si>
  <si>
    <t>V1_S19</t>
  </si>
  <si>
    <t>V1_S20</t>
  </si>
  <si>
    <t>V1_S21</t>
  </si>
  <si>
    <t>V1_S22</t>
  </si>
  <si>
    <t>V1_S23</t>
  </si>
  <si>
    <t>V1_S24</t>
  </si>
  <si>
    <t>V1_S25</t>
  </si>
  <si>
    <t>V1_S26</t>
  </si>
  <si>
    <t>V1_S27</t>
  </si>
  <si>
    <t>V1_S28</t>
  </si>
  <si>
    <t>V1_S29</t>
  </si>
  <si>
    <t>V1_S30</t>
  </si>
  <si>
    <t>V1_S31</t>
  </si>
  <si>
    <t>V1_S32</t>
  </si>
  <si>
    <t>V1_S33</t>
  </si>
  <si>
    <t>V2_S1</t>
  </si>
  <si>
    <t>V2_S2</t>
  </si>
  <si>
    <t>V2_S3</t>
  </si>
  <si>
    <t>V2_S4</t>
  </si>
  <si>
    <t>V2_S5</t>
  </si>
  <si>
    <t>V2_S6</t>
  </si>
  <si>
    <t>V2_S7</t>
  </si>
  <si>
    <t>V2_S8</t>
  </si>
  <si>
    <t>V2_S9</t>
  </si>
  <si>
    <t>V2_S10</t>
  </si>
  <si>
    <t>V2_S11</t>
  </si>
  <si>
    <t>V2_S12</t>
  </si>
  <si>
    <t>V2_S13</t>
  </si>
  <si>
    <t>V2_S14</t>
  </si>
  <si>
    <t>V2_S15</t>
  </si>
  <si>
    <t>V2_S16</t>
  </si>
  <si>
    <t>V2_S17</t>
  </si>
  <si>
    <t>V2_S18</t>
  </si>
  <si>
    <t>V2_S19</t>
  </si>
  <si>
    <t>V2_S20</t>
  </si>
  <si>
    <t>V2_S21</t>
  </si>
  <si>
    <t>V2_S22</t>
  </si>
  <si>
    <t>V2_S23</t>
  </si>
  <si>
    <t>V2_S24</t>
  </si>
  <si>
    <t>V2_S25</t>
  </si>
  <si>
    <t>V2_S26</t>
  </si>
  <si>
    <t>V2_S27</t>
  </si>
  <si>
    <t>V2_S28</t>
  </si>
  <si>
    <t>V2_S29</t>
  </si>
  <si>
    <t>V2_S30</t>
  </si>
  <si>
    <t>V2_S31</t>
  </si>
  <si>
    <t>V2_S32</t>
  </si>
  <si>
    <t>V2_S33</t>
  </si>
  <si>
    <t xml:space="preserve">Quantify Compound Summary Report </t>
  </si>
  <si>
    <t>Printed Fri Sep 12 08:18:05 2025</t>
  </si>
  <si>
    <t>Compound 1:  cholesterol (1)</t>
  </si>
  <si>
    <t>Name</t>
  </si>
  <si>
    <t>Sample Text</t>
  </si>
  <si>
    <t>Type</t>
  </si>
  <si>
    <t>Vial</t>
  </si>
  <si>
    <t>RT</t>
  </si>
  <si>
    <t>Area</t>
  </si>
  <si>
    <t>Response</t>
  </si>
  <si>
    <t>Std. Conc</t>
  </si>
  <si>
    <t>ng/mL</t>
  </si>
  <si>
    <t>%Dev</t>
  </si>
  <si>
    <t>S/N</t>
  </si>
  <si>
    <t>Cicca B5_SC_CH_250910_001</t>
  </si>
  <si>
    <t>Analyte</t>
  </si>
  <si>
    <t>1:B,3</t>
  </si>
  <si>
    <t>Cicca B5_SC_CH_250910_002</t>
  </si>
  <si>
    <t>1:B,4</t>
  </si>
  <si>
    <t>Cicca B5_SC_CH_250910_003</t>
  </si>
  <si>
    <t>1:B,5</t>
  </si>
  <si>
    <t>Cicca B5_SC_CH_250910_004</t>
  </si>
  <si>
    <t>1:B,6</t>
  </si>
  <si>
    <t>Cicca B5_SC_CH_250910_005</t>
  </si>
  <si>
    <t>1:B,7</t>
  </si>
  <si>
    <t>Cicca B5_SC_CH_250910_006</t>
  </si>
  <si>
    <t>1:B,8</t>
  </si>
  <si>
    <t>Cicca B5_SC_CH_250910_007</t>
  </si>
  <si>
    <t>1:C,1</t>
  </si>
  <si>
    <t>Cicca B5_SC_CH_250910_008</t>
  </si>
  <si>
    <t>1:C,2</t>
  </si>
  <si>
    <t>Cicca B5_SC_CH_250910_009</t>
  </si>
  <si>
    <t>1:C,3</t>
  </si>
  <si>
    <t>Cicca B5_SC_CH_250910_010</t>
  </si>
  <si>
    <t>1:C,4</t>
  </si>
  <si>
    <t>Cicca B5_SC_CH_250910_011</t>
  </si>
  <si>
    <t>1:C,5</t>
  </si>
  <si>
    <t>Cicca B5_SC_CH_250910_012</t>
  </si>
  <si>
    <t>1:C,6</t>
  </si>
  <si>
    <t>Cicca B5_SC_CH_250910_013</t>
  </si>
  <si>
    <t>1:C,7</t>
  </si>
  <si>
    <t>Cicca B5_SC_CH_250910_014</t>
  </si>
  <si>
    <t>1:C,8</t>
  </si>
  <si>
    <t>Cicca B5_SC_CH_250910_015</t>
  </si>
  <si>
    <t>1:D,1</t>
  </si>
  <si>
    <t>Cicca B5_SC_CH_250910_016</t>
  </si>
  <si>
    <t>1:D,2</t>
  </si>
  <si>
    <t>Cicca B5_SC_CH_250910_017</t>
  </si>
  <si>
    <t>1:D,3</t>
  </si>
  <si>
    <t>Cicca B5_SC_CH_250910_018</t>
  </si>
  <si>
    <t>1:D,4</t>
  </si>
  <si>
    <t>Cicca B5_SC_CH_250910_019</t>
  </si>
  <si>
    <t>1:D,5</t>
  </si>
  <si>
    <t>Cicca B5_SC_CH_250910_020</t>
  </si>
  <si>
    <t>1:D,6</t>
  </si>
  <si>
    <t>Cicca B5_SC_CH_250910_021</t>
  </si>
  <si>
    <t>1:D,7</t>
  </si>
  <si>
    <t>Cicca B5_SC_CH_250910_022</t>
  </si>
  <si>
    <t>1:D,8</t>
  </si>
  <si>
    <t>Cicca B5_SC_CH_250910_023</t>
  </si>
  <si>
    <t>1:E,1</t>
  </si>
  <si>
    <t>Cicca B5_SC_CH_250910_024</t>
  </si>
  <si>
    <t>1:E,2</t>
  </si>
  <si>
    <t>Cicca B5_SC_CH_250910_025</t>
  </si>
  <si>
    <t>1:E,3</t>
  </si>
  <si>
    <t>Cicca B5_SC_CH_250910_026</t>
  </si>
  <si>
    <t>1:E,4</t>
  </si>
  <si>
    <t>Cicca B5_SC_CH_250910_027</t>
  </si>
  <si>
    <t>1:E,5</t>
  </si>
  <si>
    <t>Cicca B5_SC_CH_250910_028</t>
  </si>
  <si>
    <t>1:E,6</t>
  </si>
  <si>
    <t>Cicca B5_SC_CH_250910_029</t>
  </si>
  <si>
    <t>1:E,7</t>
  </si>
  <si>
    <t>Cicca B5_SC_CH_250910_030</t>
  </si>
  <si>
    <t>1:E,8</t>
  </si>
  <si>
    <t>Cicca B5_SC_CH_250910_031</t>
  </si>
  <si>
    <t>1:F,1</t>
  </si>
  <si>
    <t>Cicca B5_SC_CH_250910_032</t>
  </si>
  <si>
    <t>1:F,2</t>
  </si>
  <si>
    <t>Cicca B5_SC_CH_250910_033</t>
  </si>
  <si>
    <t>1:F,3</t>
  </si>
  <si>
    <t>Cicca B5_SC_CH_250910_034</t>
  </si>
  <si>
    <t>1:F,4</t>
  </si>
  <si>
    <t>Cicca B5_SC_CH_250910_035</t>
  </si>
  <si>
    <t>1:F,5</t>
  </si>
  <si>
    <t>Cicca B5_SC_CH_250910_036</t>
  </si>
  <si>
    <t>1:F,6</t>
  </si>
  <si>
    <t>Cicca B5_SC_CH_250910_037</t>
  </si>
  <si>
    <t>1:F,7</t>
  </si>
  <si>
    <t>Cicca B5_SC_CH_250910_038</t>
  </si>
  <si>
    <t>1:F,8</t>
  </si>
  <si>
    <t>Cicca B5_SC_CH_250910_039</t>
  </si>
  <si>
    <t>2:A,1</t>
  </si>
  <si>
    <t>Cicca B5_SC_CH_250910_040</t>
  </si>
  <si>
    <t>2:A,2</t>
  </si>
  <si>
    <t>Cicca B5_SC_CH_250910_041</t>
  </si>
  <si>
    <t>2:A,3</t>
  </si>
  <si>
    <t>Cicca B5_SC_CH_250910_042</t>
  </si>
  <si>
    <t>2:A,4</t>
  </si>
  <si>
    <t>Cicca B5_SC_CH_250910_043</t>
  </si>
  <si>
    <t>2:A,5</t>
  </si>
  <si>
    <t>Cicca B5_SC_CH_250910_044</t>
  </si>
  <si>
    <t>2:A,6</t>
  </si>
  <si>
    <t>Cicca B5_SC_CH_250910_045</t>
  </si>
  <si>
    <t>2:A,7</t>
  </si>
  <si>
    <t>Cicca B5_SC_CH_250910_046</t>
  </si>
  <si>
    <t>2:A,8</t>
  </si>
  <si>
    <t>Cicca B5_SC_CH_250910_047</t>
  </si>
  <si>
    <t>2:B,1</t>
  </si>
  <si>
    <t>Cicca B5_SC_CH_250910_048</t>
  </si>
  <si>
    <t>2:B,2</t>
  </si>
  <si>
    <t>Cicca B5_SC_CH_250910_049</t>
  </si>
  <si>
    <t>2:B,3</t>
  </si>
  <si>
    <t>Cicca B5_SC_CH_250910_050</t>
  </si>
  <si>
    <t>2:B,4</t>
  </si>
  <si>
    <t>Cicca B5_SC_CH_250910_051</t>
  </si>
  <si>
    <t>2:B,5</t>
  </si>
  <si>
    <t>Cicca B5_SC_CH_250910_052</t>
  </si>
  <si>
    <t>2:B,6</t>
  </si>
  <si>
    <t>Cicca B5_SC_CH_250910_053</t>
  </si>
  <si>
    <t>2:B,7</t>
  </si>
  <si>
    <t>Cicca B5_SC_CH_250910_054</t>
  </si>
  <si>
    <t>2:B,8</t>
  </si>
  <si>
    <t>Cicca B5_SC_CH_250910_055</t>
  </si>
  <si>
    <t>2:C,1</t>
  </si>
  <si>
    <t>Cicca B5_SC_CH_250910_056</t>
  </si>
  <si>
    <t>2:C,2</t>
  </si>
  <si>
    <t>Cicca B5_SC_CH_250910_057</t>
  </si>
  <si>
    <t>2:C,3</t>
  </si>
  <si>
    <t>Cicca B5_SC_CH_250910_058</t>
  </si>
  <si>
    <t>2:C,4</t>
  </si>
  <si>
    <t>Cicca B5_SC_CH_250910_059</t>
  </si>
  <si>
    <t>2:C,5</t>
  </si>
  <si>
    <t>Cicca B5_SC_CH_250910_060</t>
  </si>
  <si>
    <t>2:C,6</t>
  </si>
  <si>
    <t>Cicca B5_SC_CH_250910_061</t>
  </si>
  <si>
    <t>2:C,7</t>
  </si>
  <si>
    <t>Cicca B5_SC_CH_250910_062</t>
  </si>
  <si>
    <t>2:C,8</t>
  </si>
  <si>
    <t>Cicca B5_SC_CH_250910_063</t>
  </si>
  <si>
    <t>2:D,1</t>
  </si>
  <si>
    <t>Cicca B5_SC_CH_250910_064</t>
  </si>
  <si>
    <t>2:D,2</t>
  </si>
  <si>
    <t>Cicca B5_SC_CH_250910_065</t>
  </si>
  <si>
    <t>2:D,3</t>
  </si>
  <si>
    <t>Cicca B5_SC_CH_250910_066</t>
  </si>
  <si>
    <t>2:D,4</t>
  </si>
  <si>
    <t>Printed Fri Sep 12 08:19:16 2025</t>
  </si>
  <si>
    <t>CH_std_1_250911_001</t>
  </si>
  <si>
    <t>CH 0.1 ppm</t>
  </si>
  <si>
    <t>Standard</t>
  </si>
  <si>
    <t>2:F,1</t>
  </si>
  <si>
    <t>CH_std_1_250911_002</t>
  </si>
  <si>
    <t>CH 0.2 ppm</t>
  </si>
  <si>
    <t>2:F,2</t>
  </si>
  <si>
    <t>CH_std_1_250911_003</t>
  </si>
  <si>
    <t>CH 0.5 ppm</t>
  </si>
  <si>
    <t>2:F,3</t>
  </si>
  <si>
    <t>CH_std_1_250911_004</t>
  </si>
  <si>
    <t>CH 1 ppm</t>
  </si>
  <si>
    <t>2:F,4</t>
  </si>
  <si>
    <t>CH_std_1_250911_005</t>
  </si>
  <si>
    <t>CH 2 ppm</t>
  </si>
  <si>
    <t>2:F,5</t>
  </si>
  <si>
    <t>CH_std_1_250911_006</t>
  </si>
  <si>
    <t>CH 5 ppm</t>
  </si>
  <si>
    <t>2:F,6</t>
  </si>
  <si>
    <t xml:space="preserve">희석배수 </t>
    <phoneticPr fontId="1" type="noConversion"/>
  </si>
  <si>
    <t>protein(mg/mL)</t>
    <phoneticPr fontId="1" type="noConversion"/>
  </si>
  <si>
    <t>ng/mg protein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</si>
</sst>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7447-FA6C-4088-9362-4C698BA700FB}">
  <dimension ref="A1:AA73"/>
  <sheetViews>
    <sheetView tabSelected="1" workbookViewId="0">
      <selection activeCell="Q26" sqref="Q26"/>
    </sheetView>
  </sheetViews>
  <sheetFormatPr defaultRowHeight="16.5" x14ac:dyDescent="0.3"/>
  <cols>
    <col min="2" max="2" width="27.375" bestFit="1" customWidth="1"/>
    <col min="11" max="11" width="15.375" bestFit="1" customWidth="1"/>
    <col min="12" max="12" width="14.375" bestFit="1" customWidth="1"/>
  </cols>
  <sheetData>
    <row r="1" spans="1:27" x14ac:dyDescent="0.3">
      <c r="A1" t="s">
        <v>66</v>
      </c>
      <c r="P1" t="s">
        <v>66</v>
      </c>
    </row>
    <row r="3" spans="1:27" x14ac:dyDescent="0.3">
      <c r="A3" t="s">
        <v>67</v>
      </c>
      <c r="P3" t="s">
        <v>213</v>
      </c>
    </row>
    <row r="5" spans="1:27" x14ac:dyDescent="0.3">
      <c r="A5" t="s">
        <v>68</v>
      </c>
      <c r="P5" t="s">
        <v>68</v>
      </c>
    </row>
    <row r="7" spans="1:27" x14ac:dyDescent="0.3"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77</v>
      </c>
      <c r="J7" t="s">
        <v>233</v>
      </c>
      <c r="K7" t="s">
        <v>234</v>
      </c>
      <c r="L7" s="1" t="s">
        <v>235</v>
      </c>
      <c r="Q7" t="s">
        <v>69</v>
      </c>
      <c r="R7" t="s">
        <v>70</v>
      </c>
      <c r="S7" t="s">
        <v>71</v>
      </c>
      <c r="T7" t="s">
        <v>72</v>
      </c>
      <c r="U7" t="s">
        <v>73</v>
      </c>
      <c r="V7" t="s">
        <v>74</v>
      </c>
      <c r="W7" t="s">
        <v>75</v>
      </c>
      <c r="X7" t="s">
        <v>76</v>
      </c>
      <c r="Y7" t="s">
        <v>77</v>
      </c>
      <c r="Z7" t="s">
        <v>78</v>
      </c>
      <c r="AA7" t="s">
        <v>79</v>
      </c>
    </row>
    <row r="8" spans="1:27" x14ac:dyDescent="0.3">
      <c r="A8">
        <v>1</v>
      </c>
      <c r="B8" t="s">
        <v>80</v>
      </c>
      <c r="C8" t="s">
        <v>0</v>
      </c>
      <c r="D8" t="s">
        <v>81</v>
      </c>
      <c r="E8" t="s">
        <v>82</v>
      </c>
      <c r="F8">
        <v>2.27</v>
      </c>
      <c r="G8">
        <v>232618</v>
      </c>
      <c r="H8">
        <v>232618.141</v>
      </c>
      <c r="I8">
        <v>0.318</v>
      </c>
      <c r="J8">
        <f>I8/(2/0.2)*3</f>
        <v>9.5400000000000013E-2</v>
      </c>
      <c r="K8">
        <v>0.14813140740266978</v>
      </c>
      <c r="L8" s="2">
        <f>J8/K8</f>
        <v>0.64402277459412438</v>
      </c>
      <c r="P8">
        <v>1</v>
      </c>
      <c r="Q8" t="s">
        <v>214</v>
      </c>
      <c r="R8" t="s">
        <v>215</v>
      </c>
      <c r="S8" t="s">
        <v>216</v>
      </c>
      <c r="T8" t="s">
        <v>217</v>
      </c>
      <c r="U8">
        <v>2.27</v>
      </c>
      <c r="V8">
        <v>22481</v>
      </c>
      <c r="W8">
        <v>22480.745999999999</v>
      </c>
      <c r="X8">
        <v>0.1</v>
      </c>
      <c r="Y8">
        <v>0.11899999999999999</v>
      </c>
      <c r="Z8">
        <v>19.5</v>
      </c>
      <c r="AA8">
        <v>124</v>
      </c>
    </row>
    <row r="9" spans="1:27" x14ac:dyDescent="0.3">
      <c r="A9">
        <v>2</v>
      </c>
      <c r="B9" t="s">
        <v>83</v>
      </c>
      <c r="C9" t="s">
        <v>1</v>
      </c>
      <c r="D9" t="s">
        <v>81</v>
      </c>
      <c r="E9" t="s">
        <v>84</v>
      </c>
      <c r="F9">
        <v>2.27</v>
      </c>
      <c r="G9">
        <v>387075</v>
      </c>
      <c r="H9">
        <v>387074.93800000002</v>
      </c>
      <c r="I9">
        <v>0.45800000000000002</v>
      </c>
      <c r="J9">
        <f>I9/(2/0.2)*3</f>
        <v>0.13739999999999999</v>
      </c>
      <c r="K9">
        <v>0.11673675431760691</v>
      </c>
      <c r="L9" s="2">
        <f t="shared" ref="L9:L72" si="0">J9/K9</f>
        <v>1.1770071971178364</v>
      </c>
      <c r="P9">
        <v>2</v>
      </c>
      <c r="Q9" t="s">
        <v>218</v>
      </c>
      <c r="R9" t="s">
        <v>219</v>
      </c>
      <c r="S9" t="s">
        <v>216</v>
      </c>
      <c r="T9" t="s">
        <v>220</v>
      </c>
      <c r="U9">
        <v>2.27</v>
      </c>
      <c r="V9">
        <v>98090</v>
      </c>
      <c r="W9">
        <v>98090.281000000003</v>
      </c>
      <c r="X9">
        <v>0.2</v>
      </c>
      <c r="Y9">
        <v>0.187</v>
      </c>
      <c r="Z9">
        <v>-6.4</v>
      </c>
      <c r="AA9">
        <v>407</v>
      </c>
    </row>
    <row r="10" spans="1:27" x14ac:dyDescent="0.3">
      <c r="A10">
        <v>3</v>
      </c>
      <c r="B10" t="s">
        <v>85</v>
      </c>
      <c r="C10" t="s">
        <v>2</v>
      </c>
      <c r="D10" t="s">
        <v>81</v>
      </c>
      <c r="E10" t="s">
        <v>86</v>
      </c>
      <c r="F10">
        <v>2.27</v>
      </c>
      <c r="G10">
        <v>318071</v>
      </c>
      <c r="H10">
        <v>318070.75</v>
      </c>
      <c r="I10">
        <v>0.39600000000000002</v>
      </c>
      <c r="J10">
        <f>I10/(2/0.2)*3</f>
        <v>0.11880000000000002</v>
      </c>
      <c r="K10">
        <v>8.6147092337289247E-2</v>
      </c>
      <c r="L10" s="2">
        <f t="shared" si="0"/>
        <v>1.3790366775800833</v>
      </c>
      <c r="P10">
        <v>3</v>
      </c>
      <c r="Q10" t="s">
        <v>221</v>
      </c>
      <c r="R10" t="s">
        <v>222</v>
      </c>
      <c r="S10" t="s">
        <v>216</v>
      </c>
      <c r="T10" t="s">
        <v>223</v>
      </c>
      <c r="U10">
        <v>2.27</v>
      </c>
      <c r="V10">
        <v>384767</v>
      </c>
      <c r="W10">
        <v>384766.81300000002</v>
      </c>
      <c r="X10">
        <v>0.5</v>
      </c>
      <c r="Y10">
        <v>0.44400000000000001</v>
      </c>
      <c r="Z10">
        <v>-11.1</v>
      </c>
      <c r="AA10">
        <v>758</v>
      </c>
    </row>
    <row r="11" spans="1:27" x14ac:dyDescent="0.3">
      <c r="A11">
        <v>4</v>
      </c>
      <c r="B11" t="s">
        <v>87</v>
      </c>
      <c r="C11" t="s">
        <v>3</v>
      </c>
      <c r="D11" t="s">
        <v>81</v>
      </c>
      <c r="E11" t="s">
        <v>88</v>
      </c>
      <c r="F11">
        <v>2.27</v>
      </c>
      <c r="G11">
        <v>322688</v>
      </c>
      <c r="H11">
        <v>322687.5</v>
      </c>
      <c r="I11">
        <v>0.4</v>
      </c>
      <c r="J11">
        <f>I11/(2/0.2)*3</f>
        <v>0.12</v>
      </c>
      <c r="K11">
        <v>8.9367056756270047E-2</v>
      </c>
      <c r="L11" s="2">
        <f t="shared" si="0"/>
        <v>1.3427766825450556</v>
      </c>
      <c r="P11">
        <v>4</v>
      </c>
      <c r="Q11" t="s">
        <v>224</v>
      </c>
      <c r="R11" t="s">
        <v>225</v>
      </c>
      <c r="S11" t="s">
        <v>216</v>
      </c>
      <c r="T11" t="s">
        <v>226</v>
      </c>
      <c r="U11">
        <v>2.2799999999999998</v>
      </c>
      <c r="V11">
        <v>966475</v>
      </c>
      <c r="W11">
        <v>966474.625</v>
      </c>
      <c r="X11">
        <v>1</v>
      </c>
      <c r="Y11">
        <v>0.96599999999999997</v>
      </c>
      <c r="Z11">
        <v>-3.4</v>
      </c>
      <c r="AA11">
        <v>1836</v>
      </c>
    </row>
    <row r="12" spans="1:27" x14ac:dyDescent="0.3">
      <c r="A12">
        <v>5</v>
      </c>
      <c r="B12" t="s">
        <v>89</v>
      </c>
      <c r="C12" t="s">
        <v>4</v>
      </c>
      <c r="D12" t="s">
        <v>81</v>
      </c>
      <c r="E12" t="s">
        <v>90</v>
      </c>
      <c r="F12">
        <v>2.27</v>
      </c>
      <c r="G12">
        <v>263921</v>
      </c>
      <c r="H12">
        <v>263920.53100000002</v>
      </c>
      <c r="I12">
        <v>0.34699999999999998</v>
      </c>
      <c r="J12">
        <f>I12/(2/0.2)*3</f>
        <v>0.10409999999999998</v>
      </c>
      <c r="K12">
        <v>9.3392012279996037E-2</v>
      </c>
      <c r="L12" s="2">
        <f t="shared" si="0"/>
        <v>1.114656355062793</v>
      </c>
      <c r="P12">
        <v>5</v>
      </c>
      <c r="Q12" t="s">
        <v>227</v>
      </c>
      <c r="R12" t="s">
        <v>228</v>
      </c>
      <c r="S12" t="s">
        <v>216</v>
      </c>
      <c r="T12" t="s">
        <v>229</v>
      </c>
      <c r="U12">
        <v>2.27</v>
      </c>
      <c r="V12">
        <v>2111415</v>
      </c>
      <c r="W12">
        <v>2111414.5</v>
      </c>
      <c r="X12">
        <v>2</v>
      </c>
      <c r="Y12">
        <v>1.9930000000000001</v>
      </c>
      <c r="Z12">
        <v>-0.4</v>
      </c>
      <c r="AA12">
        <v>8466</v>
      </c>
    </row>
    <row r="13" spans="1:27" x14ac:dyDescent="0.3">
      <c r="A13">
        <v>6</v>
      </c>
      <c r="B13" t="s">
        <v>91</v>
      </c>
      <c r="C13" t="s">
        <v>5</v>
      </c>
      <c r="D13" t="s">
        <v>81</v>
      </c>
      <c r="E13" t="s">
        <v>92</v>
      </c>
      <c r="F13">
        <v>2.27</v>
      </c>
      <c r="G13">
        <v>194727</v>
      </c>
      <c r="H13">
        <v>194726.859</v>
      </c>
      <c r="I13">
        <v>0.28399999999999997</v>
      </c>
      <c r="J13">
        <f>I13/(2/0.2)*3</f>
        <v>8.5199999999999998E-2</v>
      </c>
      <c r="K13">
        <v>0.18918595374467503</v>
      </c>
      <c r="L13" s="2">
        <f t="shared" si="0"/>
        <v>0.45035055887386721</v>
      </c>
      <c r="P13">
        <v>6</v>
      </c>
      <c r="Q13" t="s">
        <v>230</v>
      </c>
      <c r="R13" t="s">
        <v>231</v>
      </c>
      <c r="S13" t="s">
        <v>216</v>
      </c>
      <c r="T13" t="s">
        <v>232</v>
      </c>
      <c r="U13">
        <v>2.27</v>
      </c>
      <c r="V13">
        <v>5565206</v>
      </c>
      <c r="W13">
        <v>5565205.5</v>
      </c>
      <c r="X13">
        <v>5</v>
      </c>
      <c r="Y13">
        <v>5.09</v>
      </c>
      <c r="Z13">
        <v>1.8</v>
      </c>
      <c r="AA13">
        <v>10308</v>
      </c>
    </row>
    <row r="14" spans="1:27" x14ac:dyDescent="0.3">
      <c r="A14">
        <v>7</v>
      </c>
      <c r="B14" t="s">
        <v>93</v>
      </c>
      <c r="C14" t="s">
        <v>6</v>
      </c>
      <c r="D14" t="s">
        <v>81</v>
      </c>
      <c r="E14" t="s">
        <v>94</v>
      </c>
      <c r="F14">
        <v>2.27</v>
      </c>
      <c r="G14">
        <v>247711</v>
      </c>
      <c r="H14">
        <v>247710.641</v>
      </c>
      <c r="I14">
        <v>0.33200000000000002</v>
      </c>
      <c r="J14">
        <f>I14/(2/0.2)*3</f>
        <v>9.9599999999999994E-2</v>
      </c>
      <c r="K14">
        <v>9.2587021175250833E-2</v>
      </c>
      <c r="L14" s="2">
        <f t="shared" si="0"/>
        <v>1.0757447289666533</v>
      </c>
    </row>
    <row r="15" spans="1:27" x14ac:dyDescent="0.3">
      <c r="A15">
        <v>8</v>
      </c>
      <c r="B15" t="s">
        <v>95</v>
      </c>
      <c r="C15" t="s">
        <v>7</v>
      </c>
      <c r="D15" t="s">
        <v>81</v>
      </c>
      <c r="E15" t="s">
        <v>96</v>
      </c>
      <c r="F15">
        <v>2.27</v>
      </c>
      <c r="G15">
        <v>150234</v>
      </c>
      <c r="H15">
        <v>150233.875</v>
      </c>
      <c r="I15">
        <v>0.24399999999999999</v>
      </c>
      <c r="J15">
        <f>I15/(2/0.2)*3</f>
        <v>7.3199999999999987E-2</v>
      </c>
      <c r="K15">
        <v>0.14974138961216016</v>
      </c>
      <c r="L15" s="2">
        <f t="shared" si="0"/>
        <v>0.4888427988386691</v>
      </c>
    </row>
    <row r="16" spans="1:27" x14ac:dyDescent="0.3">
      <c r="A16">
        <v>9</v>
      </c>
      <c r="B16" t="s">
        <v>97</v>
      </c>
      <c r="C16" t="s">
        <v>8</v>
      </c>
      <c r="D16" t="s">
        <v>81</v>
      </c>
      <c r="E16" t="s">
        <v>98</v>
      </c>
      <c r="F16">
        <v>2.27</v>
      </c>
      <c r="G16">
        <v>563520</v>
      </c>
      <c r="H16">
        <v>563520</v>
      </c>
      <c r="I16">
        <v>0.61799999999999999</v>
      </c>
      <c r="J16">
        <f>I16/(2/0.2)*3</f>
        <v>0.18540000000000001</v>
      </c>
      <c r="K16">
        <v>0.19965083810636269</v>
      </c>
      <c r="L16" s="2">
        <f t="shared" si="0"/>
        <v>0.92862119567576951</v>
      </c>
    </row>
    <row r="17" spans="1:12" x14ac:dyDescent="0.3">
      <c r="A17">
        <v>10</v>
      </c>
      <c r="B17" t="s">
        <v>99</v>
      </c>
      <c r="C17" t="s">
        <v>9</v>
      </c>
      <c r="D17" t="s">
        <v>81</v>
      </c>
      <c r="E17" t="s">
        <v>100</v>
      </c>
      <c r="F17">
        <v>2.27</v>
      </c>
      <c r="G17">
        <v>688664</v>
      </c>
      <c r="H17">
        <v>688663.81299999997</v>
      </c>
      <c r="I17">
        <v>0.73099999999999998</v>
      </c>
      <c r="J17">
        <f>I17/(2/0.2)*3</f>
        <v>0.21929999999999999</v>
      </c>
      <c r="K17">
        <v>0.22058060682973793</v>
      </c>
      <c r="L17" s="2">
        <f t="shared" si="0"/>
        <v>0.99419438159980034</v>
      </c>
    </row>
    <row r="18" spans="1:12" x14ac:dyDescent="0.3">
      <c r="A18">
        <v>11</v>
      </c>
      <c r="B18" t="s">
        <v>101</v>
      </c>
      <c r="C18" t="s">
        <v>10</v>
      </c>
      <c r="D18" t="s">
        <v>81</v>
      </c>
      <c r="E18" t="s">
        <v>102</v>
      </c>
      <c r="F18">
        <v>2.27</v>
      </c>
      <c r="G18">
        <v>491650</v>
      </c>
      <c r="H18">
        <v>491650.125</v>
      </c>
      <c r="I18">
        <v>0.55300000000000005</v>
      </c>
      <c r="J18">
        <f>I18/(2/0.2)*3</f>
        <v>0.16589999999999999</v>
      </c>
      <c r="K18">
        <v>0.12720163867929454</v>
      </c>
      <c r="L18" s="2">
        <f t="shared" si="0"/>
        <v>1.3042284810361067</v>
      </c>
    </row>
    <row r="19" spans="1:12" x14ac:dyDescent="0.3">
      <c r="A19">
        <v>12</v>
      </c>
      <c r="B19" t="s">
        <v>103</v>
      </c>
      <c r="C19" t="s">
        <v>11</v>
      </c>
      <c r="D19" t="s">
        <v>81</v>
      </c>
      <c r="E19" t="s">
        <v>104</v>
      </c>
      <c r="F19">
        <v>2.2599999999999998</v>
      </c>
      <c r="G19">
        <v>616244</v>
      </c>
      <c r="H19">
        <v>616243.75</v>
      </c>
      <c r="I19">
        <v>0.66500000000000004</v>
      </c>
      <c r="J19">
        <f>I19/(2/0.2)*3</f>
        <v>0.19950000000000001</v>
      </c>
      <c r="K19">
        <v>0.1594012828691026</v>
      </c>
      <c r="L19" s="2">
        <f t="shared" si="0"/>
        <v>1.2515583087485296</v>
      </c>
    </row>
    <row r="20" spans="1:12" x14ac:dyDescent="0.3">
      <c r="A20">
        <v>13</v>
      </c>
      <c r="B20" t="s">
        <v>105</v>
      </c>
      <c r="C20" t="s">
        <v>12</v>
      </c>
      <c r="D20" t="s">
        <v>81</v>
      </c>
      <c r="E20" t="s">
        <v>106</v>
      </c>
      <c r="F20">
        <v>2.2599999999999998</v>
      </c>
      <c r="G20">
        <v>392654</v>
      </c>
      <c r="H20">
        <v>392654.31300000002</v>
      </c>
      <c r="I20">
        <v>0.46300000000000002</v>
      </c>
      <c r="J20">
        <f>I20/(2/0.2)*3</f>
        <v>0.1389</v>
      </c>
      <c r="K20">
        <v>0.14491144298368897</v>
      </c>
      <c r="L20" s="2">
        <f t="shared" si="0"/>
        <v>0.95851643693613897</v>
      </c>
    </row>
    <row r="21" spans="1:12" x14ac:dyDescent="0.3">
      <c r="A21">
        <v>14</v>
      </c>
      <c r="B21" t="s">
        <v>107</v>
      </c>
      <c r="C21" t="s">
        <v>13</v>
      </c>
      <c r="D21" t="s">
        <v>81</v>
      </c>
      <c r="E21" t="s">
        <v>108</v>
      </c>
      <c r="F21">
        <v>2.2599999999999998</v>
      </c>
      <c r="G21">
        <v>911512</v>
      </c>
      <c r="H21">
        <v>911511.68799999997</v>
      </c>
      <c r="I21">
        <v>0.93200000000000005</v>
      </c>
      <c r="J21">
        <f>I21/(2/0.2)*3</f>
        <v>0.27960000000000002</v>
      </c>
      <c r="K21">
        <v>0.24553533107683917</v>
      </c>
      <c r="L21" s="2">
        <f t="shared" si="0"/>
        <v>1.1387363226862877</v>
      </c>
    </row>
    <row r="22" spans="1:12" x14ac:dyDescent="0.3">
      <c r="A22">
        <v>15</v>
      </c>
      <c r="B22" t="s">
        <v>109</v>
      </c>
      <c r="C22" t="s">
        <v>14</v>
      </c>
      <c r="D22" t="s">
        <v>81</v>
      </c>
      <c r="E22" t="s">
        <v>110</v>
      </c>
      <c r="F22">
        <v>2.2599999999999998</v>
      </c>
      <c r="G22">
        <v>776459</v>
      </c>
      <c r="H22">
        <v>776458.75</v>
      </c>
      <c r="I22">
        <v>0.81</v>
      </c>
      <c r="J22">
        <f>I22/(2/0.2)*3</f>
        <v>0.24299999999999999</v>
      </c>
      <c r="K22">
        <v>0.3002747261995129</v>
      </c>
      <c r="L22" s="2">
        <f t="shared" si="0"/>
        <v>0.80925891791020199</v>
      </c>
    </row>
    <row r="23" spans="1:12" x14ac:dyDescent="0.3">
      <c r="A23">
        <v>16</v>
      </c>
      <c r="B23" t="s">
        <v>111</v>
      </c>
      <c r="C23" t="s">
        <v>15</v>
      </c>
      <c r="D23" t="s">
        <v>81</v>
      </c>
      <c r="E23" t="s">
        <v>112</v>
      </c>
      <c r="F23">
        <v>2.2599999999999998</v>
      </c>
      <c r="G23">
        <v>528457</v>
      </c>
      <c r="H23">
        <v>528457</v>
      </c>
      <c r="I23">
        <v>0.58599999999999997</v>
      </c>
      <c r="J23">
        <f>I23/(2/0.2)*3</f>
        <v>0.17580000000000001</v>
      </c>
      <c r="K23">
        <v>0.17147614944028067</v>
      </c>
      <c r="L23" s="2">
        <f t="shared" si="0"/>
        <v>1.0252154633389712</v>
      </c>
    </row>
    <row r="24" spans="1:12" x14ac:dyDescent="0.3">
      <c r="A24">
        <v>17</v>
      </c>
      <c r="B24" t="s">
        <v>113</v>
      </c>
      <c r="C24" t="s">
        <v>16</v>
      </c>
      <c r="D24" t="s">
        <v>81</v>
      </c>
      <c r="E24" t="s">
        <v>114</v>
      </c>
      <c r="F24">
        <v>2.2599999999999998</v>
      </c>
      <c r="G24">
        <v>365283</v>
      </c>
      <c r="H24">
        <v>365282.68800000002</v>
      </c>
      <c r="I24">
        <v>0.438</v>
      </c>
      <c r="J24">
        <f>I24/(2/0.2)*3</f>
        <v>0.13139999999999999</v>
      </c>
      <c r="K24">
        <v>0.18113604269722305</v>
      </c>
      <c r="L24" s="2">
        <f t="shared" si="0"/>
        <v>0.72542161153228313</v>
      </c>
    </row>
    <row r="25" spans="1:12" x14ac:dyDescent="0.3">
      <c r="A25">
        <v>18</v>
      </c>
      <c r="B25" t="s">
        <v>115</v>
      </c>
      <c r="C25" t="s">
        <v>17</v>
      </c>
      <c r="D25" t="s">
        <v>81</v>
      </c>
      <c r="E25" t="s">
        <v>116</v>
      </c>
      <c r="F25">
        <v>2.2599999999999998</v>
      </c>
      <c r="G25">
        <v>405789</v>
      </c>
      <c r="H25">
        <v>405789.06300000002</v>
      </c>
      <c r="I25">
        <v>0.47499999999999998</v>
      </c>
      <c r="J25">
        <f>I25/(2/0.2)*3</f>
        <v>0.14250000000000002</v>
      </c>
      <c r="K25">
        <v>8.2927127918308433E-2</v>
      </c>
      <c r="L25" s="2">
        <f t="shared" si="0"/>
        <v>1.7183761644365263</v>
      </c>
    </row>
    <row r="26" spans="1:12" x14ac:dyDescent="0.3">
      <c r="A26">
        <v>19</v>
      </c>
      <c r="B26" t="s">
        <v>117</v>
      </c>
      <c r="C26" t="s">
        <v>18</v>
      </c>
      <c r="D26" t="s">
        <v>81</v>
      </c>
      <c r="E26" t="s">
        <v>118</v>
      </c>
      <c r="F26">
        <v>2.2599999999999998</v>
      </c>
      <c r="G26">
        <v>840574</v>
      </c>
      <c r="H26">
        <v>840573.93799999997</v>
      </c>
      <c r="I26">
        <v>0.86799999999999999</v>
      </c>
      <c r="J26">
        <f>I26/(2/0.2)*3</f>
        <v>0.26040000000000002</v>
      </c>
      <c r="K26">
        <v>0.11593176321286171</v>
      </c>
      <c r="L26" s="2">
        <f t="shared" si="0"/>
        <v>2.2461488791633482</v>
      </c>
    </row>
    <row r="27" spans="1:12" x14ac:dyDescent="0.3">
      <c r="A27">
        <v>20</v>
      </c>
      <c r="B27" t="s">
        <v>119</v>
      </c>
      <c r="C27" t="s">
        <v>19</v>
      </c>
      <c r="D27" t="s">
        <v>81</v>
      </c>
      <c r="E27" t="s">
        <v>120</v>
      </c>
      <c r="F27">
        <v>2.2599999999999998</v>
      </c>
      <c r="G27">
        <v>930044</v>
      </c>
      <c r="H27">
        <v>930043.625</v>
      </c>
      <c r="I27">
        <v>0.94899999999999995</v>
      </c>
      <c r="J27">
        <f>I27/(2/0.2)*3</f>
        <v>0.28470000000000001</v>
      </c>
      <c r="K27">
        <v>0.17469611385926145</v>
      </c>
      <c r="L27" s="2">
        <f t="shared" si="0"/>
        <v>1.6296870818165985</v>
      </c>
    </row>
    <row r="28" spans="1:12" x14ac:dyDescent="0.3">
      <c r="A28">
        <v>21</v>
      </c>
      <c r="B28" t="s">
        <v>121</v>
      </c>
      <c r="C28" t="s">
        <v>20</v>
      </c>
      <c r="D28" t="s">
        <v>81</v>
      </c>
      <c r="E28" t="s">
        <v>122</v>
      </c>
      <c r="F28">
        <v>2.2599999999999998</v>
      </c>
      <c r="G28">
        <v>442235</v>
      </c>
      <c r="H28">
        <v>442235.06300000002</v>
      </c>
      <c r="I28">
        <v>0.50800000000000001</v>
      </c>
      <c r="J28">
        <f>I28/(2/0.2)*3</f>
        <v>0.15239999999999998</v>
      </c>
      <c r="K28">
        <v>0.17952606048773259</v>
      </c>
      <c r="L28" s="2">
        <f t="shared" si="0"/>
        <v>0.84890182286606686</v>
      </c>
    </row>
    <row r="29" spans="1:12" x14ac:dyDescent="0.3">
      <c r="A29">
        <v>22</v>
      </c>
      <c r="B29" t="s">
        <v>123</v>
      </c>
      <c r="C29" t="s">
        <v>21</v>
      </c>
      <c r="D29" t="s">
        <v>81</v>
      </c>
      <c r="E29" t="s">
        <v>124</v>
      </c>
      <c r="F29">
        <v>2.2599999999999998</v>
      </c>
      <c r="G29">
        <v>674542</v>
      </c>
      <c r="H29">
        <v>674541.5</v>
      </c>
      <c r="I29">
        <v>0.71799999999999997</v>
      </c>
      <c r="J29">
        <f>I29/(2/0.2)*3</f>
        <v>0.21540000000000001</v>
      </c>
      <c r="K29">
        <v>0.19723586479212707</v>
      </c>
      <c r="L29" s="2">
        <f t="shared" si="0"/>
        <v>1.0920934700543266</v>
      </c>
    </row>
    <row r="30" spans="1:12" x14ac:dyDescent="0.3">
      <c r="A30">
        <v>23</v>
      </c>
      <c r="B30" t="s">
        <v>125</v>
      </c>
      <c r="C30" t="s">
        <v>22</v>
      </c>
      <c r="D30" t="s">
        <v>81</v>
      </c>
      <c r="E30" t="s">
        <v>126</v>
      </c>
      <c r="F30">
        <v>2.2599999999999998</v>
      </c>
      <c r="G30">
        <v>590012</v>
      </c>
      <c r="H30">
        <v>590011.68799999997</v>
      </c>
      <c r="I30">
        <v>0.64200000000000002</v>
      </c>
      <c r="J30">
        <f>I30/(2/0.2)*3</f>
        <v>0.19260000000000002</v>
      </c>
      <c r="K30">
        <v>0.28417490410460888</v>
      </c>
      <c r="L30" s="2">
        <f t="shared" si="0"/>
        <v>0.67775161429842934</v>
      </c>
    </row>
    <row r="31" spans="1:12" x14ac:dyDescent="0.3">
      <c r="A31">
        <v>24</v>
      </c>
      <c r="B31" t="s">
        <v>127</v>
      </c>
      <c r="C31" t="s">
        <v>23</v>
      </c>
      <c r="D31" t="s">
        <v>81</v>
      </c>
      <c r="E31" t="s">
        <v>128</v>
      </c>
      <c r="F31">
        <v>2.27</v>
      </c>
      <c r="G31">
        <v>690418</v>
      </c>
      <c r="H31">
        <v>690418.125</v>
      </c>
      <c r="I31">
        <v>0.73199999999999998</v>
      </c>
      <c r="J31">
        <f>I31/(2/0.2)*3</f>
        <v>0.21960000000000002</v>
      </c>
      <c r="K31">
        <v>0.17872106938298743</v>
      </c>
      <c r="L31" s="2">
        <f t="shared" si="0"/>
        <v>1.2287303380521506</v>
      </c>
    </row>
    <row r="32" spans="1:12" x14ac:dyDescent="0.3">
      <c r="A32">
        <v>25</v>
      </c>
      <c r="B32" t="s">
        <v>129</v>
      </c>
      <c r="C32" t="s">
        <v>24</v>
      </c>
      <c r="D32" t="s">
        <v>81</v>
      </c>
      <c r="E32" t="s">
        <v>130</v>
      </c>
      <c r="F32">
        <v>2.2599999999999998</v>
      </c>
      <c r="G32">
        <v>1063876</v>
      </c>
      <c r="H32">
        <v>1063876.25</v>
      </c>
      <c r="I32">
        <v>1.07</v>
      </c>
      <c r="J32">
        <f>I32/(2/0.2)*3</f>
        <v>0.32100000000000006</v>
      </c>
      <c r="K32">
        <v>0.19884584700161748</v>
      </c>
      <c r="L32" s="2">
        <f t="shared" si="0"/>
        <v>1.614315837319896</v>
      </c>
    </row>
    <row r="33" spans="1:12" x14ac:dyDescent="0.3">
      <c r="A33">
        <v>26</v>
      </c>
      <c r="B33" t="s">
        <v>131</v>
      </c>
      <c r="C33" t="s">
        <v>25</v>
      </c>
      <c r="D33" t="s">
        <v>81</v>
      </c>
      <c r="E33" t="s">
        <v>132</v>
      </c>
      <c r="F33">
        <v>2.2599999999999998</v>
      </c>
      <c r="G33">
        <v>531833</v>
      </c>
      <c r="H33">
        <v>531832.5</v>
      </c>
      <c r="I33">
        <v>0.58899999999999997</v>
      </c>
      <c r="J33">
        <f>I33/(2/0.2)*3</f>
        <v>0.17669999999999997</v>
      </c>
      <c r="K33">
        <v>0.17469611385926145</v>
      </c>
      <c r="L33" s="2">
        <f t="shared" si="0"/>
        <v>1.0114706967228411</v>
      </c>
    </row>
    <row r="34" spans="1:12" x14ac:dyDescent="0.3">
      <c r="A34">
        <v>27</v>
      </c>
      <c r="B34" t="s">
        <v>133</v>
      </c>
      <c r="C34" t="s">
        <v>26</v>
      </c>
      <c r="D34" t="s">
        <v>81</v>
      </c>
      <c r="E34" t="s">
        <v>134</v>
      </c>
      <c r="F34">
        <v>2.2599999999999998</v>
      </c>
      <c r="G34">
        <v>879683</v>
      </c>
      <c r="H34">
        <v>879682.625</v>
      </c>
      <c r="I34">
        <v>0.90300000000000002</v>
      </c>
      <c r="J34">
        <f>I34/(2/0.2)*3</f>
        <v>0.27090000000000003</v>
      </c>
      <c r="K34">
        <v>0.24875529549582001</v>
      </c>
      <c r="L34" s="2">
        <f t="shared" si="0"/>
        <v>1.0890220425661334</v>
      </c>
    </row>
    <row r="35" spans="1:12" x14ac:dyDescent="0.3">
      <c r="A35">
        <v>28</v>
      </c>
      <c r="B35" t="s">
        <v>135</v>
      </c>
      <c r="C35" t="s">
        <v>27</v>
      </c>
      <c r="D35" t="s">
        <v>81</v>
      </c>
      <c r="E35" t="s">
        <v>136</v>
      </c>
      <c r="F35">
        <v>2.2599999999999998</v>
      </c>
      <c r="G35">
        <v>898451</v>
      </c>
      <c r="H35">
        <v>898450.5</v>
      </c>
      <c r="I35">
        <v>0.92</v>
      </c>
      <c r="J35">
        <f>I35/(2/0.2)*3</f>
        <v>0.27600000000000002</v>
      </c>
      <c r="K35">
        <v>0.18274602490671343</v>
      </c>
      <c r="L35" s="2">
        <f t="shared" si="0"/>
        <v>1.510292769108877</v>
      </c>
    </row>
    <row r="36" spans="1:12" x14ac:dyDescent="0.3">
      <c r="A36">
        <v>29</v>
      </c>
      <c r="B36" t="s">
        <v>137</v>
      </c>
      <c r="C36" t="s">
        <v>28</v>
      </c>
      <c r="D36" t="s">
        <v>81</v>
      </c>
      <c r="E36" t="s">
        <v>138</v>
      </c>
      <c r="F36">
        <v>2.2599999999999998</v>
      </c>
      <c r="G36">
        <v>688657</v>
      </c>
      <c r="H36">
        <v>688657.31299999997</v>
      </c>
      <c r="I36">
        <v>0.73099999999999998</v>
      </c>
      <c r="J36">
        <f>I36/(2/0.2)*3</f>
        <v>0.21929999999999999</v>
      </c>
      <c r="K36">
        <v>0.18113604269722305</v>
      </c>
      <c r="L36" s="2">
        <f t="shared" si="0"/>
        <v>1.2106922329454315</v>
      </c>
    </row>
    <row r="37" spans="1:12" x14ac:dyDescent="0.3">
      <c r="A37">
        <v>30</v>
      </c>
      <c r="B37" t="s">
        <v>139</v>
      </c>
      <c r="C37" t="s">
        <v>29</v>
      </c>
      <c r="D37" t="s">
        <v>81</v>
      </c>
      <c r="E37" t="s">
        <v>140</v>
      </c>
      <c r="F37">
        <v>2.2599999999999998</v>
      </c>
      <c r="G37">
        <v>684877</v>
      </c>
      <c r="H37">
        <v>684877.43799999997</v>
      </c>
      <c r="I37">
        <v>0.72699999999999998</v>
      </c>
      <c r="J37">
        <f>I37/(2/0.2)*3</f>
        <v>0.21810000000000002</v>
      </c>
      <c r="K37">
        <v>0.12156670094607813</v>
      </c>
      <c r="L37" s="2">
        <f t="shared" si="0"/>
        <v>1.794076817933391</v>
      </c>
    </row>
    <row r="38" spans="1:12" x14ac:dyDescent="0.3">
      <c r="A38">
        <v>31</v>
      </c>
      <c r="B38" t="s">
        <v>141</v>
      </c>
      <c r="C38" t="s">
        <v>30</v>
      </c>
      <c r="D38" t="s">
        <v>81</v>
      </c>
      <c r="E38" t="s">
        <v>142</v>
      </c>
      <c r="F38">
        <v>2.25</v>
      </c>
      <c r="G38">
        <v>919298</v>
      </c>
      <c r="H38">
        <v>919297.68799999997</v>
      </c>
      <c r="I38">
        <v>0.93899999999999995</v>
      </c>
      <c r="J38">
        <f>I38/(2/0.2)*3</f>
        <v>0.28170000000000001</v>
      </c>
      <c r="K38">
        <v>8.8562065651524843E-2</v>
      </c>
      <c r="L38" s="2">
        <f t="shared" si="0"/>
        <v>3.1808201166901053</v>
      </c>
    </row>
    <row r="39" spans="1:12" x14ac:dyDescent="0.3">
      <c r="A39">
        <v>32</v>
      </c>
      <c r="B39" t="s">
        <v>143</v>
      </c>
      <c r="C39" t="s">
        <v>31</v>
      </c>
      <c r="D39" t="s">
        <v>81</v>
      </c>
      <c r="E39" t="s">
        <v>144</v>
      </c>
      <c r="F39">
        <v>2.2599999999999998</v>
      </c>
      <c r="G39">
        <v>507232</v>
      </c>
      <c r="H39">
        <v>507232</v>
      </c>
      <c r="I39">
        <v>0.56699999999999995</v>
      </c>
      <c r="J39">
        <f>I39/(2/0.2)*3</f>
        <v>0.17009999999999997</v>
      </c>
      <c r="K39">
        <v>0.13766652304098212</v>
      </c>
      <c r="L39" s="2">
        <f t="shared" si="0"/>
        <v>1.2355945094172436</v>
      </c>
    </row>
    <row r="40" spans="1:12" x14ac:dyDescent="0.3">
      <c r="A40">
        <v>33</v>
      </c>
      <c r="B40" t="s">
        <v>145</v>
      </c>
      <c r="C40" t="s">
        <v>32</v>
      </c>
      <c r="D40" t="s">
        <v>81</v>
      </c>
      <c r="E40" t="s">
        <v>146</v>
      </c>
      <c r="F40">
        <v>2.25</v>
      </c>
      <c r="G40">
        <v>483066</v>
      </c>
      <c r="H40">
        <v>483065.65600000002</v>
      </c>
      <c r="I40">
        <v>0.54500000000000004</v>
      </c>
      <c r="J40">
        <f>I40/(2/0.2)*3</f>
        <v>0.16350000000000003</v>
      </c>
      <c r="K40">
        <v>8.2122136813563229E-2</v>
      </c>
      <c r="L40" s="2">
        <f t="shared" si="0"/>
        <v>1.9909369914616797</v>
      </c>
    </row>
    <row r="41" spans="1:12" x14ac:dyDescent="0.3">
      <c r="A41">
        <v>35</v>
      </c>
      <c r="B41" t="s">
        <v>147</v>
      </c>
      <c r="C41" t="s">
        <v>33</v>
      </c>
      <c r="D41" t="s">
        <v>81</v>
      </c>
      <c r="E41" t="s">
        <v>148</v>
      </c>
      <c r="F41">
        <v>2.2599999999999998</v>
      </c>
      <c r="G41">
        <v>419635</v>
      </c>
      <c r="H41">
        <v>419635.06300000002</v>
      </c>
      <c r="I41">
        <v>0.48799999999999999</v>
      </c>
      <c r="J41">
        <f>I41/(2/0.2)*3</f>
        <v>0.14639999999999997</v>
      </c>
      <c r="K41">
        <v>0.10224691443219328</v>
      </c>
      <c r="L41" s="2">
        <f t="shared" si="0"/>
        <v>1.4318280489245232</v>
      </c>
    </row>
    <row r="42" spans="1:12" x14ac:dyDescent="0.3">
      <c r="A42">
        <v>36</v>
      </c>
      <c r="B42" t="s">
        <v>149</v>
      </c>
      <c r="C42" t="s">
        <v>34</v>
      </c>
      <c r="D42" t="s">
        <v>81</v>
      </c>
      <c r="E42" t="s">
        <v>150</v>
      </c>
      <c r="F42">
        <v>2.25</v>
      </c>
      <c r="G42">
        <v>1097932</v>
      </c>
      <c r="H42">
        <v>1097931.625</v>
      </c>
      <c r="I42">
        <v>1.101</v>
      </c>
      <c r="J42">
        <f>I42/(2/0.2)*3</f>
        <v>0.33030000000000004</v>
      </c>
      <c r="K42">
        <v>0.12639664757454935</v>
      </c>
      <c r="L42" s="2">
        <f t="shared" si="0"/>
        <v>2.6132022196647857</v>
      </c>
    </row>
    <row r="43" spans="1:12" x14ac:dyDescent="0.3">
      <c r="A43">
        <v>37</v>
      </c>
      <c r="B43" t="s">
        <v>151</v>
      </c>
      <c r="C43" t="s">
        <v>35</v>
      </c>
      <c r="D43" t="s">
        <v>81</v>
      </c>
      <c r="E43" t="s">
        <v>152</v>
      </c>
      <c r="F43">
        <v>2.25</v>
      </c>
      <c r="G43">
        <v>394709</v>
      </c>
      <c r="H43">
        <v>394708.84399999998</v>
      </c>
      <c r="I43">
        <v>0.46500000000000002</v>
      </c>
      <c r="J43">
        <f>I43/(2/0.2)*3</f>
        <v>0.13950000000000001</v>
      </c>
      <c r="K43">
        <v>0.15054638071690538</v>
      </c>
      <c r="L43" s="2">
        <f t="shared" si="0"/>
        <v>0.92662473408990476</v>
      </c>
    </row>
    <row r="44" spans="1:12" x14ac:dyDescent="0.3">
      <c r="A44">
        <v>38</v>
      </c>
      <c r="B44" t="s">
        <v>153</v>
      </c>
      <c r="C44" t="s">
        <v>36</v>
      </c>
      <c r="D44" t="s">
        <v>81</v>
      </c>
      <c r="E44" t="s">
        <v>154</v>
      </c>
      <c r="F44">
        <v>2.25</v>
      </c>
      <c r="G44">
        <v>409775</v>
      </c>
      <c r="H44">
        <v>409774.625</v>
      </c>
      <c r="I44">
        <v>0.47899999999999998</v>
      </c>
      <c r="J44">
        <f>I44/(2/0.2)*3</f>
        <v>0.14369999999999999</v>
      </c>
      <c r="K44">
        <v>0.14893639850741497</v>
      </c>
      <c r="L44" s="2">
        <f t="shared" si="0"/>
        <v>0.96484137819974025</v>
      </c>
    </row>
    <row r="45" spans="1:12" x14ac:dyDescent="0.3">
      <c r="A45">
        <v>39</v>
      </c>
      <c r="B45" t="s">
        <v>155</v>
      </c>
      <c r="C45" t="s">
        <v>37</v>
      </c>
      <c r="D45" t="s">
        <v>81</v>
      </c>
      <c r="E45" t="s">
        <v>156</v>
      </c>
      <c r="F45">
        <v>2.25</v>
      </c>
      <c r="G45">
        <v>251091</v>
      </c>
      <c r="H45">
        <v>251090.57800000001</v>
      </c>
      <c r="I45">
        <v>0.33500000000000002</v>
      </c>
      <c r="J45">
        <f>I45/(2/0.2)*3</f>
        <v>0.10050000000000001</v>
      </c>
      <c r="K45">
        <v>4.0262599366812736E-2</v>
      </c>
      <c r="L45" s="2">
        <f t="shared" si="0"/>
        <v>2.4961130572915562</v>
      </c>
    </row>
    <row r="46" spans="1:12" x14ac:dyDescent="0.3">
      <c r="A46">
        <v>40</v>
      </c>
      <c r="B46" t="s">
        <v>157</v>
      </c>
      <c r="C46" t="s">
        <v>38</v>
      </c>
      <c r="D46" t="s">
        <v>81</v>
      </c>
      <c r="E46" t="s">
        <v>158</v>
      </c>
      <c r="F46">
        <v>2.25</v>
      </c>
      <c r="G46">
        <v>413738</v>
      </c>
      <c r="H46">
        <v>413738.09399999998</v>
      </c>
      <c r="I46">
        <v>0.48199999999999998</v>
      </c>
      <c r="J46">
        <f>I46/(2/0.2)*3</f>
        <v>0.14460000000000001</v>
      </c>
      <c r="K46">
        <v>0.11351678989862611</v>
      </c>
      <c r="L46" s="2">
        <f t="shared" si="0"/>
        <v>1.2738203760794515</v>
      </c>
    </row>
    <row r="47" spans="1:12" x14ac:dyDescent="0.3">
      <c r="A47">
        <v>41</v>
      </c>
      <c r="B47" t="s">
        <v>159</v>
      </c>
      <c r="C47" t="s">
        <v>39</v>
      </c>
      <c r="D47" t="s">
        <v>81</v>
      </c>
      <c r="E47" t="s">
        <v>160</v>
      </c>
      <c r="F47">
        <v>2.25</v>
      </c>
      <c r="G47">
        <v>679838</v>
      </c>
      <c r="H47">
        <v>679838</v>
      </c>
      <c r="I47">
        <v>0.72299999999999998</v>
      </c>
      <c r="J47">
        <f>I47/(2/0.2)*3</f>
        <v>0.21690000000000001</v>
      </c>
      <c r="K47">
        <v>0.10144192332744809</v>
      </c>
      <c r="L47" s="2">
        <f t="shared" si="0"/>
        <v>2.1381692389630724</v>
      </c>
    </row>
    <row r="48" spans="1:12" x14ac:dyDescent="0.3">
      <c r="A48">
        <v>42</v>
      </c>
      <c r="B48" t="s">
        <v>161</v>
      </c>
      <c r="C48" t="s">
        <v>40</v>
      </c>
      <c r="D48" t="s">
        <v>81</v>
      </c>
      <c r="E48" t="s">
        <v>162</v>
      </c>
      <c r="F48">
        <v>2.25</v>
      </c>
      <c r="G48">
        <v>426945</v>
      </c>
      <c r="H48">
        <v>426945.15600000002</v>
      </c>
      <c r="I48">
        <v>0.49399999999999999</v>
      </c>
      <c r="J48">
        <f>I48/(2/0.2)*3</f>
        <v>0.1482</v>
      </c>
      <c r="K48">
        <v>8.3732119023053622E-2</v>
      </c>
      <c r="L48" s="2">
        <f t="shared" si="0"/>
        <v>1.7699301263257974</v>
      </c>
    </row>
    <row r="49" spans="1:12" x14ac:dyDescent="0.3">
      <c r="A49">
        <v>43</v>
      </c>
      <c r="B49" t="s">
        <v>163</v>
      </c>
      <c r="C49" t="s">
        <v>41</v>
      </c>
      <c r="D49" t="s">
        <v>81</v>
      </c>
      <c r="E49" t="s">
        <v>164</v>
      </c>
      <c r="F49">
        <v>2.25</v>
      </c>
      <c r="G49">
        <v>658244</v>
      </c>
      <c r="H49">
        <v>658244.31299999997</v>
      </c>
      <c r="I49">
        <v>0.70299999999999996</v>
      </c>
      <c r="J49">
        <f>I49/(2/0.2)*3</f>
        <v>0.2109</v>
      </c>
      <c r="K49">
        <v>0.22299558014397355</v>
      </c>
      <c r="L49" s="2">
        <f t="shared" si="0"/>
        <v>0.94575865523359592</v>
      </c>
    </row>
    <row r="50" spans="1:12" x14ac:dyDescent="0.3">
      <c r="A50">
        <v>44</v>
      </c>
      <c r="B50" t="s">
        <v>165</v>
      </c>
      <c r="C50" t="s">
        <v>42</v>
      </c>
      <c r="D50" t="s">
        <v>81</v>
      </c>
      <c r="E50" t="s">
        <v>166</v>
      </c>
      <c r="F50">
        <v>2.25</v>
      </c>
      <c r="G50">
        <v>654570</v>
      </c>
      <c r="H50">
        <v>654569.875</v>
      </c>
      <c r="I50">
        <v>0.7</v>
      </c>
      <c r="J50">
        <f>I50/(2/0.2)*3</f>
        <v>0.20999999999999996</v>
      </c>
      <c r="K50">
        <v>0.1175417454223521</v>
      </c>
      <c r="L50" s="2">
        <f t="shared" si="0"/>
        <v>1.7865992992143005</v>
      </c>
    </row>
    <row r="51" spans="1:12" x14ac:dyDescent="0.3">
      <c r="A51">
        <v>45</v>
      </c>
      <c r="B51" t="s">
        <v>167</v>
      </c>
      <c r="C51" t="s">
        <v>43</v>
      </c>
      <c r="D51" t="s">
        <v>81</v>
      </c>
      <c r="E51" t="s">
        <v>168</v>
      </c>
      <c r="F51">
        <v>2.25</v>
      </c>
      <c r="G51">
        <v>765861</v>
      </c>
      <c r="H51">
        <v>765861.375</v>
      </c>
      <c r="I51">
        <v>0.8</v>
      </c>
      <c r="J51">
        <f>I51/(2/0.2)*3</f>
        <v>0.24</v>
      </c>
      <c r="K51">
        <v>0.11351678989862611</v>
      </c>
      <c r="L51" s="2">
        <f t="shared" si="0"/>
        <v>2.1142246905883013</v>
      </c>
    </row>
    <row r="52" spans="1:12" x14ac:dyDescent="0.3">
      <c r="A52">
        <v>46</v>
      </c>
      <c r="B52" t="s">
        <v>169</v>
      </c>
      <c r="C52" t="s">
        <v>44</v>
      </c>
      <c r="D52" t="s">
        <v>81</v>
      </c>
      <c r="E52" t="s">
        <v>170</v>
      </c>
      <c r="F52">
        <v>2.25</v>
      </c>
      <c r="G52">
        <v>314698</v>
      </c>
      <c r="H52">
        <v>314697.625</v>
      </c>
      <c r="I52">
        <v>0.39300000000000002</v>
      </c>
      <c r="J52">
        <f>I52/(2/0.2)*3</f>
        <v>0.1179</v>
      </c>
      <c r="K52">
        <v>8.4537110127798853E-2</v>
      </c>
      <c r="L52" s="2">
        <f t="shared" si="0"/>
        <v>1.3946537777523369</v>
      </c>
    </row>
    <row r="53" spans="1:12" x14ac:dyDescent="0.3">
      <c r="A53">
        <v>47</v>
      </c>
      <c r="B53" t="s">
        <v>171</v>
      </c>
      <c r="C53" t="s">
        <v>45</v>
      </c>
      <c r="D53" t="s">
        <v>81</v>
      </c>
      <c r="E53" t="s">
        <v>172</v>
      </c>
      <c r="F53">
        <v>2.25</v>
      </c>
      <c r="G53">
        <v>534822</v>
      </c>
      <c r="H53">
        <v>534822</v>
      </c>
      <c r="I53">
        <v>0.59199999999999997</v>
      </c>
      <c r="J53">
        <f>I53/(2/0.2)*3</f>
        <v>0.17759999999999998</v>
      </c>
      <c r="K53">
        <v>0.1078818521654097</v>
      </c>
      <c r="L53" s="2">
        <f t="shared" si="0"/>
        <v>1.6462453733895395</v>
      </c>
    </row>
    <row r="54" spans="1:12" x14ac:dyDescent="0.3">
      <c r="A54">
        <v>48</v>
      </c>
      <c r="B54" t="s">
        <v>173</v>
      </c>
      <c r="C54" t="s">
        <v>46</v>
      </c>
      <c r="D54" t="s">
        <v>81</v>
      </c>
      <c r="E54" t="s">
        <v>174</v>
      </c>
      <c r="F54">
        <v>2.2400000000000002</v>
      </c>
      <c r="G54">
        <v>891688</v>
      </c>
      <c r="H54">
        <v>891688.125</v>
      </c>
      <c r="I54">
        <v>0.91400000000000003</v>
      </c>
      <c r="J54">
        <f>I54/(2/0.2)*3</f>
        <v>0.2742</v>
      </c>
      <c r="K54">
        <v>0.14813140740266978</v>
      </c>
      <c r="L54" s="2">
        <f t="shared" si="0"/>
        <v>1.8510591697453762</v>
      </c>
    </row>
    <row r="55" spans="1:12" x14ac:dyDescent="0.3">
      <c r="A55">
        <v>49</v>
      </c>
      <c r="B55" t="s">
        <v>175</v>
      </c>
      <c r="C55" t="s">
        <v>47</v>
      </c>
      <c r="D55" t="s">
        <v>81</v>
      </c>
      <c r="E55" t="s">
        <v>176</v>
      </c>
      <c r="F55">
        <v>2.25</v>
      </c>
      <c r="G55">
        <v>723480</v>
      </c>
      <c r="H55">
        <v>723479.75</v>
      </c>
      <c r="I55">
        <v>0.76200000000000001</v>
      </c>
      <c r="J55">
        <f>I55/(2/0.2)*3</f>
        <v>0.22860000000000003</v>
      </c>
      <c r="K55">
        <v>6.6022314718659172E-2</v>
      </c>
      <c r="L55" s="2">
        <f t="shared" si="0"/>
        <v>3.4624656977589017</v>
      </c>
    </row>
    <row r="56" spans="1:12" x14ac:dyDescent="0.3">
      <c r="A56">
        <v>50</v>
      </c>
      <c r="B56" t="s">
        <v>177</v>
      </c>
      <c r="C56" t="s">
        <v>48</v>
      </c>
      <c r="D56" t="s">
        <v>81</v>
      </c>
      <c r="E56" t="s">
        <v>178</v>
      </c>
      <c r="F56">
        <v>2.2400000000000002</v>
      </c>
      <c r="G56">
        <v>853507</v>
      </c>
      <c r="H56">
        <v>853507.18799999997</v>
      </c>
      <c r="I56">
        <v>0.88</v>
      </c>
      <c r="J56">
        <f>I56/(2/0.2)*3</f>
        <v>0.26400000000000001</v>
      </c>
      <c r="K56">
        <v>0.22621554456295434</v>
      </c>
      <c r="L56" s="2">
        <f t="shared" si="0"/>
        <v>1.1670285546028447</v>
      </c>
    </row>
    <row r="57" spans="1:12" x14ac:dyDescent="0.3">
      <c r="A57">
        <v>51</v>
      </c>
      <c r="B57" t="s">
        <v>179</v>
      </c>
      <c r="C57" t="s">
        <v>49</v>
      </c>
      <c r="D57" t="s">
        <v>81</v>
      </c>
      <c r="E57" t="s">
        <v>180</v>
      </c>
      <c r="F57">
        <v>2.25</v>
      </c>
      <c r="G57">
        <v>346586</v>
      </c>
      <c r="H57">
        <v>346585.875</v>
      </c>
      <c r="I57">
        <v>0.42099999999999999</v>
      </c>
      <c r="J57">
        <f>I57/(2/0.2)*3</f>
        <v>0.1263</v>
      </c>
      <c r="K57">
        <v>0.21897062462024752</v>
      </c>
      <c r="L57" s="2">
        <f t="shared" si="0"/>
        <v>0.57678969596509722</v>
      </c>
    </row>
    <row r="58" spans="1:12" x14ac:dyDescent="0.3">
      <c r="A58">
        <v>52</v>
      </c>
      <c r="B58" t="s">
        <v>181</v>
      </c>
      <c r="C58" t="s">
        <v>50</v>
      </c>
      <c r="D58" t="s">
        <v>81</v>
      </c>
      <c r="E58" t="s">
        <v>182</v>
      </c>
      <c r="F58">
        <v>2.2400000000000002</v>
      </c>
      <c r="G58">
        <v>819739</v>
      </c>
      <c r="H58">
        <v>819738.75</v>
      </c>
      <c r="I58">
        <v>0.84899999999999998</v>
      </c>
      <c r="J58">
        <f>I58/(2/0.2)*3</f>
        <v>0.25470000000000004</v>
      </c>
      <c r="K58">
        <v>0.11271179879388092</v>
      </c>
      <c r="L58" s="2">
        <f t="shared" si="0"/>
        <v>2.2597456763668258</v>
      </c>
    </row>
    <row r="59" spans="1:12" x14ac:dyDescent="0.3">
      <c r="A59">
        <v>53</v>
      </c>
      <c r="B59" t="s">
        <v>183</v>
      </c>
      <c r="C59" t="s">
        <v>51</v>
      </c>
      <c r="D59" t="s">
        <v>81</v>
      </c>
      <c r="E59" t="s">
        <v>184</v>
      </c>
      <c r="F59">
        <v>2.2400000000000002</v>
      </c>
      <c r="G59">
        <v>1090984</v>
      </c>
      <c r="H59">
        <v>1090984.375</v>
      </c>
      <c r="I59">
        <v>1.0940000000000001</v>
      </c>
      <c r="J59">
        <f>I59/(2/0.2)*3</f>
        <v>0.32820000000000005</v>
      </c>
      <c r="K59">
        <v>9.1782030070505644E-2</v>
      </c>
      <c r="L59" s="2">
        <f t="shared" si="0"/>
        <v>3.5758633770453923</v>
      </c>
    </row>
    <row r="60" spans="1:12" x14ac:dyDescent="0.3">
      <c r="A60">
        <v>54</v>
      </c>
      <c r="B60" t="s">
        <v>185</v>
      </c>
      <c r="C60" t="s">
        <v>52</v>
      </c>
      <c r="D60" t="s">
        <v>81</v>
      </c>
      <c r="E60" t="s">
        <v>186</v>
      </c>
      <c r="F60">
        <v>2.2400000000000002</v>
      </c>
      <c r="G60">
        <v>831999</v>
      </c>
      <c r="H60">
        <v>831998.75</v>
      </c>
      <c r="I60">
        <v>0.86</v>
      </c>
      <c r="J60">
        <f>I60/(2/0.2)*3</f>
        <v>0.25800000000000001</v>
      </c>
      <c r="K60">
        <v>0.16584121170706426</v>
      </c>
      <c r="L60" s="2">
        <f t="shared" si="0"/>
        <v>1.555704986380114</v>
      </c>
    </row>
    <row r="61" spans="1:12" x14ac:dyDescent="0.3">
      <c r="A61">
        <v>55</v>
      </c>
      <c r="B61" t="s">
        <v>187</v>
      </c>
      <c r="C61" t="s">
        <v>53</v>
      </c>
      <c r="D61" t="s">
        <v>81</v>
      </c>
      <c r="E61" t="s">
        <v>188</v>
      </c>
      <c r="F61">
        <v>2.25</v>
      </c>
      <c r="G61">
        <v>590163</v>
      </c>
      <c r="H61">
        <v>590162.81299999997</v>
      </c>
      <c r="I61">
        <v>0.64200000000000002</v>
      </c>
      <c r="J61">
        <f>I61/(2/0.2)*3</f>
        <v>0.19260000000000002</v>
      </c>
      <c r="K61">
        <v>0.20850574025855992</v>
      </c>
      <c r="L61" s="2">
        <f t="shared" si="0"/>
        <v>0.92371557618108835</v>
      </c>
    </row>
    <row r="62" spans="1:12" x14ac:dyDescent="0.3">
      <c r="A62">
        <v>56</v>
      </c>
      <c r="B62" t="s">
        <v>189</v>
      </c>
      <c r="C62" t="s">
        <v>54</v>
      </c>
      <c r="D62" t="s">
        <v>81</v>
      </c>
      <c r="E62" t="s">
        <v>190</v>
      </c>
      <c r="F62">
        <v>2.25</v>
      </c>
      <c r="G62">
        <v>280173</v>
      </c>
      <c r="H62">
        <v>280173.31300000002</v>
      </c>
      <c r="I62">
        <v>0.36099999999999999</v>
      </c>
      <c r="J62">
        <f>I62/(2/0.2)*3</f>
        <v>0.10830000000000001</v>
      </c>
      <c r="K62">
        <v>0.15457133624063138</v>
      </c>
      <c r="L62" s="2">
        <f t="shared" si="0"/>
        <v>0.70064736861304133</v>
      </c>
    </row>
    <row r="63" spans="1:12" x14ac:dyDescent="0.3">
      <c r="A63">
        <v>57</v>
      </c>
      <c r="B63" t="s">
        <v>191</v>
      </c>
      <c r="C63" t="s">
        <v>55</v>
      </c>
      <c r="D63" t="s">
        <v>81</v>
      </c>
      <c r="E63" t="s">
        <v>192</v>
      </c>
      <c r="F63">
        <v>2.25</v>
      </c>
      <c r="G63">
        <v>711423</v>
      </c>
      <c r="H63">
        <v>711423.31299999997</v>
      </c>
      <c r="I63">
        <v>0.751</v>
      </c>
      <c r="J63">
        <f>I63/(2/0.2)*3</f>
        <v>0.2253</v>
      </c>
      <c r="K63">
        <v>0.22863051787718996</v>
      </c>
      <c r="L63" s="2">
        <f t="shared" si="0"/>
        <v>0.98543275015027099</v>
      </c>
    </row>
    <row r="64" spans="1:12" x14ac:dyDescent="0.3">
      <c r="A64">
        <v>58</v>
      </c>
      <c r="B64" t="s">
        <v>193</v>
      </c>
      <c r="C64" t="s">
        <v>56</v>
      </c>
      <c r="D64" t="s">
        <v>81</v>
      </c>
      <c r="E64" t="s">
        <v>194</v>
      </c>
      <c r="F64">
        <v>2.25</v>
      </c>
      <c r="G64">
        <v>697750</v>
      </c>
      <c r="H64">
        <v>697750</v>
      </c>
      <c r="I64">
        <v>0.73899999999999999</v>
      </c>
      <c r="J64">
        <f>I64/(2/0.2)*3</f>
        <v>0.22169999999999998</v>
      </c>
      <c r="K64">
        <v>0.19079593595416544</v>
      </c>
      <c r="L64" s="2">
        <f t="shared" si="0"/>
        <v>1.1619744356256025</v>
      </c>
    </row>
    <row r="65" spans="1:12" x14ac:dyDescent="0.3">
      <c r="A65">
        <v>59</v>
      </c>
      <c r="B65" t="s">
        <v>195</v>
      </c>
      <c r="C65" t="s">
        <v>57</v>
      </c>
      <c r="D65" t="s">
        <v>81</v>
      </c>
      <c r="E65" t="s">
        <v>196</v>
      </c>
      <c r="F65">
        <v>2.25</v>
      </c>
      <c r="G65">
        <v>489564</v>
      </c>
      <c r="H65">
        <v>489563.5</v>
      </c>
      <c r="I65">
        <v>0.55100000000000005</v>
      </c>
      <c r="J65">
        <f>I65/(2/0.2)*3</f>
        <v>0.1653</v>
      </c>
      <c r="K65">
        <v>0.13122659420302052</v>
      </c>
      <c r="L65" s="2">
        <f t="shared" si="0"/>
        <v>1.2596532052357052</v>
      </c>
    </row>
    <row r="66" spans="1:12" x14ac:dyDescent="0.3">
      <c r="A66">
        <v>60</v>
      </c>
      <c r="B66" t="s">
        <v>197</v>
      </c>
      <c r="C66" t="s">
        <v>58</v>
      </c>
      <c r="D66" t="s">
        <v>81</v>
      </c>
      <c r="E66" t="s">
        <v>198</v>
      </c>
      <c r="F66">
        <v>2.2400000000000002</v>
      </c>
      <c r="G66">
        <v>571439</v>
      </c>
      <c r="H66">
        <v>571439</v>
      </c>
      <c r="I66">
        <v>0.625</v>
      </c>
      <c r="J66">
        <f>I66/(2/0.2)*3</f>
        <v>0.1875</v>
      </c>
      <c r="K66">
        <v>0.13927650525047255</v>
      </c>
      <c r="L66" s="2">
        <f t="shared" si="0"/>
        <v>1.3462428545489644</v>
      </c>
    </row>
    <row r="67" spans="1:12" x14ac:dyDescent="0.3">
      <c r="A67">
        <v>61</v>
      </c>
      <c r="B67" t="s">
        <v>199</v>
      </c>
      <c r="C67" t="s">
        <v>59</v>
      </c>
      <c r="D67" t="s">
        <v>81</v>
      </c>
      <c r="E67" t="s">
        <v>200</v>
      </c>
      <c r="F67">
        <v>2.25</v>
      </c>
      <c r="G67">
        <v>650631</v>
      </c>
      <c r="H67">
        <v>650630.81299999997</v>
      </c>
      <c r="I67">
        <v>0.69599999999999995</v>
      </c>
      <c r="J67">
        <f>I67/(2/0.2)*3</f>
        <v>0.20879999999999999</v>
      </c>
      <c r="K67">
        <v>9.7416967803722054E-2</v>
      </c>
      <c r="L67" s="2">
        <f t="shared" si="0"/>
        <v>2.1433637764285072</v>
      </c>
    </row>
    <row r="68" spans="1:12" x14ac:dyDescent="0.3">
      <c r="A68">
        <v>62</v>
      </c>
      <c r="B68" t="s">
        <v>201</v>
      </c>
      <c r="C68" t="s">
        <v>60</v>
      </c>
      <c r="D68" t="s">
        <v>81</v>
      </c>
      <c r="E68" t="s">
        <v>202</v>
      </c>
      <c r="F68">
        <v>2.2400000000000002</v>
      </c>
      <c r="G68">
        <v>605383</v>
      </c>
      <c r="H68">
        <v>605382.81299999997</v>
      </c>
      <c r="I68">
        <v>0.65500000000000003</v>
      </c>
      <c r="J68">
        <f>I68/(2/0.2)*3</f>
        <v>0.19650000000000001</v>
      </c>
      <c r="K68">
        <v>7.4877216870856411E-2</v>
      </c>
      <c r="L68" s="2">
        <f t="shared" si="0"/>
        <v>2.6242962574171398</v>
      </c>
    </row>
    <row r="69" spans="1:12" x14ac:dyDescent="0.3">
      <c r="A69">
        <v>63</v>
      </c>
      <c r="B69" t="s">
        <v>203</v>
      </c>
      <c r="C69" t="s">
        <v>61</v>
      </c>
      <c r="D69" t="s">
        <v>81</v>
      </c>
      <c r="E69" t="s">
        <v>204</v>
      </c>
      <c r="F69">
        <v>2.2400000000000002</v>
      </c>
      <c r="G69">
        <v>816536</v>
      </c>
      <c r="H69">
        <v>816536.18799999997</v>
      </c>
      <c r="I69">
        <v>0.84599999999999997</v>
      </c>
      <c r="J69">
        <f>I69/(2/0.2)*3</f>
        <v>0.25379999999999997</v>
      </c>
      <c r="K69">
        <v>0.14491144298368897</v>
      </c>
      <c r="L69" s="2">
        <f t="shared" si="0"/>
        <v>1.7514144830409795</v>
      </c>
    </row>
    <row r="70" spans="1:12" x14ac:dyDescent="0.3">
      <c r="A70">
        <v>64</v>
      </c>
      <c r="B70" t="s">
        <v>205</v>
      </c>
      <c r="C70" t="s">
        <v>62</v>
      </c>
      <c r="D70" t="s">
        <v>81</v>
      </c>
      <c r="E70" t="s">
        <v>206</v>
      </c>
      <c r="F70">
        <v>2.2400000000000002</v>
      </c>
      <c r="G70">
        <v>656131</v>
      </c>
      <c r="H70">
        <v>656130.93799999997</v>
      </c>
      <c r="I70">
        <v>0.70099999999999996</v>
      </c>
      <c r="J70">
        <f>I70/(2/0.2)*3</f>
        <v>0.21029999999999999</v>
      </c>
      <c r="K70">
        <v>0.14571643408843418</v>
      </c>
      <c r="L70" s="2">
        <f t="shared" si="0"/>
        <v>1.4432140157394364</v>
      </c>
    </row>
    <row r="71" spans="1:12" x14ac:dyDescent="0.3">
      <c r="A71">
        <v>65</v>
      </c>
      <c r="B71" t="s">
        <v>207</v>
      </c>
      <c r="C71" t="s">
        <v>63</v>
      </c>
      <c r="D71" t="s">
        <v>81</v>
      </c>
      <c r="E71" t="s">
        <v>208</v>
      </c>
      <c r="F71">
        <v>2.2400000000000002</v>
      </c>
      <c r="G71">
        <v>523372</v>
      </c>
      <c r="H71">
        <v>523371.875</v>
      </c>
      <c r="I71">
        <v>0.58099999999999996</v>
      </c>
      <c r="J71">
        <f>I71/(2/0.2)*3</f>
        <v>0.17430000000000001</v>
      </c>
      <c r="K71">
        <v>0.26405012648597881</v>
      </c>
      <c r="L71" s="2">
        <f t="shared" si="0"/>
        <v>0.66010193715720644</v>
      </c>
    </row>
    <row r="72" spans="1:12" x14ac:dyDescent="0.3">
      <c r="A72">
        <v>66</v>
      </c>
      <c r="B72" t="s">
        <v>209</v>
      </c>
      <c r="C72" t="s">
        <v>64</v>
      </c>
      <c r="D72" t="s">
        <v>81</v>
      </c>
      <c r="E72" t="s">
        <v>210</v>
      </c>
      <c r="F72">
        <v>2.2400000000000002</v>
      </c>
      <c r="G72">
        <v>221107</v>
      </c>
      <c r="H72">
        <v>221107.109</v>
      </c>
      <c r="I72">
        <v>0.308</v>
      </c>
      <c r="J72">
        <f>I72/(2/0.2)*3</f>
        <v>9.240000000000001E-2</v>
      </c>
      <c r="K72">
        <v>0.17469611385926145</v>
      </c>
      <c r="L72" s="2">
        <f t="shared" si="0"/>
        <v>0.5289184628024366</v>
      </c>
    </row>
    <row r="73" spans="1:12" x14ac:dyDescent="0.3">
      <c r="A73">
        <v>67</v>
      </c>
      <c r="B73" t="s">
        <v>211</v>
      </c>
      <c r="C73" t="s">
        <v>65</v>
      </c>
      <c r="D73" t="s">
        <v>81</v>
      </c>
      <c r="E73" t="s">
        <v>212</v>
      </c>
      <c r="F73">
        <v>2.2400000000000002</v>
      </c>
      <c r="G73">
        <v>250861</v>
      </c>
      <c r="H73">
        <v>250861.07800000001</v>
      </c>
      <c r="I73">
        <v>0.33500000000000002</v>
      </c>
      <c r="J73">
        <f>I73/(2/0.2)*3</f>
        <v>0.10050000000000001</v>
      </c>
      <c r="K73">
        <v>0.1175417454223521</v>
      </c>
      <c r="L73" s="2">
        <f t="shared" ref="L73" si="1">J73/K73</f>
        <v>0.85501537890970114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cholesterol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주경미/분석인증 Lab/KYUNGMI JOO</cp:lastModifiedBy>
  <dcterms:created xsi:type="dcterms:W3CDTF">2025-09-10T02:07:26Z</dcterms:created>
  <dcterms:modified xsi:type="dcterms:W3CDTF">2026-03-30T04:32:11Z</dcterms:modified>
</cp:coreProperties>
</file>