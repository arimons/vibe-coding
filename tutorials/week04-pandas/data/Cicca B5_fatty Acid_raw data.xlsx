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엑셀계산\BY26년 분석\건식\Cicca B5\"/>
    </mc:Choice>
  </mc:AlternateContent>
  <xr:revisionPtr revIDLastSave="0" documentId="13_ncr:1_{9BD6B962-FC05-4617-A4DC-8CB494FAB928}" xr6:coauthVersionLast="47" xr6:coauthVersionMax="47" xr10:uidLastSave="{00000000-0000-0000-0000-000000000000}"/>
  <bookViews>
    <workbookView xWindow="-120" yWindow="-16320" windowWidth="29040" windowHeight="15720" activeTab="4" xr2:uid="{4E8A0553-AB02-4F0F-8738-6120AAC03544}"/>
  </bookViews>
  <sheets>
    <sheet name="C20FA" sheetId="1" r:id="rId1"/>
    <sheet name="C22FA" sheetId="2" r:id="rId2"/>
    <sheet name="C24FA" sheetId="3" r:id="rId3"/>
    <sheet name="C26FA" sheetId="4" r:id="rId4"/>
    <sheet name="C28FA" sheetId="5" r:id="rId5"/>
    <sheet name="C30F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6" l="1" a="1"/>
  <c r="I70" i="6" s="1"/>
  <c r="J70" i="6" s="1"/>
  <c r="L70" i="6" s="1"/>
  <c r="I64" i="6" a="1"/>
  <c r="I64" i="6" s="1"/>
  <c r="J64" i="6" s="1"/>
  <c r="L64" i="6" s="1"/>
  <c r="I53" i="6" a="1"/>
  <c r="I53" i="6" s="1"/>
  <c r="J53" i="6" s="1"/>
  <c r="L53" i="6" s="1"/>
  <c r="I47" i="6" a="1"/>
  <c r="I47" i="6" s="1"/>
  <c r="J47" i="6" s="1"/>
  <c r="L47" i="6" s="1"/>
  <c r="I50" i="6" a="1"/>
  <c r="I50" i="6" s="1"/>
  <c r="J50" i="6" s="1"/>
  <c r="L50" i="6" s="1"/>
  <c r="I42" i="6" a="1"/>
  <c r="I42" i="6" s="1"/>
  <c r="J42" i="6" s="1"/>
  <c r="L42" i="6" s="1"/>
  <c r="I15" i="6"/>
  <c r="J15" i="6" s="1"/>
  <c r="L15" i="6" s="1"/>
  <c r="I22" i="6"/>
  <c r="J22" i="6" s="1"/>
  <c r="L22" i="6" s="1"/>
  <c r="I9" i="6" a="1"/>
  <c r="I9" i="6" s="1"/>
  <c r="J9" i="6" s="1"/>
  <c r="L9" i="6" s="1"/>
  <c r="I10" i="6" a="1"/>
  <c r="I10" i="6" s="1"/>
  <c r="J10" i="6" s="1"/>
  <c r="L10" i="6" s="1"/>
  <c r="I11" i="6" a="1"/>
  <c r="I11" i="6" s="1"/>
  <c r="J11" i="6" s="1"/>
  <c r="L11" i="6" s="1"/>
  <c r="I12" i="6" a="1"/>
  <c r="I12" i="6" s="1"/>
  <c r="J12" i="6" s="1"/>
  <c r="L12" i="6" s="1"/>
  <c r="I13" i="6" a="1"/>
  <c r="I13" i="6" s="1"/>
  <c r="J13" i="6" s="1"/>
  <c r="L13" i="6" s="1"/>
  <c r="I14" i="6" a="1"/>
  <c r="I14" i="6" s="1"/>
  <c r="J14" i="6" s="1"/>
  <c r="L14" i="6" s="1"/>
  <c r="I16" i="6" a="1"/>
  <c r="I16" i="6" s="1"/>
  <c r="J16" i="6" s="1"/>
  <c r="L16" i="6" s="1"/>
  <c r="I17" i="6" a="1"/>
  <c r="I17" i="6" s="1"/>
  <c r="J17" i="6" s="1"/>
  <c r="L17" i="6" s="1"/>
  <c r="I18" i="6" a="1"/>
  <c r="I18" i="6" s="1"/>
  <c r="J18" i="6" s="1"/>
  <c r="L18" i="6" s="1"/>
  <c r="I19" i="6" a="1"/>
  <c r="I19" i="6" s="1"/>
  <c r="J19" i="6" s="1"/>
  <c r="L19" i="6" s="1"/>
  <c r="I20" i="6" a="1"/>
  <c r="I20" i="6" s="1"/>
  <c r="J20" i="6" s="1"/>
  <c r="L20" i="6" s="1"/>
  <c r="I21" i="6" a="1"/>
  <c r="I21" i="6" s="1"/>
  <c r="J21" i="6" s="1"/>
  <c r="L21" i="6" s="1"/>
  <c r="I23" i="6" a="1"/>
  <c r="I23" i="6" s="1"/>
  <c r="J23" i="6" s="1"/>
  <c r="L23" i="6" s="1"/>
  <c r="I24" i="6" a="1"/>
  <c r="I24" i="6" s="1"/>
  <c r="J24" i="6" s="1"/>
  <c r="L24" i="6" s="1"/>
  <c r="I25" i="6" a="1"/>
  <c r="I25" i="6" s="1"/>
  <c r="J25" i="6" s="1"/>
  <c r="L25" i="6" s="1"/>
  <c r="I26" i="6" a="1"/>
  <c r="I26" i="6" s="1"/>
  <c r="J26" i="6" s="1"/>
  <c r="L26" i="6" s="1"/>
  <c r="I27" i="6" a="1"/>
  <c r="I27" i="6" s="1"/>
  <c r="J27" i="6" s="1"/>
  <c r="L27" i="6" s="1"/>
  <c r="I28" i="6" a="1"/>
  <c r="I28" i="6" s="1"/>
  <c r="J28" i="6" s="1"/>
  <c r="L28" i="6" s="1"/>
  <c r="I29" i="6" a="1"/>
  <c r="I29" i="6" s="1"/>
  <c r="J29" i="6" s="1"/>
  <c r="L29" i="6" s="1"/>
  <c r="I30" i="6" a="1"/>
  <c r="I30" i="6" s="1"/>
  <c r="J30" i="6" s="1"/>
  <c r="L30" i="6" s="1"/>
  <c r="I31" i="6" a="1"/>
  <c r="I31" i="6" s="1"/>
  <c r="J31" i="6" s="1"/>
  <c r="L31" i="6" s="1"/>
  <c r="I32" i="6" a="1"/>
  <c r="I32" i="6" s="1"/>
  <c r="J32" i="6" s="1"/>
  <c r="L32" i="6" s="1"/>
  <c r="I33" i="6" a="1"/>
  <c r="I33" i="6" s="1"/>
  <c r="J33" i="6" s="1"/>
  <c r="L33" i="6" s="1"/>
  <c r="I34" i="6" a="1"/>
  <c r="I34" i="6" s="1"/>
  <c r="J34" i="6" s="1"/>
  <c r="L34" i="6" s="1"/>
  <c r="I35" i="6" a="1"/>
  <c r="I35" i="6" s="1"/>
  <c r="J35" i="6" s="1"/>
  <c r="L35" i="6" s="1"/>
  <c r="I36" i="6" a="1"/>
  <c r="I36" i="6" s="1"/>
  <c r="J36" i="6" s="1"/>
  <c r="L36" i="6" s="1"/>
  <c r="I37" i="6" a="1"/>
  <c r="I37" i="6" s="1"/>
  <c r="J37" i="6" s="1"/>
  <c r="L37" i="6" s="1"/>
  <c r="I38" i="6" a="1"/>
  <c r="I38" i="6" s="1"/>
  <c r="J38" i="6" s="1"/>
  <c r="L38" i="6" s="1"/>
  <c r="I39" i="6" a="1"/>
  <c r="I39" i="6" s="1"/>
  <c r="J39" i="6" s="1"/>
  <c r="L39" i="6" s="1"/>
  <c r="I40" i="6" a="1"/>
  <c r="I40" i="6" s="1"/>
  <c r="J40" i="6" s="1"/>
  <c r="L40" i="6" s="1"/>
  <c r="I41" i="6" a="1"/>
  <c r="I41" i="6" s="1"/>
  <c r="J41" i="6" s="1"/>
  <c r="L41" i="6" s="1"/>
  <c r="I43" i="6" a="1"/>
  <c r="I43" i="6" s="1"/>
  <c r="J43" i="6" s="1"/>
  <c r="L43" i="6" s="1"/>
  <c r="I44" i="6" a="1"/>
  <c r="I44" i="6" s="1"/>
  <c r="J44" i="6" s="1"/>
  <c r="L44" i="6" s="1"/>
  <c r="I45" i="6" a="1"/>
  <c r="I45" i="6" s="1"/>
  <c r="J45" i="6" s="1"/>
  <c r="L45" i="6" s="1"/>
  <c r="I46" i="6" a="1"/>
  <c r="I46" i="6" s="1"/>
  <c r="J46" i="6" s="1"/>
  <c r="L46" i="6" s="1"/>
  <c r="I48" i="6" a="1"/>
  <c r="I48" i="6" s="1"/>
  <c r="J48" i="6" s="1"/>
  <c r="L48" i="6" s="1"/>
  <c r="I49" i="6" a="1"/>
  <c r="I49" i="6" s="1"/>
  <c r="J49" i="6" s="1"/>
  <c r="L49" i="6" s="1"/>
  <c r="I51" i="6" a="1"/>
  <c r="I51" i="6" s="1"/>
  <c r="J51" i="6" s="1"/>
  <c r="L51" i="6" s="1"/>
  <c r="I52" i="6" a="1"/>
  <c r="I52" i="6" s="1"/>
  <c r="J52" i="6" s="1"/>
  <c r="L52" i="6" s="1"/>
  <c r="I54" i="6" a="1"/>
  <c r="I54" i="6" s="1"/>
  <c r="J54" i="6" s="1"/>
  <c r="L54" i="6" s="1"/>
  <c r="I55" i="6" a="1"/>
  <c r="I55" i="6" s="1"/>
  <c r="J55" i="6" s="1"/>
  <c r="L55" i="6" s="1"/>
  <c r="I56" i="6" a="1"/>
  <c r="I56" i="6" s="1"/>
  <c r="J56" i="6" s="1"/>
  <c r="L56" i="6" s="1"/>
  <c r="I57" i="6" a="1"/>
  <c r="I57" i="6" s="1"/>
  <c r="J57" i="6" s="1"/>
  <c r="L57" i="6" s="1"/>
  <c r="I58" i="6" a="1"/>
  <c r="I58" i="6" s="1"/>
  <c r="J58" i="6" s="1"/>
  <c r="L58" i="6" s="1"/>
  <c r="I59" i="6" a="1"/>
  <c r="I59" i="6" s="1"/>
  <c r="J59" i="6" s="1"/>
  <c r="L59" i="6" s="1"/>
  <c r="I60" i="6" a="1"/>
  <c r="I60" i="6" s="1"/>
  <c r="J60" i="6" s="1"/>
  <c r="L60" i="6" s="1"/>
  <c r="I61" i="6" a="1"/>
  <c r="I61" i="6" s="1"/>
  <c r="J61" i="6" s="1"/>
  <c r="L61" i="6" s="1"/>
  <c r="I62" i="6" a="1"/>
  <c r="I62" i="6" s="1"/>
  <c r="J62" i="6" s="1"/>
  <c r="L62" i="6" s="1"/>
  <c r="I63" i="6" a="1"/>
  <c r="I63" i="6" s="1"/>
  <c r="J63" i="6" s="1"/>
  <c r="L63" i="6" s="1"/>
  <c r="I65" i="6" a="1"/>
  <c r="I65" i="6" s="1"/>
  <c r="J65" i="6" s="1"/>
  <c r="L65" i="6" s="1"/>
  <c r="I66" i="6" a="1"/>
  <c r="I66" i="6" s="1"/>
  <c r="J66" i="6" s="1"/>
  <c r="L66" i="6" s="1"/>
  <c r="I67" i="6" a="1"/>
  <c r="I67" i="6" s="1"/>
  <c r="J67" i="6" s="1"/>
  <c r="L67" i="6" s="1"/>
  <c r="I68" i="6" a="1"/>
  <c r="I68" i="6" s="1"/>
  <c r="J68" i="6" s="1"/>
  <c r="L68" i="6" s="1"/>
  <c r="I69" i="6" a="1"/>
  <c r="I69" i="6" s="1"/>
  <c r="J69" i="6" s="1"/>
  <c r="L69" i="6" s="1"/>
  <c r="I71" i="6" a="1"/>
  <c r="I71" i="6" s="1"/>
  <c r="J71" i="6" s="1"/>
  <c r="L71" i="6" s="1"/>
  <c r="I72" i="6" a="1"/>
  <c r="I72" i="6" s="1"/>
  <c r="J72" i="6" s="1"/>
  <c r="L72" i="6" s="1"/>
  <c r="I73" i="6" a="1"/>
  <c r="I73" i="6" s="1"/>
  <c r="J73" i="6" s="1"/>
  <c r="L73" i="6" s="1"/>
  <c r="I8" i="6" a="1"/>
  <c r="I8" i="6" s="1"/>
  <c r="J8" i="6" s="1"/>
  <c r="L8" i="6" s="1"/>
  <c r="I9" i="5" a="1"/>
  <c r="I9" i="5" s="1"/>
  <c r="J9" i="5" s="1"/>
  <c r="L9" i="5" s="1"/>
  <c r="I10" i="5" a="1"/>
  <c r="I10" i="5" s="1"/>
  <c r="J10" i="5" s="1"/>
  <c r="L10" i="5" s="1"/>
  <c r="I11" i="5" a="1"/>
  <c r="I11" i="5" s="1"/>
  <c r="J11" i="5" s="1"/>
  <c r="L11" i="5" s="1"/>
  <c r="I12" i="5" a="1"/>
  <c r="I12" i="5" s="1"/>
  <c r="J12" i="5" s="1"/>
  <c r="L12" i="5" s="1"/>
  <c r="I13" i="5" a="1"/>
  <c r="I13" i="5" s="1"/>
  <c r="J13" i="5" s="1"/>
  <c r="L13" i="5" s="1"/>
  <c r="I14" i="5" a="1"/>
  <c r="I14" i="5" s="1"/>
  <c r="J14" i="5" s="1"/>
  <c r="L14" i="5" s="1"/>
  <c r="I15" i="5" a="1"/>
  <c r="I15" i="5" s="1"/>
  <c r="J15" i="5" s="1"/>
  <c r="L15" i="5" s="1"/>
  <c r="I16" i="5" a="1"/>
  <c r="I16" i="5" s="1"/>
  <c r="J16" i="5" s="1"/>
  <c r="L16" i="5" s="1"/>
  <c r="I17" i="5" a="1"/>
  <c r="I17" i="5" s="1"/>
  <c r="J17" i="5" s="1"/>
  <c r="L17" i="5" s="1"/>
  <c r="I18" i="5" a="1"/>
  <c r="I18" i="5" s="1"/>
  <c r="J18" i="5" s="1"/>
  <c r="L18" i="5" s="1"/>
  <c r="I19" i="5" a="1"/>
  <c r="I19" i="5" s="1"/>
  <c r="J19" i="5" s="1"/>
  <c r="L19" i="5" s="1"/>
  <c r="I20" i="5" a="1"/>
  <c r="I20" i="5" s="1"/>
  <c r="J20" i="5" s="1"/>
  <c r="L20" i="5" s="1"/>
  <c r="I21" i="5" a="1"/>
  <c r="I21" i="5" s="1"/>
  <c r="J21" i="5" s="1"/>
  <c r="L21" i="5" s="1"/>
  <c r="I22" i="5" a="1"/>
  <c r="I22" i="5" s="1"/>
  <c r="J22" i="5" s="1"/>
  <c r="L22" i="5" s="1"/>
  <c r="I23" i="5" a="1"/>
  <c r="I23" i="5" s="1"/>
  <c r="J23" i="5" s="1"/>
  <c r="L23" i="5" s="1"/>
  <c r="I24" i="5" a="1"/>
  <c r="I24" i="5" s="1"/>
  <c r="J24" i="5" s="1"/>
  <c r="L24" i="5" s="1"/>
  <c r="I25" i="5" a="1"/>
  <c r="I25" i="5" s="1"/>
  <c r="J25" i="5" s="1"/>
  <c r="L25" i="5" s="1"/>
  <c r="I26" i="5" a="1"/>
  <c r="I26" i="5" s="1"/>
  <c r="J26" i="5" s="1"/>
  <c r="L26" i="5" s="1"/>
  <c r="I27" i="5" a="1"/>
  <c r="I27" i="5" s="1"/>
  <c r="J27" i="5" s="1"/>
  <c r="L27" i="5" s="1"/>
  <c r="I28" i="5" a="1"/>
  <c r="I28" i="5" s="1"/>
  <c r="J28" i="5" s="1"/>
  <c r="L28" i="5" s="1"/>
  <c r="I29" i="5" a="1"/>
  <c r="I29" i="5" s="1"/>
  <c r="J29" i="5" s="1"/>
  <c r="L29" i="5" s="1"/>
  <c r="I30" i="5" a="1"/>
  <c r="I30" i="5" s="1"/>
  <c r="J30" i="5" s="1"/>
  <c r="L30" i="5" s="1"/>
  <c r="I31" i="5" a="1"/>
  <c r="I31" i="5" s="1"/>
  <c r="J31" i="5" s="1"/>
  <c r="L31" i="5" s="1"/>
  <c r="I32" i="5" a="1"/>
  <c r="I32" i="5" s="1"/>
  <c r="J32" i="5" s="1"/>
  <c r="L32" i="5" s="1"/>
  <c r="I33" i="5" a="1"/>
  <c r="I33" i="5" s="1"/>
  <c r="J33" i="5" s="1"/>
  <c r="L33" i="5" s="1"/>
  <c r="I34" i="5" a="1"/>
  <c r="I34" i="5" s="1"/>
  <c r="J34" i="5" s="1"/>
  <c r="L34" i="5" s="1"/>
  <c r="I35" i="5" a="1"/>
  <c r="I35" i="5" s="1"/>
  <c r="J35" i="5" s="1"/>
  <c r="L35" i="5" s="1"/>
  <c r="I36" i="5" a="1"/>
  <c r="I36" i="5" s="1"/>
  <c r="J36" i="5" s="1"/>
  <c r="L36" i="5" s="1"/>
  <c r="I37" i="5" a="1"/>
  <c r="I37" i="5" s="1"/>
  <c r="J37" i="5" s="1"/>
  <c r="L37" i="5" s="1"/>
  <c r="I38" i="5" a="1"/>
  <c r="I38" i="5" s="1"/>
  <c r="J38" i="5" s="1"/>
  <c r="L38" i="5" s="1"/>
  <c r="I39" i="5" a="1"/>
  <c r="I39" i="5" s="1"/>
  <c r="J39" i="5" s="1"/>
  <c r="L39" i="5" s="1"/>
  <c r="I40" i="5" a="1"/>
  <c r="I40" i="5" s="1"/>
  <c r="J40" i="5" s="1"/>
  <c r="L40" i="5" s="1"/>
  <c r="I41" i="5" a="1"/>
  <c r="I41" i="5" s="1"/>
  <c r="J41" i="5" s="1"/>
  <c r="L41" i="5" s="1"/>
  <c r="I42" i="5" a="1"/>
  <c r="I42" i="5" s="1"/>
  <c r="J42" i="5" s="1"/>
  <c r="L42" i="5" s="1"/>
  <c r="I43" i="5" a="1"/>
  <c r="I43" i="5" s="1"/>
  <c r="J43" i="5" s="1"/>
  <c r="L43" i="5" s="1"/>
  <c r="I44" i="5" a="1"/>
  <c r="I44" i="5" s="1"/>
  <c r="J44" i="5" s="1"/>
  <c r="L44" i="5" s="1"/>
  <c r="I45" i="5" a="1"/>
  <c r="I45" i="5" s="1"/>
  <c r="J45" i="5" s="1"/>
  <c r="L45" i="5" s="1"/>
  <c r="I46" i="5" a="1"/>
  <c r="I46" i="5" s="1"/>
  <c r="J46" i="5" s="1"/>
  <c r="L46" i="5" s="1"/>
  <c r="I47" i="5" a="1"/>
  <c r="I47" i="5" s="1"/>
  <c r="J47" i="5" s="1"/>
  <c r="L47" i="5" s="1"/>
  <c r="I48" i="5" a="1"/>
  <c r="I48" i="5" s="1"/>
  <c r="J48" i="5" s="1"/>
  <c r="L48" i="5" s="1"/>
  <c r="I49" i="5" a="1"/>
  <c r="I49" i="5" s="1"/>
  <c r="J49" i="5" s="1"/>
  <c r="L49" i="5" s="1"/>
  <c r="I50" i="5" a="1"/>
  <c r="I50" i="5" s="1"/>
  <c r="J50" i="5" s="1"/>
  <c r="L50" i="5" s="1"/>
  <c r="I51" i="5" a="1"/>
  <c r="I51" i="5" s="1"/>
  <c r="J51" i="5" s="1"/>
  <c r="L51" i="5" s="1"/>
  <c r="I52" i="5" a="1"/>
  <c r="I52" i="5" s="1"/>
  <c r="J52" i="5" s="1"/>
  <c r="L52" i="5" s="1"/>
  <c r="I53" i="5" a="1"/>
  <c r="I53" i="5" s="1"/>
  <c r="J53" i="5" s="1"/>
  <c r="L53" i="5" s="1"/>
  <c r="I54" i="5" a="1"/>
  <c r="I54" i="5" s="1"/>
  <c r="J54" i="5" s="1"/>
  <c r="L54" i="5" s="1"/>
  <c r="I55" i="5" a="1"/>
  <c r="I55" i="5" s="1"/>
  <c r="J55" i="5" s="1"/>
  <c r="L55" i="5" s="1"/>
  <c r="I56" i="5" a="1"/>
  <c r="I56" i="5" s="1"/>
  <c r="J56" i="5" s="1"/>
  <c r="L56" i="5" s="1"/>
  <c r="I57" i="5" a="1"/>
  <c r="I57" i="5" s="1"/>
  <c r="J57" i="5" s="1"/>
  <c r="L57" i="5" s="1"/>
  <c r="I58" i="5" a="1"/>
  <c r="I58" i="5" s="1"/>
  <c r="J58" i="5" s="1"/>
  <c r="L58" i="5" s="1"/>
  <c r="I59" i="5" a="1"/>
  <c r="I59" i="5" s="1"/>
  <c r="J59" i="5" s="1"/>
  <c r="L59" i="5" s="1"/>
  <c r="I60" i="5" a="1"/>
  <c r="I60" i="5" s="1"/>
  <c r="J60" i="5" s="1"/>
  <c r="L60" i="5" s="1"/>
  <c r="I61" i="5" a="1"/>
  <c r="I61" i="5" s="1"/>
  <c r="J61" i="5" s="1"/>
  <c r="L61" i="5" s="1"/>
  <c r="I62" i="5" a="1"/>
  <c r="I62" i="5" s="1"/>
  <c r="J62" i="5" s="1"/>
  <c r="L62" i="5" s="1"/>
  <c r="I63" i="5" a="1"/>
  <c r="I63" i="5" s="1"/>
  <c r="J63" i="5" s="1"/>
  <c r="L63" i="5" s="1"/>
  <c r="I64" i="5" a="1"/>
  <c r="I64" i="5" s="1"/>
  <c r="J64" i="5" s="1"/>
  <c r="L64" i="5" s="1"/>
  <c r="I65" i="5" a="1"/>
  <c r="I65" i="5" s="1"/>
  <c r="J65" i="5" s="1"/>
  <c r="L65" i="5" s="1"/>
  <c r="I66" i="5" a="1"/>
  <c r="I66" i="5" s="1"/>
  <c r="J66" i="5" s="1"/>
  <c r="L66" i="5" s="1"/>
  <c r="I67" i="5" a="1"/>
  <c r="I67" i="5" s="1"/>
  <c r="J67" i="5" s="1"/>
  <c r="L67" i="5" s="1"/>
  <c r="I68" i="5" a="1"/>
  <c r="I68" i="5" s="1"/>
  <c r="J68" i="5" s="1"/>
  <c r="L68" i="5" s="1"/>
  <c r="I69" i="5" a="1"/>
  <c r="I69" i="5" s="1"/>
  <c r="J69" i="5" s="1"/>
  <c r="L69" i="5" s="1"/>
  <c r="I70" i="5" a="1"/>
  <c r="I70" i="5" s="1"/>
  <c r="J70" i="5" s="1"/>
  <c r="L70" i="5" s="1"/>
  <c r="I71" i="5" a="1"/>
  <c r="I71" i="5" s="1"/>
  <c r="J71" i="5" s="1"/>
  <c r="L71" i="5" s="1"/>
  <c r="I72" i="5" a="1"/>
  <c r="I72" i="5" s="1"/>
  <c r="J72" i="5" s="1"/>
  <c r="L72" i="5" s="1"/>
  <c r="I73" i="5" a="1"/>
  <c r="I73" i="5" s="1"/>
  <c r="J73" i="5" s="1"/>
  <c r="L73" i="5" s="1"/>
  <c r="I8" i="5" a="1"/>
  <c r="I8" i="5" s="1"/>
  <c r="J8" i="5" s="1"/>
  <c r="L8" i="5" s="1"/>
  <c r="I73" i="4" a="1"/>
  <c r="I73" i="4" s="1"/>
  <c r="J73" i="4" s="1"/>
  <c r="L73" i="4" s="1"/>
  <c r="I72" i="4" a="1"/>
  <c r="I72" i="4" s="1"/>
  <c r="J72" i="4" s="1"/>
  <c r="L72" i="4" s="1"/>
  <c r="I71" i="4" a="1"/>
  <c r="I71" i="4" s="1"/>
  <c r="J71" i="4" s="1"/>
  <c r="L71" i="4" s="1"/>
  <c r="I70" i="4" a="1"/>
  <c r="I70" i="4" s="1"/>
  <c r="J70" i="4" s="1"/>
  <c r="L70" i="4" s="1"/>
  <c r="I69" i="4" a="1"/>
  <c r="I69" i="4" s="1"/>
  <c r="J69" i="4" s="1"/>
  <c r="L69" i="4" s="1"/>
  <c r="I68" i="4" a="1"/>
  <c r="I68" i="4" s="1"/>
  <c r="J68" i="4" s="1"/>
  <c r="L68" i="4" s="1"/>
  <c r="I67" i="4" a="1"/>
  <c r="I67" i="4" s="1"/>
  <c r="J67" i="4" s="1"/>
  <c r="L67" i="4" s="1"/>
  <c r="I66" i="4" a="1"/>
  <c r="I66" i="4" s="1"/>
  <c r="J66" i="4" s="1"/>
  <c r="L66" i="4" s="1"/>
  <c r="I65" i="4" a="1"/>
  <c r="I65" i="4" s="1"/>
  <c r="J65" i="4" s="1"/>
  <c r="L65" i="4" s="1"/>
  <c r="I64" i="4" a="1"/>
  <c r="I64" i="4" s="1"/>
  <c r="J64" i="4" s="1"/>
  <c r="L64" i="4" s="1"/>
  <c r="I63" i="4" a="1"/>
  <c r="I63" i="4" s="1"/>
  <c r="J63" i="4" s="1"/>
  <c r="L63" i="4" s="1"/>
  <c r="I62" i="4" a="1"/>
  <c r="I62" i="4" s="1"/>
  <c r="J62" i="4" s="1"/>
  <c r="L62" i="4" s="1"/>
  <c r="I61" i="4" a="1"/>
  <c r="I61" i="4" s="1"/>
  <c r="J61" i="4" s="1"/>
  <c r="L61" i="4" s="1"/>
  <c r="I60" i="4" a="1"/>
  <c r="I60" i="4" s="1"/>
  <c r="J60" i="4" s="1"/>
  <c r="L60" i="4" s="1"/>
  <c r="I59" i="4" a="1"/>
  <c r="I59" i="4" s="1"/>
  <c r="J59" i="4" s="1"/>
  <c r="L59" i="4" s="1"/>
  <c r="I58" i="4" a="1"/>
  <c r="I58" i="4" s="1"/>
  <c r="J58" i="4" s="1"/>
  <c r="L58" i="4" s="1"/>
  <c r="I57" i="4" a="1"/>
  <c r="I57" i="4" s="1"/>
  <c r="J57" i="4" s="1"/>
  <c r="L57" i="4" s="1"/>
  <c r="I56" i="4" a="1"/>
  <c r="I56" i="4" s="1"/>
  <c r="J56" i="4" s="1"/>
  <c r="L56" i="4" s="1"/>
  <c r="I55" i="4" a="1"/>
  <c r="I55" i="4" s="1"/>
  <c r="J55" i="4" s="1"/>
  <c r="L55" i="4" s="1"/>
  <c r="I54" i="4" a="1"/>
  <c r="I54" i="4" s="1"/>
  <c r="J54" i="4" s="1"/>
  <c r="L54" i="4" s="1"/>
  <c r="I53" i="4" a="1"/>
  <c r="I53" i="4" s="1"/>
  <c r="J53" i="4" s="1"/>
  <c r="L53" i="4" s="1"/>
  <c r="I52" i="4" a="1"/>
  <c r="I52" i="4" s="1"/>
  <c r="J52" i="4" s="1"/>
  <c r="L52" i="4" s="1"/>
  <c r="I51" i="4" a="1"/>
  <c r="I51" i="4" s="1"/>
  <c r="J51" i="4" s="1"/>
  <c r="L51" i="4" s="1"/>
  <c r="I50" i="4" a="1"/>
  <c r="I50" i="4" s="1"/>
  <c r="J50" i="4" s="1"/>
  <c r="L50" i="4" s="1"/>
  <c r="I49" i="4" a="1"/>
  <c r="I49" i="4" s="1"/>
  <c r="J49" i="4" s="1"/>
  <c r="L49" i="4" s="1"/>
  <c r="I48" i="4" a="1"/>
  <c r="I48" i="4" s="1"/>
  <c r="J48" i="4" s="1"/>
  <c r="L48" i="4" s="1"/>
  <c r="I47" i="4" a="1"/>
  <c r="I47" i="4" s="1"/>
  <c r="J47" i="4" s="1"/>
  <c r="L47" i="4" s="1"/>
  <c r="I46" i="4" a="1"/>
  <c r="I46" i="4" s="1"/>
  <c r="J46" i="4" s="1"/>
  <c r="L46" i="4" s="1"/>
  <c r="I45" i="4" a="1"/>
  <c r="I45" i="4" s="1"/>
  <c r="J45" i="4" s="1"/>
  <c r="L45" i="4" s="1"/>
  <c r="I44" i="4" a="1"/>
  <c r="I44" i="4" s="1"/>
  <c r="J44" i="4" s="1"/>
  <c r="L44" i="4" s="1"/>
  <c r="I43" i="4" a="1"/>
  <c r="I43" i="4" s="1"/>
  <c r="J43" i="4" s="1"/>
  <c r="L43" i="4" s="1"/>
  <c r="I42" i="4" a="1"/>
  <c r="I42" i="4" s="1"/>
  <c r="J42" i="4" s="1"/>
  <c r="L42" i="4" s="1"/>
  <c r="I41" i="4" a="1"/>
  <c r="I41" i="4" s="1"/>
  <c r="J41" i="4" s="1"/>
  <c r="L41" i="4" s="1"/>
  <c r="I40" i="4" a="1"/>
  <c r="I40" i="4" s="1"/>
  <c r="J40" i="4" s="1"/>
  <c r="L40" i="4" s="1"/>
  <c r="I39" i="4" a="1"/>
  <c r="I39" i="4" s="1"/>
  <c r="J39" i="4" s="1"/>
  <c r="L39" i="4" s="1"/>
  <c r="I38" i="4" a="1"/>
  <c r="I38" i="4" s="1"/>
  <c r="J38" i="4" s="1"/>
  <c r="L38" i="4" s="1"/>
  <c r="I37" i="4" a="1"/>
  <c r="I37" i="4" s="1"/>
  <c r="J37" i="4" s="1"/>
  <c r="L37" i="4" s="1"/>
  <c r="I36" i="4" a="1"/>
  <c r="I36" i="4" s="1"/>
  <c r="J36" i="4" s="1"/>
  <c r="L36" i="4" s="1"/>
  <c r="I35" i="4" a="1"/>
  <c r="I35" i="4" s="1"/>
  <c r="J35" i="4" s="1"/>
  <c r="L35" i="4" s="1"/>
  <c r="I34" i="4" a="1"/>
  <c r="I34" i="4" s="1"/>
  <c r="J34" i="4" s="1"/>
  <c r="L34" i="4" s="1"/>
  <c r="I33" i="4" a="1"/>
  <c r="I33" i="4" s="1"/>
  <c r="J33" i="4" s="1"/>
  <c r="L33" i="4" s="1"/>
  <c r="I32" i="4" a="1"/>
  <c r="I32" i="4" s="1"/>
  <c r="J32" i="4" s="1"/>
  <c r="L32" i="4" s="1"/>
  <c r="I31" i="4" a="1"/>
  <c r="I31" i="4" s="1"/>
  <c r="J31" i="4" s="1"/>
  <c r="L31" i="4" s="1"/>
  <c r="I30" i="4" a="1"/>
  <c r="I30" i="4" s="1"/>
  <c r="J30" i="4" s="1"/>
  <c r="L30" i="4" s="1"/>
  <c r="I29" i="4" a="1"/>
  <c r="I29" i="4" s="1"/>
  <c r="J29" i="4" s="1"/>
  <c r="L29" i="4" s="1"/>
  <c r="I28" i="4" a="1"/>
  <c r="I28" i="4" s="1"/>
  <c r="J28" i="4" s="1"/>
  <c r="L28" i="4" s="1"/>
  <c r="I27" i="4" a="1"/>
  <c r="I27" i="4" s="1"/>
  <c r="J27" i="4" s="1"/>
  <c r="L27" i="4" s="1"/>
  <c r="I26" i="4" a="1"/>
  <c r="I26" i="4" s="1"/>
  <c r="J26" i="4" s="1"/>
  <c r="L26" i="4" s="1"/>
  <c r="I25" i="4" a="1"/>
  <c r="I25" i="4" s="1"/>
  <c r="J25" i="4" s="1"/>
  <c r="L25" i="4" s="1"/>
  <c r="I24" i="4" a="1"/>
  <c r="I24" i="4" s="1"/>
  <c r="J24" i="4" s="1"/>
  <c r="L24" i="4" s="1"/>
  <c r="I23" i="4" a="1"/>
  <c r="I23" i="4" s="1"/>
  <c r="J23" i="4" s="1"/>
  <c r="L23" i="4" s="1"/>
  <c r="I22" i="4" a="1"/>
  <c r="I22" i="4" s="1"/>
  <c r="J22" i="4" s="1"/>
  <c r="L22" i="4" s="1"/>
  <c r="I21" i="4" a="1"/>
  <c r="I21" i="4" s="1"/>
  <c r="J21" i="4" s="1"/>
  <c r="L21" i="4" s="1"/>
  <c r="I20" i="4" a="1"/>
  <c r="I20" i="4" s="1"/>
  <c r="J20" i="4" s="1"/>
  <c r="L20" i="4" s="1"/>
  <c r="I19" i="4" a="1"/>
  <c r="I19" i="4" s="1"/>
  <c r="J19" i="4" s="1"/>
  <c r="L19" i="4" s="1"/>
  <c r="I18" i="4" a="1"/>
  <c r="I18" i="4" s="1"/>
  <c r="J18" i="4" s="1"/>
  <c r="L18" i="4" s="1"/>
  <c r="I17" i="4" a="1"/>
  <c r="I17" i="4" s="1"/>
  <c r="J17" i="4" s="1"/>
  <c r="L17" i="4" s="1"/>
  <c r="I16" i="4" a="1"/>
  <c r="I16" i="4" s="1"/>
  <c r="J16" i="4" s="1"/>
  <c r="L16" i="4" s="1"/>
  <c r="I15" i="4" a="1"/>
  <c r="I15" i="4" s="1"/>
  <c r="J15" i="4" s="1"/>
  <c r="L15" i="4" s="1"/>
  <c r="I14" i="4" a="1"/>
  <c r="I14" i="4" s="1"/>
  <c r="J14" i="4" s="1"/>
  <c r="L14" i="4" s="1"/>
  <c r="I13" i="4" a="1"/>
  <c r="I13" i="4" s="1"/>
  <c r="J13" i="4" s="1"/>
  <c r="L13" i="4" s="1"/>
  <c r="I12" i="4" a="1"/>
  <c r="I12" i="4" s="1"/>
  <c r="J12" i="4" s="1"/>
  <c r="L12" i="4" s="1"/>
  <c r="I11" i="4" a="1"/>
  <c r="I11" i="4" s="1"/>
  <c r="J11" i="4" s="1"/>
  <c r="L11" i="4" s="1"/>
  <c r="I10" i="4" a="1"/>
  <c r="I10" i="4" s="1"/>
  <c r="J10" i="4" s="1"/>
  <c r="L10" i="4" s="1"/>
  <c r="I9" i="4" a="1"/>
  <c r="I9" i="4" s="1"/>
  <c r="J9" i="4" s="1"/>
  <c r="L9" i="4" s="1"/>
  <c r="I8" i="4" a="1"/>
  <c r="I8" i="4" s="1"/>
  <c r="J8" i="4" s="1"/>
  <c r="L8" i="4" s="1"/>
  <c r="I9" i="3" a="1"/>
  <c r="I9" i="3" s="1"/>
  <c r="J9" i="3" s="1"/>
  <c r="L9" i="3" s="1"/>
  <c r="I10" i="3" a="1"/>
  <c r="I10" i="3" s="1"/>
  <c r="J10" i="3" s="1"/>
  <c r="L10" i="3" s="1"/>
  <c r="I11" i="3" a="1"/>
  <c r="I11" i="3" s="1"/>
  <c r="J11" i="3" s="1"/>
  <c r="L11" i="3" s="1"/>
  <c r="I12" i="3" a="1"/>
  <c r="I12" i="3" s="1"/>
  <c r="J12" i="3" s="1"/>
  <c r="L12" i="3" s="1"/>
  <c r="I13" i="3" a="1"/>
  <c r="I13" i="3" s="1"/>
  <c r="J13" i="3" s="1"/>
  <c r="L13" i="3" s="1"/>
  <c r="I14" i="3" a="1"/>
  <c r="I14" i="3" s="1"/>
  <c r="J14" i="3" s="1"/>
  <c r="L14" i="3" s="1"/>
  <c r="I15" i="3" a="1"/>
  <c r="I15" i="3" s="1"/>
  <c r="J15" i="3" s="1"/>
  <c r="L15" i="3" s="1"/>
  <c r="I16" i="3" a="1"/>
  <c r="I16" i="3" s="1"/>
  <c r="J16" i="3" s="1"/>
  <c r="L16" i="3" s="1"/>
  <c r="I17" i="3" a="1"/>
  <c r="I17" i="3" s="1"/>
  <c r="J17" i="3" s="1"/>
  <c r="L17" i="3" s="1"/>
  <c r="I18" i="3" a="1"/>
  <c r="I18" i="3" s="1"/>
  <c r="J18" i="3" s="1"/>
  <c r="L18" i="3" s="1"/>
  <c r="I19" i="3" a="1"/>
  <c r="I19" i="3" s="1"/>
  <c r="J19" i="3" s="1"/>
  <c r="L19" i="3" s="1"/>
  <c r="I20" i="3" a="1"/>
  <c r="I20" i="3" s="1"/>
  <c r="J20" i="3" s="1"/>
  <c r="L20" i="3" s="1"/>
  <c r="I21" i="3" a="1"/>
  <c r="I21" i="3" s="1"/>
  <c r="J21" i="3" s="1"/>
  <c r="L21" i="3" s="1"/>
  <c r="I22" i="3" a="1"/>
  <c r="I22" i="3"/>
  <c r="J22" i="3" s="1"/>
  <c r="L22" i="3" s="1"/>
  <c r="I23" i="3" a="1"/>
  <c r="I23" i="3" s="1"/>
  <c r="J23" i="3" s="1"/>
  <c r="L23" i="3" s="1"/>
  <c r="I24" i="3" a="1"/>
  <c r="I24" i="3" s="1"/>
  <c r="J24" i="3" s="1"/>
  <c r="L24" i="3" s="1"/>
  <c r="I25" i="3" a="1"/>
  <c r="I25" i="3" s="1"/>
  <c r="J25" i="3" s="1"/>
  <c r="L25" i="3" s="1"/>
  <c r="I26" i="3" a="1"/>
  <c r="I26" i="3" s="1"/>
  <c r="J26" i="3" s="1"/>
  <c r="L26" i="3" s="1"/>
  <c r="I27" i="3" a="1"/>
  <c r="I27" i="3" s="1"/>
  <c r="J27" i="3" s="1"/>
  <c r="L27" i="3" s="1"/>
  <c r="I28" i="3" a="1"/>
  <c r="I28" i="3" s="1"/>
  <c r="J28" i="3" s="1"/>
  <c r="L28" i="3" s="1"/>
  <c r="I29" i="3" a="1"/>
  <c r="I29" i="3" s="1"/>
  <c r="J29" i="3" s="1"/>
  <c r="L29" i="3" s="1"/>
  <c r="I30" i="3" a="1"/>
  <c r="I30" i="3"/>
  <c r="J30" i="3" s="1"/>
  <c r="L30" i="3" s="1"/>
  <c r="I31" i="3" a="1"/>
  <c r="I31" i="3" s="1"/>
  <c r="J31" i="3" s="1"/>
  <c r="L31" i="3" s="1"/>
  <c r="I32" i="3" a="1"/>
  <c r="I32" i="3" s="1"/>
  <c r="J32" i="3" s="1"/>
  <c r="L32" i="3" s="1"/>
  <c r="I33" i="3" a="1"/>
  <c r="I33" i="3" s="1"/>
  <c r="J33" i="3" s="1"/>
  <c r="L33" i="3" s="1"/>
  <c r="I34" i="3" a="1"/>
  <c r="I34" i="3" s="1"/>
  <c r="J34" i="3" s="1"/>
  <c r="L34" i="3" s="1"/>
  <c r="I35" i="3" a="1"/>
  <c r="I35" i="3" s="1"/>
  <c r="J35" i="3" s="1"/>
  <c r="L35" i="3" s="1"/>
  <c r="I36" i="3" a="1"/>
  <c r="I36" i="3" s="1"/>
  <c r="J36" i="3" s="1"/>
  <c r="L36" i="3" s="1"/>
  <c r="I37" i="3" a="1"/>
  <c r="I37" i="3" s="1"/>
  <c r="J37" i="3" s="1"/>
  <c r="L37" i="3" s="1"/>
  <c r="I38" i="3" a="1"/>
  <c r="I38" i="3" s="1"/>
  <c r="J38" i="3" s="1"/>
  <c r="L38" i="3" s="1"/>
  <c r="I39" i="3" a="1"/>
  <c r="I39" i="3" s="1"/>
  <c r="J39" i="3" s="1"/>
  <c r="L39" i="3" s="1"/>
  <c r="I40" i="3" a="1"/>
  <c r="I40" i="3" s="1"/>
  <c r="J40" i="3" s="1"/>
  <c r="L40" i="3" s="1"/>
  <c r="I41" i="3" a="1"/>
  <c r="I41" i="3" s="1"/>
  <c r="J41" i="3" s="1"/>
  <c r="L41" i="3" s="1"/>
  <c r="I42" i="3" a="1"/>
  <c r="I42" i="3" s="1"/>
  <c r="J42" i="3" s="1"/>
  <c r="L42" i="3" s="1"/>
  <c r="I43" i="3" a="1"/>
  <c r="I43" i="3" s="1"/>
  <c r="J43" i="3" s="1"/>
  <c r="L43" i="3" s="1"/>
  <c r="I44" i="3" a="1"/>
  <c r="I44" i="3" s="1"/>
  <c r="J44" i="3" s="1"/>
  <c r="L44" i="3" s="1"/>
  <c r="I45" i="3" a="1"/>
  <c r="I45" i="3" s="1"/>
  <c r="J45" i="3" s="1"/>
  <c r="L45" i="3" s="1"/>
  <c r="I46" i="3" a="1"/>
  <c r="I46" i="3" s="1"/>
  <c r="J46" i="3" s="1"/>
  <c r="L46" i="3" s="1"/>
  <c r="I47" i="3" a="1"/>
  <c r="I47" i="3" s="1"/>
  <c r="J47" i="3" s="1"/>
  <c r="L47" i="3" s="1"/>
  <c r="I48" i="3" a="1"/>
  <c r="I48" i="3" s="1"/>
  <c r="J48" i="3" s="1"/>
  <c r="L48" i="3" s="1"/>
  <c r="I49" i="3" a="1"/>
  <c r="I49" i="3" s="1"/>
  <c r="J49" i="3" s="1"/>
  <c r="L49" i="3" s="1"/>
  <c r="I50" i="3" a="1"/>
  <c r="I50" i="3" s="1"/>
  <c r="J50" i="3" s="1"/>
  <c r="L50" i="3" s="1"/>
  <c r="I51" i="3" a="1"/>
  <c r="I51" i="3" s="1"/>
  <c r="J51" i="3" s="1"/>
  <c r="L51" i="3" s="1"/>
  <c r="I52" i="3" a="1"/>
  <c r="I52" i="3" s="1"/>
  <c r="J52" i="3" s="1"/>
  <c r="L52" i="3" s="1"/>
  <c r="I53" i="3" a="1"/>
  <c r="I53" i="3" s="1"/>
  <c r="J53" i="3" s="1"/>
  <c r="L53" i="3" s="1"/>
  <c r="I54" i="3" a="1"/>
  <c r="I54" i="3" s="1"/>
  <c r="J54" i="3" s="1"/>
  <c r="L54" i="3" s="1"/>
  <c r="I55" i="3" a="1"/>
  <c r="I55" i="3" s="1"/>
  <c r="J55" i="3" s="1"/>
  <c r="L55" i="3" s="1"/>
  <c r="I56" i="3" a="1"/>
  <c r="I56" i="3" s="1"/>
  <c r="J56" i="3" s="1"/>
  <c r="L56" i="3" s="1"/>
  <c r="I57" i="3" a="1"/>
  <c r="I57" i="3" s="1"/>
  <c r="J57" i="3" s="1"/>
  <c r="L57" i="3" s="1"/>
  <c r="I58" i="3" a="1"/>
  <c r="I58" i="3" s="1"/>
  <c r="J58" i="3" s="1"/>
  <c r="L58" i="3" s="1"/>
  <c r="I59" i="3" a="1"/>
  <c r="I59" i="3" s="1"/>
  <c r="J59" i="3" s="1"/>
  <c r="L59" i="3" s="1"/>
  <c r="I60" i="3" a="1"/>
  <c r="I60" i="3" s="1"/>
  <c r="J60" i="3" s="1"/>
  <c r="L60" i="3" s="1"/>
  <c r="I61" i="3" a="1"/>
  <c r="I61" i="3" s="1"/>
  <c r="J61" i="3" s="1"/>
  <c r="L61" i="3" s="1"/>
  <c r="I62" i="3" a="1"/>
  <c r="I62" i="3" s="1"/>
  <c r="J62" i="3" s="1"/>
  <c r="L62" i="3" s="1"/>
  <c r="I63" i="3" a="1"/>
  <c r="I63" i="3" s="1"/>
  <c r="J63" i="3" s="1"/>
  <c r="L63" i="3" s="1"/>
  <c r="I64" i="3" a="1"/>
  <c r="I64" i="3" s="1"/>
  <c r="J64" i="3" s="1"/>
  <c r="L64" i="3" s="1"/>
  <c r="I65" i="3" a="1"/>
  <c r="I65" i="3" s="1"/>
  <c r="J65" i="3" s="1"/>
  <c r="L65" i="3" s="1"/>
  <c r="I66" i="3" a="1"/>
  <c r="I66" i="3" s="1"/>
  <c r="J66" i="3" s="1"/>
  <c r="L66" i="3" s="1"/>
  <c r="I67" i="3" a="1"/>
  <c r="I67" i="3" s="1"/>
  <c r="J67" i="3" s="1"/>
  <c r="L67" i="3" s="1"/>
  <c r="I68" i="3" a="1"/>
  <c r="I68" i="3" s="1"/>
  <c r="J68" i="3" s="1"/>
  <c r="L68" i="3" s="1"/>
  <c r="I69" i="3" a="1"/>
  <c r="I69" i="3" s="1"/>
  <c r="J69" i="3" s="1"/>
  <c r="L69" i="3" s="1"/>
  <c r="I70" i="3" a="1"/>
  <c r="I70" i="3" s="1"/>
  <c r="J70" i="3" s="1"/>
  <c r="L70" i="3" s="1"/>
  <c r="I71" i="3" a="1"/>
  <c r="I71" i="3" s="1"/>
  <c r="J71" i="3" s="1"/>
  <c r="L71" i="3" s="1"/>
  <c r="I72" i="3" a="1"/>
  <c r="I72" i="3" s="1"/>
  <c r="J72" i="3" s="1"/>
  <c r="L72" i="3" s="1"/>
  <c r="I73" i="3" a="1"/>
  <c r="I73" i="3" s="1"/>
  <c r="J73" i="3" s="1"/>
  <c r="L73" i="3" s="1"/>
  <c r="I8" i="3" a="1"/>
  <c r="I8" i="3" s="1"/>
  <c r="J8" i="3" s="1"/>
  <c r="L8" i="3" s="1"/>
  <c r="I73" i="2" a="1"/>
  <c r="I73" i="2" s="1"/>
  <c r="J73" i="2" s="1"/>
  <c r="L73" i="2" s="1"/>
  <c r="I72" i="2" a="1"/>
  <c r="I72" i="2" s="1"/>
  <c r="J72" i="2" s="1"/>
  <c r="L72" i="2" s="1"/>
  <c r="I71" i="2" a="1"/>
  <c r="I71" i="2" s="1"/>
  <c r="J71" i="2" s="1"/>
  <c r="L71" i="2" s="1"/>
  <c r="I70" i="2" a="1"/>
  <c r="I70" i="2" s="1"/>
  <c r="J70" i="2" s="1"/>
  <c r="L70" i="2" s="1"/>
  <c r="I69" i="2" a="1"/>
  <c r="I69" i="2" s="1"/>
  <c r="J69" i="2" s="1"/>
  <c r="L69" i="2" s="1"/>
  <c r="I68" i="2" a="1"/>
  <c r="I68" i="2" s="1"/>
  <c r="J68" i="2" s="1"/>
  <c r="L68" i="2" s="1"/>
  <c r="I67" i="2" a="1"/>
  <c r="I67" i="2" s="1"/>
  <c r="J67" i="2" s="1"/>
  <c r="L67" i="2" s="1"/>
  <c r="I66" i="2" a="1"/>
  <c r="I66" i="2" s="1"/>
  <c r="J66" i="2" s="1"/>
  <c r="L66" i="2" s="1"/>
  <c r="I65" i="2" a="1"/>
  <c r="I65" i="2" s="1"/>
  <c r="J65" i="2" s="1"/>
  <c r="L65" i="2" s="1"/>
  <c r="I64" i="2" a="1"/>
  <c r="I64" i="2" s="1"/>
  <c r="J64" i="2" s="1"/>
  <c r="L64" i="2" s="1"/>
  <c r="I63" i="2" a="1"/>
  <c r="I63" i="2" s="1"/>
  <c r="J63" i="2" s="1"/>
  <c r="L63" i="2" s="1"/>
  <c r="I62" i="2"/>
  <c r="J62" i="2" s="1"/>
  <c r="L62" i="2" s="1"/>
  <c r="I62" i="2" a="1"/>
  <c r="I61" i="2" a="1"/>
  <c r="I61" i="2" s="1"/>
  <c r="J61" i="2" s="1"/>
  <c r="L61" i="2" s="1"/>
  <c r="I60" i="2" a="1"/>
  <c r="I60" i="2" s="1"/>
  <c r="J60" i="2" s="1"/>
  <c r="L60" i="2" s="1"/>
  <c r="I59" i="2" a="1"/>
  <c r="I59" i="2" s="1"/>
  <c r="J59" i="2" s="1"/>
  <c r="L59" i="2" s="1"/>
  <c r="I58" i="2" a="1"/>
  <c r="I58" i="2" s="1"/>
  <c r="J58" i="2" s="1"/>
  <c r="L58" i="2" s="1"/>
  <c r="I57" i="2" a="1"/>
  <c r="I57" i="2" s="1"/>
  <c r="J57" i="2" s="1"/>
  <c r="L57" i="2" s="1"/>
  <c r="I56" i="2" a="1"/>
  <c r="I56" i="2" s="1"/>
  <c r="J56" i="2" s="1"/>
  <c r="L56" i="2" s="1"/>
  <c r="I55" i="2" a="1"/>
  <c r="I55" i="2" s="1"/>
  <c r="J55" i="2" s="1"/>
  <c r="L55" i="2" s="1"/>
  <c r="I54" i="2" a="1"/>
  <c r="I54" i="2" s="1"/>
  <c r="J54" i="2" s="1"/>
  <c r="L54" i="2" s="1"/>
  <c r="I53" i="2" a="1"/>
  <c r="I53" i="2" s="1"/>
  <c r="J53" i="2" s="1"/>
  <c r="L53" i="2" s="1"/>
  <c r="I52" i="2" a="1"/>
  <c r="I52" i="2" s="1"/>
  <c r="J52" i="2" s="1"/>
  <c r="L52" i="2" s="1"/>
  <c r="I51" i="2" a="1"/>
  <c r="I51" i="2" s="1"/>
  <c r="J51" i="2" s="1"/>
  <c r="L51" i="2" s="1"/>
  <c r="I50" i="2" a="1"/>
  <c r="I50" i="2" s="1"/>
  <c r="J50" i="2" s="1"/>
  <c r="L50" i="2" s="1"/>
  <c r="I49" i="2" a="1"/>
  <c r="I49" i="2" s="1"/>
  <c r="J49" i="2" s="1"/>
  <c r="L49" i="2" s="1"/>
  <c r="I48" i="2" a="1"/>
  <c r="I48" i="2" s="1"/>
  <c r="J48" i="2" s="1"/>
  <c r="L48" i="2" s="1"/>
  <c r="I47" i="2" a="1"/>
  <c r="I47" i="2" s="1"/>
  <c r="J47" i="2" s="1"/>
  <c r="L47" i="2" s="1"/>
  <c r="I46" i="2" a="1"/>
  <c r="I46" i="2" s="1"/>
  <c r="J46" i="2" s="1"/>
  <c r="L46" i="2" s="1"/>
  <c r="I45" i="2" a="1"/>
  <c r="I45" i="2" s="1"/>
  <c r="J45" i="2" s="1"/>
  <c r="L45" i="2" s="1"/>
  <c r="I44" i="2" a="1"/>
  <c r="I44" i="2" s="1"/>
  <c r="J44" i="2" s="1"/>
  <c r="L44" i="2" s="1"/>
  <c r="I43" i="2" a="1"/>
  <c r="I43" i="2" s="1"/>
  <c r="J43" i="2" s="1"/>
  <c r="L43" i="2" s="1"/>
  <c r="I42" i="2" a="1"/>
  <c r="I42" i="2" s="1"/>
  <c r="J42" i="2" s="1"/>
  <c r="L42" i="2" s="1"/>
  <c r="I41" i="2" a="1"/>
  <c r="I41" i="2" s="1"/>
  <c r="J41" i="2" s="1"/>
  <c r="L41" i="2" s="1"/>
  <c r="I40" i="2" a="1"/>
  <c r="I40" i="2" s="1"/>
  <c r="J40" i="2" s="1"/>
  <c r="L40" i="2" s="1"/>
  <c r="I39" i="2" a="1"/>
  <c r="I39" i="2" s="1"/>
  <c r="J39" i="2" s="1"/>
  <c r="L39" i="2" s="1"/>
  <c r="I38" i="2"/>
  <c r="J38" i="2" s="1"/>
  <c r="L38" i="2" s="1"/>
  <c r="I38" i="2" a="1"/>
  <c r="I37" i="2" a="1"/>
  <c r="I37" i="2" s="1"/>
  <c r="J37" i="2" s="1"/>
  <c r="L37" i="2" s="1"/>
  <c r="I36" i="2" a="1"/>
  <c r="I36" i="2" s="1"/>
  <c r="J36" i="2" s="1"/>
  <c r="L36" i="2" s="1"/>
  <c r="I35" i="2" a="1"/>
  <c r="I35" i="2" s="1"/>
  <c r="J35" i="2" s="1"/>
  <c r="L35" i="2" s="1"/>
  <c r="I34" i="2" a="1"/>
  <c r="I34" i="2" s="1"/>
  <c r="J34" i="2" s="1"/>
  <c r="L34" i="2" s="1"/>
  <c r="I33" i="2" a="1"/>
  <c r="I33" i="2" s="1"/>
  <c r="J33" i="2" s="1"/>
  <c r="L33" i="2" s="1"/>
  <c r="I32" i="2" a="1"/>
  <c r="I32" i="2" s="1"/>
  <c r="J32" i="2" s="1"/>
  <c r="L32" i="2" s="1"/>
  <c r="I31" i="2" a="1"/>
  <c r="I31" i="2" s="1"/>
  <c r="J31" i="2" s="1"/>
  <c r="L31" i="2" s="1"/>
  <c r="I30" i="2" a="1"/>
  <c r="I30" i="2" s="1"/>
  <c r="J30" i="2" s="1"/>
  <c r="L30" i="2" s="1"/>
  <c r="I29" i="2" a="1"/>
  <c r="I29" i="2" s="1"/>
  <c r="J29" i="2" s="1"/>
  <c r="L29" i="2" s="1"/>
  <c r="I28" i="2" a="1"/>
  <c r="I28" i="2" s="1"/>
  <c r="J28" i="2" s="1"/>
  <c r="L28" i="2" s="1"/>
  <c r="I27" i="2" a="1"/>
  <c r="I27" i="2" s="1"/>
  <c r="J27" i="2" s="1"/>
  <c r="L27" i="2" s="1"/>
  <c r="I26" i="2" a="1"/>
  <c r="I26" i="2" s="1"/>
  <c r="J26" i="2" s="1"/>
  <c r="L26" i="2" s="1"/>
  <c r="I25" i="2" a="1"/>
  <c r="I25" i="2" s="1"/>
  <c r="J25" i="2" s="1"/>
  <c r="L25" i="2" s="1"/>
  <c r="I24" i="2" a="1"/>
  <c r="I24" i="2" s="1"/>
  <c r="J24" i="2" s="1"/>
  <c r="L24" i="2" s="1"/>
  <c r="I23" i="2" a="1"/>
  <c r="I23" i="2" s="1"/>
  <c r="J23" i="2" s="1"/>
  <c r="L23" i="2" s="1"/>
  <c r="I22" i="2" a="1"/>
  <c r="I22" i="2" s="1"/>
  <c r="J22" i="2" s="1"/>
  <c r="L22" i="2" s="1"/>
  <c r="I21" i="2" a="1"/>
  <c r="I21" i="2" s="1"/>
  <c r="J21" i="2" s="1"/>
  <c r="L21" i="2" s="1"/>
  <c r="I20" i="2" a="1"/>
  <c r="I20" i="2" s="1"/>
  <c r="J20" i="2" s="1"/>
  <c r="L20" i="2" s="1"/>
  <c r="I19" i="2" a="1"/>
  <c r="I19" i="2" s="1"/>
  <c r="J19" i="2" s="1"/>
  <c r="L19" i="2" s="1"/>
  <c r="I18" i="2" a="1"/>
  <c r="I18" i="2" s="1"/>
  <c r="J18" i="2" s="1"/>
  <c r="L18" i="2" s="1"/>
  <c r="I17" i="2" a="1"/>
  <c r="I17" i="2" s="1"/>
  <c r="J17" i="2" s="1"/>
  <c r="L17" i="2" s="1"/>
  <c r="I16" i="2" a="1"/>
  <c r="I16" i="2" s="1"/>
  <c r="J16" i="2" s="1"/>
  <c r="L16" i="2" s="1"/>
  <c r="I15" i="2" a="1"/>
  <c r="I15" i="2" s="1"/>
  <c r="J15" i="2" s="1"/>
  <c r="L15" i="2" s="1"/>
  <c r="I14" i="2" a="1"/>
  <c r="I14" i="2" s="1"/>
  <c r="J14" i="2" s="1"/>
  <c r="L14" i="2" s="1"/>
  <c r="I13" i="2" a="1"/>
  <c r="I13" i="2" s="1"/>
  <c r="J13" i="2" s="1"/>
  <c r="L13" i="2" s="1"/>
  <c r="I12" i="2" a="1"/>
  <c r="I12" i="2" s="1"/>
  <c r="J12" i="2" s="1"/>
  <c r="L12" i="2" s="1"/>
  <c r="I11" i="2" a="1"/>
  <c r="I11" i="2" s="1"/>
  <c r="J11" i="2" s="1"/>
  <c r="L11" i="2" s="1"/>
  <c r="I10" i="2" a="1"/>
  <c r="I10" i="2" s="1"/>
  <c r="J10" i="2" s="1"/>
  <c r="L10" i="2" s="1"/>
  <c r="I9" i="2" a="1"/>
  <c r="I9" i="2" s="1"/>
  <c r="J9" i="2" s="1"/>
  <c r="L9" i="2" s="1"/>
  <c r="I8" i="2" a="1"/>
  <c r="I8" i="2" s="1"/>
  <c r="J8" i="2" s="1"/>
  <c r="L8" i="2" s="1"/>
  <c r="I40" i="1" a="1"/>
  <c r="I40" i="1" s="1"/>
  <c r="J40" i="1" s="1"/>
  <c r="L40" i="1" s="1"/>
  <c r="I39" i="1" a="1"/>
  <c r="I39" i="1" s="1"/>
  <c r="J39" i="1" s="1"/>
  <c r="L39" i="1" s="1"/>
  <c r="I38" i="1" a="1"/>
  <c r="I38" i="1" s="1"/>
  <c r="J38" i="1" s="1"/>
  <c r="L38" i="1" s="1"/>
  <c r="I37" i="1" a="1"/>
  <c r="I37" i="1" s="1"/>
  <c r="J37" i="1" s="1"/>
  <c r="L37" i="1" s="1"/>
  <c r="I36" i="1" a="1"/>
  <c r="I36" i="1" s="1"/>
  <c r="J36" i="1" s="1"/>
  <c r="L36" i="1" s="1"/>
  <c r="I35" i="1" a="1"/>
  <c r="I35" i="1" s="1"/>
  <c r="J35" i="1" s="1"/>
  <c r="L35" i="1" s="1"/>
  <c r="I34" i="1" a="1"/>
  <c r="I34" i="1" s="1"/>
  <c r="J34" i="1" s="1"/>
  <c r="L34" i="1" s="1"/>
  <c r="I33" i="1" a="1"/>
  <c r="I33" i="1" s="1"/>
  <c r="J33" i="1" s="1"/>
  <c r="L33" i="1" s="1"/>
  <c r="I32" i="1" a="1"/>
  <c r="I32" i="1" s="1"/>
  <c r="J32" i="1" s="1"/>
  <c r="L32" i="1" s="1"/>
  <c r="I31" i="1" a="1"/>
  <c r="I31" i="1" s="1"/>
  <c r="J31" i="1" s="1"/>
  <c r="L31" i="1" s="1"/>
  <c r="I30" i="1" a="1"/>
  <c r="I30" i="1" s="1"/>
  <c r="J30" i="1" s="1"/>
  <c r="L30" i="1" s="1"/>
  <c r="I29" i="1" a="1"/>
  <c r="I29" i="1" s="1"/>
  <c r="J29" i="1" s="1"/>
  <c r="L29" i="1" s="1"/>
  <c r="I28" i="1" a="1"/>
  <c r="I28" i="1" s="1"/>
  <c r="J28" i="1" s="1"/>
  <c r="L28" i="1" s="1"/>
  <c r="I27" i="1" a="1"/>
  <c r="I27" i="1" s="1"/>
  <c r="J27" i="1" s="1"/>
  <c r="L27" i="1" s="1"/>
  <c r="I26" i="1" a="1"/>
  <c r="I26" i="1" s="1"/>
  <c r="J26" i="1" s="1"/>
  <c r="L26" i="1" s="1"/>
  <c r="I25" i="1" a="1"/>
  <c r="I25" i="1" s="1"/>
  <c r="J25" i="1" s="1"/>
  <c r="L25" i="1" s="1"/>
  <c r="I24" i="1" a="1"/>
  <c r="I24" i="1" s="1"/>
  <c r="J24" i="1" s="1"/>
  <c r="L24" i="1" s="1"/>
  <c r="I23" i="1" a="1"/>
  <c r="I23" i="1" s="1"/>
  <c r="J23" i="1" s="1"/>
  <c r="L23" i="1" s="1"/>
  <c r="I22" i="1" a="1"/>
  <c r="I22" i="1" s="1"/>
  <c r="J22" i="1" s="1"/>
  <c r="L22" i="1" s="1"/>
  <c r="I21" i="1" a="1"/>
  <c r="I21" i="1" s="1"/>
  <c r="J21" i="1" s="1"/>
  <c r="L21" i="1" s="1"/>
  <c r="I20" i="1" a="1"/>
  <c r="I20" i="1" s="1"/>
  <c r="J20" i="1" s="1"/>
  <c r="L20" i="1" s="1"/>
  <c r="I19" i="1" a="1"/>
  <c r="I19" i="1" s="1"/>
  <c r="J19" i="1" s="1"/>
  <c r="L19" i="1" s="1"/>
  <c r="I18" i="1" a="1"/>
  <c r="I18" i="1" s="1"/>
  <c r="J18" i="1" s="1"/>
  <c r="L18" i="1" s="1"/>
  <c r="I17" i="1" a="1"/>
  <c r="I17" i="1" s="1"/>
  <c r="J17" i="1" s="1"/>
  <c r="L17" i="1" s="1"/>
  <c r="I16" i="1" a="1"/>
  <c r="I16" i="1" s="1"/>
  <c r="J16" i="1" s="1"/>
  <c r="L16" i="1" s="1"/>
  <c r="I15" i="1" a="1"/>
  <c r="I15" i="1" s="1"/>
  <c r="J15" i="1" s="1"/>
  <c r="L15" i="1" s="1"/>
  <c r="I14" i="1" a="1"/>
  <c r="I14" i="1" s="1"/>
  <c r="J14" i="1" s="1"/>
  <c r="L14" i="1" s="1"/>
  <c r="I13" i="1" a="1"/>
  <c r="I13" i="1" s="1"/>
  <c r="J13" i="1" s="1"/>
  <c r="L13" i="1" s="1"/>
  <c r="I12" i="1" a="1"/>
  <c r="I12" i="1" s="1"/>
  <c r="J12" i="1" s="1"/>
  <c r="L12" i="1" s="1"/>
  <c r="I11" i="1" a="1"/>
  <c r="I11" i="1" s="1"/>
  <c r="J11" i="1" s="1"/>
  <c r="L11" i="1" s="1"/>
  <c r="I10" i="1" a="1"/>
  <c r="I10" i="1" s="1"/>
  <c r="J10" i="1" s="1"/>
  <c r="L10" i="1" s="1"/>
  <c r="I9" i="1" a="1"/>
  <c r="I9" i="1" s="1"/>
  <c r="J9" i="1" s="1"/>
  <c r="L9" i="1" s="1"/>
  <c r="I8" i="1" a="1"/>
  <c r="I8" i="1" s="1"/>
  <c r="J8" i="1" s="1"/>
  <c r="L8" i="1" s="1"/>
  <c r="I41" i="1" a="1"/>
  <c r="I41" i="1" s="1"/>
  <c r="J41" i="1" s="1"/>
  <c r="L41" i="1" s="1"/>
  <c r="I42" i="1" a="1"/>
  <c r="I42" i="1" s="1"/>
  <c r="J42" i="1" s="1"/>
  <c r="L42" i="1" s="1"/>
  <c r="I43" i="1" a="1"/>
  <c r="I43" i="1" s="1"/>
  <c r="J43" i="1" s="1"/>
  <c r="L43" i="1" s="1"/>
  <c r="I44" i="1" a="1"/>
  <c r="I44" i="1" s="1"/>
  <c r="J44" i="1" s="1"/>
  <c r="L44" i="1" s="1"/>
  <c r="I45" i="1" a="1"/>
  <c r="I45" i="1" s="1"/>
  <c r="J45" i="1" s="1"/>
  <c r="L45" i="1" s="1"/>
  <c r="I46" i="1" a="1"/>
  <c r="I46" i="1" s="1"/>
  <c r="J46" i="1" s="1"/>
  <c r="L46" i="1" s="1"/>
  <c r="I47" i="1" a="1"/>
  <c r="I47" i="1" s="1"/>
  <c r="J47" i="1" s="1"/>
  <c r="L47" i="1" s="1"/>
  <c r="I48" i="1" a="1"/>
  <c r="I48" i="1" s="1"/>
  <c r="J48" i="1" s="1"/>
  <c r="L48" i="1" s="1"/>
  <c r="I49" i="1" a="1"/>
  <c r="I49" i="1" s="1"/>
  <c r="J49" i="1" s="1"/>
  <c r="L49" i="1" s="1"/>
  <c r="I50" i="1" a="1"/>
  <c r="I50" i="1" s="1"/>
  <c r="J50" i="1" s="1"/>
  <c r="L50" i="1" s="1"/>
  <c r="I51" i="1" a="1"/>
  <c r="I51" i="1" s="1"/>
  <c r="J51" i="1" s="1"/>
  <c r="L51" i="1" s="1"/>
  <c r="I52" i="1" a="1"/>
  <c r="I52" i="1" s="1"/>
  <c r="J52" i="1" s="1"/>
  <c r="L52" i="1" s="1"/>
  <c r="I53" i="1" a="1"/>
  <c r="I53" i="1" s="1"/>
  <c r="J53" i="1" s="1"/>
  <c r="L53" i="1" s="1"/>
  <c r="I54" i="1" a="1"/>
  <c r="I54" i="1" s="1"/>
  <c r="J54" i="1" s="1"/>
  <c r="L54" i="1" s="1"/>
  <c r="I55" i="1" a="1"/>
  <c r="I55" i="1" s="1"/>
  <c r="J55" i="1" s="1"/>
  <c r="L55" i="1" s="1"/>
  <c r="I56" i="1" a="1"/>
  <c r="I56" i="1" s="1"/>
  <c r="J56" i="1" s="1"/>
  <c r="L56" i="1" s="1"/>
  <c r="I57" i="1" a="1"/>
  <c r="I57" i="1" s="1"/>
  <c r="J57" i="1" s="1"/>
  <c r="L57" i="1" s="1"/>
  <c r="I58" i="1" a="1"/>
  <c r="I58" i="1" s="1"/>
  <c r="J58" i="1" s="1"/>
  <c r="L58" i="1" s="1"/>
  <c r="I59" i="1" a="1"/>
  <c r="I59" i="1" s="1"/>
  <c r="J59" i="1" s="1"/>
  <c r="L59" i="1" s="1"/>
  <c r="I60" i="1" a="1"/>
  <c r="I60" i="1" s="1"/>
  <c r="J60" i="1" s="1"/>
  <c r="L60" i="1" s="1"/>
  <c r="I61" i="1" a="1"/>
  <c r="I61" i="1" s="1"/>
  <c r="J61" i="1" s="1"/>
  <c r="L61" i="1" s="1"/>
  <c r="I62" i="1" a="1"/>
  <c r="I62" i="1" s="1"/>
  <c r="J62" i="1" s="1"/>
  <c r="L62" i="1" s="1"/>
  <c r="I63" i="1" a="1"/>
  <c r="I63" i="1" s="1"/>
  <c r="J63" i="1" s="1"/>
  <c r="L63" i="1" s="1"/>
  <c r="I64" i="1" a="1"/>
  <c r="I64" i="1" s="1"/>
  <c r="J64" i="1" s="1"/>
  <c r="L64" i="1" s="1"/>
  <c r="I65" i="1" a="1"/>
  <c r="I65" i="1" s="1"/>
  <c r="J65" i="1" s="1"/>
  <c r="L65" i="1" s="1"/>
  <c r="I66" i="1" a="1"/>
  <c r="I66" i="1" s="1"/>
  <c r="J66" i="1" s="1"/>
  <c r="L66" i="1" s="1"/>
  <c r="I67" i="1" a="1"/>
  <c r="I67" i="1" s="1"/>
  <c r="J67" i="1" s="1"/>
  <c r="L67" i="1" s="1"/>
  <c r="I68" i="1" a="1"/>
  <c r="I68" i="1" s="1"/>
  <c r="J68" i="1" s="1"/>
  <c r="L68" i="1" s="1"/>
  <c r="I69" i="1" a="1"/>
  <c r="I69" i="1" s="1"/>
  <c r="J69" i="1" s="1"/>
  <c r="L69" i="1" s="1"/>
  <c r="I70" i="1" a="1"/>
  <c r="I70" i="1" s="1"/>
  <c r="J70" i="1" s="1"/>
  <c r="L70" i="1" s="1"/>
  <c r="I71" i="1" a="1"/>
  <c r="I71" i="1" s="1"/>
  <c r="J71" i="1" s="1"/>
  <c r="L71" i="1" s="1"/>
  <c r="I72" i="1" a="1"/>
  <c r="I72" i="1" s="1"/>
  <c r="J72" i="1" s="1"/>
  <c r="L72" i="1" s="1"/>
  <c r="I73" i="1" a="1"/>
  <c r="I73" i="1" s="1"/>
  <c r="J73" i="1" s="1"/>
  <c r="L7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<sst xmlns="http://schemas.openxmlformats.org/spreadsheetml/2006/main" count="1944" uniqueCount="263">
  <si>
    <t xml:space="preserve">Quantify Compound Summary Report </t>
  </si>
  <si>
    <t>Name</t>
  </si>
  <si>
    <t>Sample Text</t>
  </si>
  <si>
    <t>Type</t>
  </si>
  <si>
    <t>Vial</t>
  </si>
  <si>
    <t>RT</t>
  </si>
  <si>
    <t>Area</t>
  </si>
  <si>
    <t>Response</t>
  </si>
  <si>
    <t>Std. Conc</t>
  </si>
  <si>
    <t>ng/mL</t>
  </si>
  <si>
    <t>%Dev</t>
  </si>
  <si>
    <t>S/N</t>
  </si>
  <si>
    <t>Standard</t>
  </si>
  <si>
    <t>1:A,3</t>
  </si>
  <si>
    <t>1:A,4</t>
  </si>
  <si>
    <t>1:A,5</t>
  </si>
  <si>
    <t>1:A,6</t>
  </si>
  <si>
    <t>1:A,7</t>
  </si>
  <si>
    <t>1:A,8</t>
  </si>
  <si>
    <t>1:B,1</t>
  </si>
  <si>
    <t>1:B,2</t>
  </si>
  <si>
    <t>Analyte</t>
  </si>
  <si>
    <t>1:B,3</t>
  </si>
  <si>
    <t>1:B,4</t>
  </si>
  <si>
    <t>1:B,5</t>
  </si>
  <si>
    <t>1:B,6</t>
  </si>
  <si>
    <t>1:B,7</t>
  </si>
  <si>
    <t>1:B,8</t>
  </si>
  <si>
    <t>1:C,1</t>
  </si>
  <si>
    <t>1:C,2</t>
  </si>
  <si>
    <t>1:C,3</t>
  </si>
  <si>
    <t>1:C,4</t>
  </si>
  <si>
    <t>1:C,5</t>
  </si>
  <si>
    <t>1:C,6</t>
  </si>
  <si>
    <t>1:C,7</t>
  </si>
  <si>
    <t>1:C,8</t>
  </si>
  <si>
    <t>1:D,1</t>
  </si>
  <si>
    <t>1:D,2</t>
  </si>
  <si>
    <t>1:D,3</t>
  </si>
  <si>
    <t>2:A,1</t>
  </si>
  <si>
    <t>2:A,2</t>
  </si>
  <si>
    <t>2:A,3</t>
  </si>
  <si>
    <t>2:A,4</t>
  </si>
  <si>
    <t>2:A,5</t>
  </si>
  <si>
    <t>2:A,6</t>
  </si>
  <si>
    <t>2:A,7</t>
  </si>
  <si>
    <t>2:A,8</t>
  </si>
  <si>
    <t>2:B,1</t>
  </si>
  <si>
    <t>2:B,2</t>
  </si>
  <si>
    <t>2:B,3</t>
  </si>
  <si>
    <t>2:B,4</t>
  </si>
  <si>
    <t>2:B,5</t>
  </si>
  <si>
    <t>2:B,6</t>
  </si>
  <si>
    <t>2:B,7</t>
  </si>
  <si>
    <t>2:B,8</t>
  </si>
  <si>
    <t>2:C,1</t>
  </si>
  <si>
    <t>2:C,2</t>
  </si>
  <si>
    <t>2:C,3</t>
  </si>
  <si>
    <t>2:C,4</t>
  </si>
  <si>
    <t>2:C,5</t>
  </si>
  <si>
    <t>2:C,6</t>
  </si>
  <si>
    <t>Compound 3:  C20FA-d3 (1)</t>
  </si>
  <si>
    <t>FA STDmix 6 10 ppb</t>
  </si>
  <si>
    <t>FA STDmix 6 20 ppb</t>
  </si>
  <si>
    <t>FA STDmix 6 50 ppb</t>
  </si>
  <si>
    <t>FA STDmix 6 100 ppb</t>
  </si>
  <si>
    <t>FA STDmix 6 200 ppb</t>
  </si>
  <si>
    <t>FA STDmix 6 500 ppb</t>
  </si>
  <si>
    <t>FA STDmix 6 1000 ppb</t>
  </si>
  <si>
    <t>Compound 4:  C22FA-d3 (1)</t>
  </si>
  <si>
    <t>Compound 5:  C24FA-d4 (1)</t>
  </si>
  <si>
    <t>Compound 6:  C26FA-d4 (1)</t>
  </si>
  <si>
    <t>Compound 7:  C28FA (1)</t>
  </si>
  <si>
    <t>Compound 8:  C30FA (1)</t>
  </si>
  <si>
    <t>Compound 1:  C20FA (1)</t>
  </si>
  <si>
    <t>2:C,7</t>
  </si>
  <si>
    <t>2:C,8</t>
  </si>
  <si>
    <t>2:D,1</t>
  </si>
  <si>
    <t>2:D,2</t>
  </si>
  <si>
    <t>2:D,3</t>
  </si>
  <si>
    <t>2:D,4</t>
  </si>
  <si>
    <t>2:D,5</t>
  </si>
  <si>
    <t>2:D,6</t>
  </si>
  <si>
    <t>2:D,7</t>
  </si>
  <si>
    <t>2:D,8</t>
  </si>
  <si>
    <t>2:E,1</t>
  </si>
  <si>
    <t>2:E,2</t>
  </si>
  <si>
    <t>2:E,3</t>
  </si>
  <si>
    <t>2:E,4</t>
  </si>
  <si>
    <t>2:E,5</t>
  </si>
  <si>
    <t>2:E,6</t>
  </si>
  <si>
    <t>2:E,7</t>
  </si>
  <si>
    <t>2:E,8</t>
  </si>
  <si>
    <t>2:F,1</t>
  </si>
  <si>
    <t>2:F,2</t>
  </si>
  <si>
    <t>2:F,3</t>
  </si>
  <si>
    <t>2:F,4</t>
  </si>
  <si>
    <t>2:F,5</t>
  </si>
  <si>
    <t>2:F,6</t>
  </si>
  <si>
    <t>2:F,7</t>
  </si>
  <si>
    <t>2:F,8</t>
  </si>
  <si>
    <t>Compound 2:  C22FA (1)</t>
  </si>
  <si>
    <t>Compound 3:  C24FA (1)</t>
  </si>
  <si>
    <t>Compound 4:  C26FA (1)</t>
  </si>
  <si>
    <t>Compound 5:  C28FA (1)</t>
  </si>
  <si>
    <t>Compound 6:  C30FA (1)</t>
  </si>
  <si>
    <t>V1_S1</t>
  </si>
  <si>
    <t>V1_S2</t>
  </si>
  <si>
    <t>V1_S3</t>
  </si>
  <si>
    <t>V1_S4</t>
  </si>
  <si>
    <t>V1_S5</t>
  </si>
  <si>
    <t>V1_S6</t>
  </si>
  <si>
    <t>V1_S7</t>
  </si>
  <si>
    <t>V1_S8</t>
  </si>
  <si>
    <t>V1_S9</t>
  </si>
  <si>
    <t>V1_S10</t>
  </si>
  <si>
    <t>V1_S11</t>
  </si>
  <si>
    <t>V1_S12</t>
  </si>
  <si>
    <t>V1_S13</t>
  </si>
  <si>
    <t>V1_S14</t>
  </si>
  <si>
    <t>V1_S15</t>
  </si>
  <si>
    <t>V1_S16</t>
  </si>
  <si>
    <t>V1_S17</t>
  </si>
  <si>
    <t>V1_S18</t>
  </si>
  <si>
    <t>V1_S19</t>
  </si>
  <si>
    <t>V1_S20</t>
  </si>
  <si>
    <t>V1_S21</t>
  </si>
  <si>
    <t>V1_S22</t>
  </si>
  <si>
    <t>V1_S23</t>
  </si>
  <si>
    <t>V1_S24</t>
  </si>
  <si>
    <t>V1_S25</t>
  </si>
  <si>
    <t>V1_S26</t>
  </si>
  <si>
    <t>V1_S27</t>
  </si>
  <si>
    <t>V1_S28</t>
  </si>
  <si>
    <t>V1_S29</t>
  </si>
  <si>
    <t>V1_S30</t>
  </si>
  <si>
    <t>V1_S31</t>
  </si>
  <si>
    <t>V1_S32</t>
  </si>
  <si>
    <t>V1_S33</t>
  </si>
  <si>
    <t>V2_S1</t>
  </si>
  <si>
    <t>V2_S2</t>
  </si>
  <si>
    <t>V2_S3</t>
  </si>
  <si>
    <t>V2_S4</t>
  </si>
  <si>
    <t>V2_S5</t>
  </si>
  <si>
    <t>V2_S6</t>
  </si>
  <si>
    <t>V2_S7</t>
  </si>
  <si>
    <t>V2_S8</t>
  </si>
  <si>
    <t>V2_S9</t>
  </si>
  <si>
    <t>V2_S10</t>
  </si>
  <si>
    <t>V2_S11</t>
  </si>
  <si>
    <t>V2_S12</t>
  </si>
  <si>
    <t>V2_S13</t>
  </si>
  <si>
    <t>V2_S14</t>
  </si>
  <si>
    <t>V2_S15</t>
  </si>
  <si>
    <t>V2_S16</t>
  </si>
  <si>
    <t>V2_S17</t>
  </si>
  <si>
    <t>V2_S18</t>
  </si>
  <si>
    <t>V2_S19</t>
  </si>
  <si>
    <t>V2_S20</t>
  </si>
  <si>
    <t>V2_S21</t>
  </si>
  <si>
    <t>V2_S22</t>
  </si>
  <si>
    <t>V2_S23</t>
  </si>
  <si>
    <t>V2_S24</t>
  </si>
  <si>
    <t>V2_S25</t>
  </si>
  <si>
    <t>V2_S26</t>
  </si>
  <si>
    <t>V2_S27</t>
  </si>
  <si>
    <t>V2_S28</t>
  </si>
  <si>
    <t>V2_S29</t>
  </si>
  <si>
    <t>V2_S30</t>
  </si>
  <si>
    <t>V2_S31</t>
  </si>
  <si>
    <t>V2_S32</t>
  </si>
  <si>
    <t>V2_S33</t>
  </si>
  <si>
    <t>Cicca B5_SC_FA_251014_034</t>
  </si>
  <si>
    <t>Cicca B5_SC_FA_251014_035</t>
  </si>
  <si>
    <t>Cicca B5_SC_FA_251014_036</t>
  </si>
  <si>
    <t>Cicca B5_SC_FA_251014_037</t>
  </si>
  <si>
    <t>Cicca B5_SC_FA_251014_038</t>
  </si>
  <si>
    <t>Cicca B5_SC_FA_251014_039</t>
  </si>
  <si>
    <t>Cicca B5_SC_FA_251014_040</t>
  </si>
  <si>
    <t>Cicca B5_SC_FA_251014_041</t>
  </si>
  <si>
    <t>Cicca B5_SC_FA_251014_042</t>
  </si>
  <si>
    <t>Cicca B5_SC_FA_251014_043</t>
  </si>
  <si>
    <t>Cicca B5_SC_FA_251014_044</t>
  </si>
  <si>
    <t>Cicca B5_SC_FA_251014_045</t>
  </si>
  <si>
    <t>Cicca B5_SC_FA_251014_046</t>
  </si>
  <si>
    <t>Cicca B5_SC_FA_251014_047</t>
  </si>
  <si>
    <t>Cicca B5_SC_FA_251014_048</t>
  </si>
  <si>
    <t>Cicca B5_SC_FA_251014_049</t>
  </si>
  <si>
    <t>Cicca B5_SC_FA_251014_050</t>
  </si>
  <si>
    <t>Cicca B5_SC_FA_251014_051</t>
  </si>
  <si>
    <t>Cicca B5_SC_FA_251014_052</t>
  </si>
  <si>
    <t>Cicca B5_SC_FA_251014_053</t>
  </si>
  <si>
    <t>Cicca B5_SC_FA_251014_054</t>
  </si>
  <si>
    <t>Cicca B5_SC_FA_251014_055</t>
  </si>
  <si>
    <t>Cicca B5_SC_FA_251014_056</t>
  </si>
  <si>
    <t>Cicca B5_SC_FA_251014_057</t>
  </si>
  <si>
    <t>Cicca B5_SC_FA_251014_058</t>
  </si>
  <si>
    <t>Cicca B5_SC_FA_251014_059</t>
  </si>
  <si>
    <t>Cicca B5_SC_FA_251014_060</t>
  </si>
  <si>
    <t>Cicca B5_SC_FA_251014_061</t>
  </si>
  <si>
    <t>Cicca B5_SC_FA_251014_062</t>
  </si>
  <si>
    <t>Cicca B5_SC_FA_251014_063</t>
  </si>
  <si>
    <t>Cicca B5_SC_FA_251014_064</t>
  </si>
  <si>
    <t>Cicca B5_SC_FA_251014_065</t>
  </si>
  <si>
    <t>Cicca B5_SC_FA_251014_066</t>
  </si>
  <si>
    <t>Printed Wed Oct 15 08:09:34 2025</t>
  </si>
  <si>
    <t>FA std_2_251014_001</t>
  </si>
  <si>
    <t>FA STDmix 6 5 ppb</t>
  </si>
  <si>
    <t>1:A,2</t>
  </si>
  <si>
    <t>FA std_2_251014_002</t>
  </si>
  <si>
    <t>FA std_2_251014_003</t>
  </si>
  <si>
    <t>FA std_2_251014_004</t>
  </si>
  <si>
    <t>FA std_2_251014_005</t>
  </si>
  <si>
    <t>FA std_2_251014_006</t>
  </si>
  <si>
    <t>FA std_2_251014_007</t>
  </si>
  <si>
    <t>FA std_2_251014_008</t>
  </si>
  <si>
    <t>Printed Wed Oct 15 08:09:57 2025</t>
  </si>
  <si>
    <t>Printed Wed Oct 15 08:10:09 2025</t>
  </si>
  <si>
    <t>Printed Wed Oct 15 08:10:29 2025</t>
  </si>
  <si>
    <t>Printed Wed Oct 15 08:10:42 2025</t>
  </si>
  <si>
    <t>Printed Wed Oct 15 08:10:57 2025</t>
  </si>
  <si>
    <t>Cicca B5_SC_FA_251015_001</t>
  </si>
  <si>
    <t>Cicca B5_SC_FA_251015_002</t>
  </si>
  <si>
    <t>Cicca B5_SC_FA_251015_003</t>
  </si>
  <si>
    <t>Cicca B5_SC_FA_251015_004</t>
  </si>
  <si>
    <t>Cicca B5_SC_FA_251015_005</t>
  </si>
  <si>
    <t>Cicca B5_SC_FA_251015_006</t>
  </si>
  <si>
    <t>Cicca B5_SC_FA_251015_007</t>
  </si>
  <si>
    <t>Cicca B5_SC_FA_251015_008</t>
  </si>
  <si>
    <t>Cicca B5_SC_FA_251015_009</t>
  </si>
  <si>
    <t>Cicca B5_SC_FA_251015_010</t>
  </si>
  <si>
    <t>Cicca B5_SC_FA_251015_011</t>
  </si>
  <si>
    <t>Cicca B5_SC_FA_251015_012</t>
  </si>
  <si>
    <t>Cicca B5_SC_FA_251015_013</t>
  </si>
  <si>
    <t>Cicca B5_SC_FA_251015_014</t>
  </si>
  <si>
    <t>Cicca B5_SC_FA_251015_015</t>
  </si>
  <si>
    <t>Cicca B5_SC_FA_251015_016</t>
  </si>
  <si>
    <t>Cicca B5_SC_FA_251015_017</t>
  </si>
  <si>
    <t>Cicca B5_SC_FA_251015_018</t>
  </si>
  <si>
    <t>Cicca B5_SC_FA_251015_019</t>
  </si>
  <si>
    <t>Cicca B5_SC_FA_251015_020</t>
  </si>
  <si>
    <t>Cicca B5_SC_FA_251015_021</t>
  </si>
  <si>
    <t>Cicca B5_SC_FA_251015_022</t>
  </si>
  <si>
    <t>Cicca B5_SC_FA_251015_023</t>
  </si>
  <si>
    <t>Cicca B5_SC_FA_251015_024</t>
  </si>
  <si>
    <t>Cicca B5_SC_FA_251015_025</t>
  </si>
  <si>
    <t>Cicca B5_SC_FA_251015_026</t>
  </si>
  <si>
    <t>Cicca B5_SC_FA_251015_027</t>
  </si>
  <si>
    <t>Cicca B5_SC_FA_251015_028</t>
  </si>
  <si>
    <t>Cicca B5_SC_FA_251015_029</t>
  </si>
  <si>
    <t>Cicca B5_SC_FA_251015_030</t>
  </si>
  <si>
    <t>Cicca B5_SC_FA_251015_031</t>
  </si>
  <si>
    <t>Cicca B5_SC_FA_251015_032</t>
  </si>
  <si>
    <t>Cicca B5_SC_FA_251015_033</t>
  </si>
  <si>
    <t>Printed Wed Oct 15 14:58:08 2025</t>
  </si>
  <si>
    <t>Printed Wed Oct 15 14:58:22 2025</t>
  </si>
  <si>
    <t>Printed Wed Oct 15 14:58:37 2025</t>
  </si>
  <si>
    <t>Printed Wed Oct 15 14:58:51 2025</t>
  </si>
  <si>
    <t>Printed Wed Oct 15 14:59:07 2025</t>
  </si>
  <si>
    <t>Printed Wed Oct 15 14:59:20 2025</t>
  </si>
  <si>
    <t xml:space="preserve">희석배수 </t>
    <phoneticPr fontId="1" type="noConversion"/>
  </si>
  <si>
    <t>protein(mg/mL)</t>
    <phoneticPr fontId="1" type="noConversion"/>
  </si>
  <si>
    <t>ng/mg protein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</si>
</sst>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2" fillId="0" borderId="0" xfId="0" applyFont="1"/>
    <xf numFmtId="0" fontId="2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22782407407407407"/>
          <c:w val="0.85219685039370074"/>
          <c:h val="0.6879246864975211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'C20FA'!$X$8:$X$15</c:f>
              <c:numCache>
                <c:formatCode>General</c:formatCode>
                <c:ptCount val="8"/>
                <c:pt idx="0">
                  <c:v>41458.938000000002</c:v>
                </c:pt>
                <c:pt idx="1">
                  <c:v>88237.57</c:v>
                </c:pt>
                <c:pt idx="2">
                  <c:v>159213.125</c:v>
                </c:pt>
                <c:pt idx="3">
                  <c:v>377967.06300000002</c:v>
                </c:pt>
                <c:pt idx="4">
                  <c:v>793033.06299999997</c:v>
                </c:pt>
                <c:pt idx="5">
                  <c:v>1277712.125</c:v>
                </c:pt>
                <c:pt idx="6">
                  <c:v>3332339.25</c:v>
                </c:pt>
                <c:pt idx="7">
                  <c:v>5905858</c:v>
                </c:pt>
              </c:numCache>
            </c:numRef>
          </c:xVal>
          <c:yVal>
            <c:numRef>
              <c:f>'C20FA'!$Y$8:$Y$15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  <c:pt idx="7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D-4B81-8009-E8A501E4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04639"/>
        <c:axId val="522949071"/>
      </c:scatterChart>
      <c:valAx>
        <c:axId val="52470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49071"/>
        <c:crosses val="autoZero"/>
        <c:crossBetween val="midCat"/>
      </c:valAx>
      <c:valAx>
        <c:axId val="52294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0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'C22FA'!$X$8:$X$15</c:f>
              <c:numCache>
                <c:formatCode>General</c:formatCode>
                <c:ptCount val="8"/>
                <c:pt idx="0">
                  <c:v>41874.961000000003</c:v>
                </c:pt>
                <c:pt idx="1">
                  <c:v>85934.077999999994</c:v>
                </c:pt>
                <c:pt idx="2">
                  <c:v>172367.45300000001</c:v>
                </c:pt>
                <c:pt idx="3">
                  <c:v>393091.75</c:v>
                </c:pt>
                <c:pt idx="4">
                  <c:v>824292.5</c:v>
                </c:pt>
                <c:pt idx="5">
                  <c:v>1376796.25</c:v>
                </c:pt>
                <c:pt idx="6">
                  <c:v>3329929</c:v>
                </c:pt>
                <c:pt idx="7">
                  <c:v>5952291.5</c:v>
                </c:pt>
              </c:numCache>
            </c:numRef>
          </c:xVal>
          <c:yVal>
            <c:numRef>
              <c:f>'C22FA'!$Y$8:$Y$15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  <c:pt idx="7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A-424B-8D62-80003CF59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51743"/>
        <c:axId val="527412783"/>
      </c:scatterChart>
      <c:valAx>
        <c:axId val="15825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12783"/>
        <c:crosses val="autoZero"/>
        <c:crossBetween val="midCat"/>
      </c:valAx>
      <c:valAx>
        <c:axId val="527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114300</xdr:colOff>
      <xdr:row>16</xdr:row>
      <xdr:rowOff>180975</xdr:rowOff>
    </xdr:from>
    <xdr:to>
      <xdr:col>27</xdr:col>
      <xdr:colOff>495300</xdr:colOff>
      <xdr:row>31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4994B9-A7EE-D870-BA9A-8B692FCA8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457200</xdr:colOff>
      <xdr:row>16</xdr:row>
      <xdr:rowOff>76200</xdr:rowOff>
    </xdr:from>
    <xdr:to>
      <xdr:col>24</xdr:col>
      <xdr:colOff>152400</xdr:colOff>
      <xdr:row>30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D5DC1E5-B50E-B5A6-8446-7E9741564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2A52-20BE-48D7-9EBE-EDD5254E6ECF}">
  <dimension ref="A1:AB73"/>
  <sheetViews>
    <sheetView workbookViewId="0">
      <selection activeCell="O22" sqref="O22"/>
    </sheetView>
  </sheetViews>
  <sheetFormatPr defaultRowHeight="16.5" x14ac:dyDescent="0.3"/>
  <cols>
    <col min="2" max="2" width="21.125" customWidth="1"/>
    <col min="3" max="3" width="17" bestFit="1" customWidth="1"/>
    <col min="12" max="12" width="16" customWidth="1"/>
  </cols>
  <sheetData>
    <row r="1" spans="1:28" x14ac:dyDescent="0.3">
      <c r="A1" t="s">
        <v>0</v>
      </c>
      <c r="Q1" t="s">
        <v>0</v>
      </c>
    </row>
    <row r="3" spans="1:28" x14ac:dyDescent="0.3">
      <c r="A3" t="s">
        <v>254</v>
      </c>
      <c r="Q3" t="s">
        <v>205</v>
      </c>
    </row>
    <row r="5" spans="1:28" x14ac:dyDescent="0.3">
      <c r="A5" t="s">
        <v>74</v>
      </c>
      <c r="Q5" t="s">
        <v>61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9</v>
      </c>
      <c r="J7" t="s">
        <v>260</v>
      </c>
      <c r="K7" t="s">
        <v>261</v>
      </c>
      <c r="L7" s="1" t="s">
        <v>262</v>
      </c>
      <c r="R7" t="s">
        <v>1</v>
      </c>
      <c r="S7" t="s">
        <v>2</v>
      </c>
      <c r="T7" t="s">
        <v>3</v>
      </c>
      <c r="U7" t="s">
        <v>4</v>
      </c>
      <c r="V7" t="s">
        <v>5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B7" t="s">
        <v>11</v>
      </c>
    </row>
    <row r="8" spans="1:28" x14ac:dyDescent="0.3">
      <c r="A8">
        <v>1</v>
      </c>
      <c r="B8" t="s">
        <v>221</v>
      </c>
      <c r="C8" t="s">
        <v>106</v>
      </c>
      <c r="D8" t="s">
        <v>21</v>
      </c>
      <c r="E8" t="s">
        <v>39</v>
      </c>
      <c r="F8">
        <v>3.27</v>
      </c>
      <c r="G8">
        <v>655865</v>
      </c>
      <c r="H8">
        <v>655865.125</v>
      </c>
      <c r="I8" cm="1">
        <f t="array" ref="I8">TREND($Y$8:$Y$14,$W$8:$W$14,H8)</f>
        <v>94.361454093088213</v>
      </c>
      <c r="J8">
        <f>I8/(2/0.2)*3</f>
        <v>28.308436227926464</v>
      </c>
      <c r="K8">
        <v>0.14813140740266978</v>
      </c>
      <c r="L8" s="2">
        <f>J8/K8</f>
        <v>191.10353924454955</v>
      </c>
      <c r="Q8">
        <v>1</v>
      </c>
      <c r="R8" t="s">
        <v>206</v>
      </c>
      <c r="S8" t="s">
        <v>207</v>
      </c>
      <c r="T8" t="s">
        <v>12</v>
      </c>
      <c r="U8" t="s">
        <v>208</v>
      </c>
      <c r="V8">
        <v>3.28</v>
      </c>
      <c r="W8">
        <v>41459</v>
      </c>
      <c r="X8">
        <v>41458.938000000002</v>
      </c>
      <c r="Y8">
        <v>5</v>
      </c>
      <c r="Z8">
        <v>4.7610000000000001</v>
      </c>
      <c r="AA8">
        <v>-4.8</v>
      </c>
      <c r="AB8">
        <v>88</v>
      </c>
    </row>
    <row r="9" spans="1:28" x14ac:dyDescent="0.3">
      <c r="A9">
        <v>2</v>
      </c>
      <c r="B9" t="s">
        <v>222</v>
      </c>
      <c r="C9" t="s">
        <v>107</v>
      </c>
      <c r="D9" t="s">
        <v>21</v>
      </c>
      <c r="E9" t="s">
        <v>40</v>
      </c>
      <c r="F9">
        <v>3.26</v>
      </c>
      <c r="G9">
        <v>367052</v>
      </c>
      <c r="H9">
        <v>367051.68800000002</v>
      </c>
      <c r="I9" cm="1">
        <f t="array" ref="I9">TREND($Y$8:$Y$14,$W$8:$W$14,H9)</f>
        <v>50.525037875109149</v>
      </c>
      <c r="J9">
        <f t="shared" ref="J9:J72" si="0">I9/(2/0.2)*3</f>
        <v>15.157511362532745</v>
      </c>
      <c r="K9">
        <v>0.11673675431760691</v>
      </c>
      <c r="L9" s="2">
        <f t="shared" ref="L9:L72" si="1">J9/K9</f>
        <v>129.8435223005562</v>
      </c>
      <c r="Q9">
        <v>2</v>
      </c>
      <c r="R9" t="s">
        <v>209</v>
      </c>
      <c r="S9" t="s">
        <v>62</v>
      </c>
      <c r="T9" t="s">
        <v>12</v>
      </c>
      <c r="U9" t="s">
        <v>13</v>
      </c>
      <c r="V9">
        <v>3.27</v>
      </c>
      <c r="W9">
        <v>88238</v>
      </c>
      <c r="X9">
        <v>88237.57</v>
      </c>
      <c r="Y9">
        <v>10</v>
      </c>
      <c r="Z9">
        <v>10.912000000000001</v>
      </c>
      <c r="AA9">
        <v>9.1</v>
      </c>
      <c r="AB9">
        <v>160</v>
      </c>
    </row>
    <row r="10" spans="1:28" x14ac:dyDescent="0.3">
      <c r="A10">
        <v>3</v>
      </c>
      <c r="B10" t="s">
        <v>223</v>
      </c>
      <c r="C10" t="s">
        <v>108</v>
      </c>
      <c r="D10" t="s">
        <v>21</v>
      </c>
      <c r="E10" t="s">
        <v>41</v>
      </c>
      <c r="F10">
        <v>3.26</v>
      </c>
      <c r="G10">
        <v>1124660</v>
      </c>
      <c r="H10">
        <v>1124660.25</v>
      </c>
      <c r="I10" cm="1">
        <f t="array" ref="I10">TREND($Y$8:$Y$14,$W$8:$W$14,H10)</f>
        <v>165.51568581416814</v>
      </c>
      <c r="J10">
        <f t="shared" si="0"/>
        <v>49.654705744250435</v>
      </c>
      <c r="K10">
        <v>8.6147092337289247E-2</v>
      </c>
      <c r="L10" s="2">
        <f t="shared" si="1"/>
        <v>576.39444811252349</v>
      </c>
      <c r="Q10">
        <v>3</v>
      </c>
      <c r="R10" t="s">
        <v>210</v>
      </c>
      <c r="S10" t="s">
        <v>63</v>
      </c>
      <c r="T10" t="s">
        <v>12</v>
      </c>
      <c r="U10" t="s">
        <v>14</v>
      </c>
      <c r="V10">
        <v>3.27</v>
      </c>
      <c r="W10">
        <v>159213</v>
      </c>
      <c r="X10">
        <v>159213.125</v>
      </c>
      <c r="Y10">
        <v>20</v>
      </c>
      <c r="Z10">
        <v>20.279</v>
      </c>
      <c r="AA10">
        <v>1.4</v>
      </c>
      <c r="AB10">
        <v>276</v>
      </c>
    </row>
    <row r="11" spans="1:28" x14ac:dyDescent="0.3">
      <c r="A11">
        <v>4</v>
      </c>
      <c r="B11" t="s">
        <v>224</v>
      </c>
      <c r="C11" t="s">
        <v>109</v>
      </c>
      <c r="D11" t="s">
        <v>21</v>
      </c>
      <c r="E11" t="s">
        <v>42</v>
      </c>
      <c r="F11">
        <v>3.26</v>
      </c>
      <c r="G11">
        <v>528294</v>
      </c>
      <c r="H11">
        <v>528294.18799999997</v>
      </c>
      <c r="I11" cm="1">
        <f t="array" ref="I11">TREND($Y$8:$Y$14,$W$8:$W$14,H11)</f>
        <v>74.99859913128951</v>
      </c>
      <c r="J11">
        <f t="shared" si="0"/>
        <v>22.499579739386853</v>
      </c>
      <c r="K11">
        <v>8.9367056756270047E-2</v>
      </c>
      <c r="L11" s="2">
        <f t="shared" si="1"/>
        <v>251.76592534259856</v>
      </c>
      <c r="Q11">
        <v>4</v>
      </c>
      <c r="R11" t="s">
        <v>211</v>
      </c>
      <c r="S11" t="s">
        <v>64</v>
      </c>
      <c r="T11" t="s">
        <v>12</v>
      </c>
      <c r="U11" t="s">
        <v>15</v>
      </c>
      <c r="V11">
        <v>3.27</v>
      </c>
      <c r="W11">
        <v>377967</v>
      </c>
      <c r="X11">
        <v>377967.06300000002</v>
      </c>
      <c r="Y11">
        <v>50</v>
      </c>
      <c r="Z11">
        <v>49.430999999999997</v>
      </c>
      <c r="AA11">
        <v>-1.1000000000000001</v>
      </c>
      <c r="AB11">
        <v>596</v>
      </c>
    </row>
    <row r="12" spans="1:28" x14ac:dyDescent="0.3">
      <c r="A12">
        <v>5</v>
      </c>
      <c r="B12" t="s">
        <v>225</v>
      </c>
      <c r="C12" t="s">
        <v>110</v>
      </c>
      <c r="D12" t="s">
        <v>21</v>
      </c>
      <c r="E12" t="s">
        <v>43</v>
      </c>
      <c r="F12">
        <v>3.26</v>
      </c>
      <c r="G12">
        <v>449606</v>
      </c>
      <c r="H12">
        <v>449605.65600000002</v>
      </c>
      <c r="I12" cm="1">
        <f t="array" ref="I12">TREND($Y$8:$Y$14,$W$8:$W$14,H12)</f>
        <v>63.055168534139824</v>
      </c>
      <c r="J12">
        <f t="shared" si="0"/>
        <v>18.916550560241944</v>
      </c>
      <c r="K12">
        <v>9.3392012279996037E-2</v>
      </c>
      <c r="L12" s="2">
        <f t="shared" si="1"/>
        <v>202.54998364880234</v>
      </c>
      <c r="Q12">
        <v>5</v>
      </c>
      <c r="R12" t="s">
        <v>212</v>
      </c>
      <c r="S12" t="s">
        <v>65</v>
      </c>
      <c r="T12" t="s">
        <v>12</v>
      </c>
      <c r="U12" t="s">
        <v>16</v>
      </c>
      <c r="V12">
        <v>3.28</v>
      </c>
      <c r="W12">
        <v>793033</v>
      </c>
      <c r="X12">
        <v>793033.06299999997</v>
      </c>
      <c r="Y12">
        <v>100</v>
      </c>
      <c r="Z12">
        <v>105.961</v>
      </c>
      <c r="AA12">
        <v>6</v>
      </c>
      <c r="AB12">
        <v>1894</v>
      </c>
    </row>
    <row r="13" spans="1:28" x14ac:dyDescent="0.3">
      <c r="A13">
        <v>6</v>
      </c>
      <c r="B13" t="s">
        <v>226</v>
      </c>
      <c r="C13" t="s">
        <v>111</v>
      </c>
      <c r="D13" t="s">
        <v>21</v>
      </c>
      <c r="E13" t="s">
        <v>44</v>
      </c>
      <c r="F13">
        <v>3.26</v>
      </c>
      <c r="G13">
        <v>629437</v>
      </c>
      <c r="H13">
        <v>629437.125</v>
      </c>
      <c r="I13" cm="1">
        <f t="array" ref="I13">TREND($Y$8:$Y$14,$W$8:$W$14,H13)</f>
        <v>90.35018363475163</v>
      </c>
      <c r="J13">
        <f t="shared" si="0"/>
        <v>27.105055090425491</v>
      </c>
      <c r="K13">
        <v>0.18918595374467503</v>
      </c>
      <c r="L13" s="2">
        <f t="shared" si="1"/>
        <v>143.2720270924892</v>
      </c>
      <c r="Q13">
        <v>6</v>
      </c>
      <c r="R13" t="s">
        <v>213</v>
      </c>
      <c r="S13" t="s">
        <v>66</v>
      </c>
      <c r="T13" t="s">
        <v>12</v>
      </c>
      <c r="U13" t="s">
        <v>17</v>
      </c>
      <c r="V13">
        <v>3.27</v>
      </c>
      <c r="W13">
        <v>1277712</v>
      </c>
      <c r="X13">
        <v>1277712.125</v>
      </c>
      <c r="Y13">
        <v>200</v>
      </c>
      <c r="Z13">
        <v>174.15799999999999</v>
      </c>
      <c r="AA13">
        <v>-12.9</v>
      </c>
      <c r="AB13">
        <v>2862</v>
      </c>
    </row>
    <row r="14" spans="1:28" x14ac:dyDescent="0.3">
      <c r="A14">
        <v>7</v>
      </c>
      <c r="B14" t="s">
        <v>227</v>
      </c>
      <c r="C14" t="s">
        <v>112</v>
      </c>
      <c r="D14" t="s">
        <v>21</v>
      </c>
      <c r="E14" t="s">
        <v>45</v>
      </c>
      <c r="F14">
        <v>3.27</v>
      </c>
      <c r="G14">
        <v>328861</v>
      </c>
      <c r="H14">
        <v>328860.81300000002</v>
      </c>
      <c r="I14" cm="1">
        <f t="array" ref="I14">TREND($Y$8:$Y$14,$W$8:$W$14,H14)</f>
        <v>44.728385511497649</v>
      </c>
      <c r="J14">
        <f t="shared" si="0"/>
        <v>13.418515653449296</v>
      </c>
      <c r="K14">
        <v>9.2587021175250833E-2</v>
      </c>
      <c r="L14" s="2">
        <f t="shared" si="1"/>
        <v>144.92868960596996</v>
      </c>
      <c r="Q14">
        <v>7</v>
      </c>
      <c r="R14" t="s">
        <v>214</v>
      </c>
      <c r="S14" t="s">
        <v>67</v>
      </c>
      <c r="T14" t="s">
        <v>12</v>
      </c>
      <c r="U14" t="s">
        <v>18</v>
      </c>
      <c r="V14">
        <v>3.27</v>
      </c>
      <c r="W14">
        <v>3332339</v>
      </c>
      <c r="X14">
        <v>3332339.25</v>
      </c>
      <c r="Y14">
        <v>500</v>
      </c>
      <c r="Z14">
        <v>496.71300000000002</v>
      </c>
      <c r="AA14">
        <v>-0.7</v>
      </c>
      <c r="AB14">
        <v>6607</v>
      </c>
    </row>
    <row r="15" spans="1:28" x14ac:dyDescent="0.3">
      <c r="A15">
        <v>8</v>
      </c>
      <c r="B15" t="s">
        <v>228</v>
      </c>
      <c r="C15" t="s">
        <v>113</v>
      </c>
      <c r="D15" t="s">
        <v>21</v>
      </c>
      <c r="E15" t="s">
        <v>46</v>
      </c>
      <c r="F15">
        <v>3.26</v>
      </c>
      <c r="G15">
        <v>275377</v>
      </c>
      <c r="H15">
        <v>275376.81300000002</v>
      </c>
      <c r="I15" cm="1">
        <f t="array" ref="I15">TREND($Y$8:$Y$14,$W$8:$W$14,H15)</f>
        <v>36.610526074776246</v>
      </c>
      <c r="J15">
        <f t="shared" si="0"/>
        <v>10.983157822432872</v>
      </c>
      <c r="K15">
        <v>0.14974138961216016</v>
      </c>
      <c r="L15" s="2">
        <f t="shared" si="1"/>
        <v>73.347508333400398</v>
      </c>
      <c r="Q15">
        <v>8</v>
      </c>
      <c r="R15" t="s">
        <v>215</v>
      </c>
      <c r="S15" t="s">
        <v>68</v>
      </c>
      <c r="T15" t="s">
        <v>12</v>
      </c>
      <c r="U15" t="s">
        <v>19</v>
      </c>
      <c r="V15">
        <v>3.27</v>
      </c>
      <c r="W15">
        <v>5905858</v>
      </c>
      <c r="X15">
        <v>5905858</v>
      </c>
      <c r="Y15">
        <v>1000</v>
      </c>
      <c r="Z15">
        <v>1040.0940000000001</v>
      </c>
      <c r="AA15">
        <v>4</v>
      </c>
      <c r="AB15">
        <v>10371</v>
      </c>
    </row>
    <row r="16" spans="1:28" x14ac:dyDescent="0.3">
      <c r="A16">
        <v>9</v>
      </c>
      <c r="B16" t="s">
        <v>229</v>
      </c>
      <c r="C16" t="s">
        <v>114</v>
      </c>
      <c r="D16" t="s">
        <v>21</v>
      </c>
      <c r="E16" t="s">
        <v>47</v>
      </c>
      <c r="F16">
        <v>3.27</v>
      </c>
      <c r="G16">
        <v>874092</v>
      </c>
      <c r="H16">
        <v>874091.93799999997</v>
      </c>
      <c r="I16" cm="1">
        <f t="array" ref="I16">TREND($Y$8:$Y$14,$W$8:$W$14,H16)</f>
        <v>127.48415608354678</v>
      </c>
      <c r="J16">
        <f t="shared" si="0"/>
        <v>38.245246825064036</v>
      </c>
      <c r="K16">
        <v>0.19965083810636269</v>
      </c>
      <c r="L16" s="2">
        <f t="shared" si="1"/>
        <v>191.56066254372109</v>
      </c>
    </row>
    <row r="17" spans="1:12" x14ac:dyDescent="0.3">
      <c r="A17">
        <v>10</v>
      </c>
      <c r="B17" t="s">
        <v>230</v>
      </c>
      <c r="C17" t="s">
        <v>115</v>
      </c>
      <c r="D17" t="s">
        <v>21</v>
      </c>
      <c r="E17" t="s">
        <v>48</v>
      </c>
      <c r="F17">
        <v>3.27</v>
      </c>
      <c r="G17">
        <v>991949</v>
      </c>
      <c r="H17">
        <v>991949.125</v>
      </c>
      <c r="I17" cm="1">
        <f t="array" ref="I17">TREND($Y$8:$Y$14,$W$8:$W$14,H17)</f>
        <v>145.3726475515258</v>
      </c>
      <c r="J17">
        <f t="shared" si="0"/>
        <v>43.611794265457746</v>
      </c>
      <c r="K17">
        <v>0.22058060682973793</v>
      </c>
      <c r="L17" s="2">
        <f t="shared" si="1"/>
        <v>197.71363807662783</v>
      </c>
    </row>
    <row r="18" spans="1:12" x14ac:dyDescent="0.3">
      <c r="A18">
        <v>11</v>
      </c>
      <c r="B18" t="s">
        <v>231</v>
      </c>
      <c r="C18" t="s">
        <v>116</v>
      </c>
      <c r="D18" t="s">
        <v>21</v>
      </c>
      <c r="E18" t="s">
        <v>49</v>
      </c>
      <c r="F18">
        <v>3.26</v>
      </c>
      <c r="G18">
        <v>980191</v>
      </c>
      <c r="H18">
        <v>980190.93799999997</v>
      </c>
      <c r="I18" cm="1">
        <f t="array" ref="I18">TREND($Y$8:$Y$14,$W$8:$W$14,H18)</f>
        <v>143.58797719596743</v>
      </c>
      <c r="J18">
        <f t="shared" si="0"/>
        <v>43.076393158790225</v>
      </c>
      <c r="K18">
        <v>0.12720163867929454</v>
      </c>
      <c r="L18" s="2">
        <f t="shared" si="1"/>
        <v>338.64652693190544</v>
      </c>
    </row>
    <row r="19" spans="1:12" x14ac:dyDescent="0.3">
      <c r="A19">
        <v>12</v>
      </c>
      <c r="B19" t="s">
        <v>232</v>
      </c>
      <c r="C19" t="s">
        <v>117</v>
      </c>
      <c r="D19" t="s">
        <v>21</v>
      </c>
      <c r="E19" t="s">
        <v>50</v>
      </c>
      <c r="F19">
        <v>3.27</v>
      </c>
      <c r="G19">
        <v>721667</v>
      </c>
      <c r="H19">
        <v>721667.31299999997</v>
      </c>
      <c r="I19" cm="1">
        <f t="array" ref="I19">TREND($Y$8:$Y$14,$W$8:$W$14,H19)</f>
        <v>104.34898144356154</v>
      </c>
      <c r="J19">
        <f t="shared" si="0"/>
        <v>31.304694433068462</v>
      </c>
      <c r="K19">
        <v>0.1594012828691026</v>
      </c>
      <c r="L19" s="2">
        <f t="shared" si="1"/>
        <v>196.3892251656174</v>
      </c>
    </row>
    <row r="20" spans="1:12" x14ac:dyDescent="0.3">
      <c r="A20">
        <v>13</v>
      </c>
      <c r="B20" t="s">
        <v>233</v>
      </c>
      <c r="C20" t="s">
        <v>118</v>
      </c>
      <c r="D20" t="s">
        <v>21</v>
      </c>
      <c r="E20" t="s">
        <v>51</v>
      </c>
      <c r="F20">
        <v>3.27</v>
      </c>
      <c r="G20">
        <v>1255551</v>
      </c>
      <c r="H20">
        <v>1255551.25</v>
      </c>
      <c r="I20" cm="1">
        <f t="array" ref="I20">TREND($Y$8:$Y$14,$W$8:$W$14,H20)</f>
        <v>185.38246353333466</v>
      </c>
      <c r="J20">
        <f t="shared" si="0"/>
        <v>55.614739060000403</v>
      </c>
      <c r="K20">
        <v>0.14491144298368897</v>
      </c>
      <c r="L20" s="2">
        <f t="shared" si="1"/>
        <v>383.78431623415912</v>
      </c>
    </row>
    <row r="21" spans="1:12" x14ac:dyDescent="0.3">
      <c r="A21">
        <v>14</v>
      </c>
      <c r="B21" t="s">
        <v>234</v>
      </c>
      <c r="C21" t="s">
        <v>119</v>
      </c>
      <c r="D21" t="s">
        <v>21</v>
      </c>
      <c r="E21" t="s">
        <v>52</v>
      </c>
      <c r="F21">
        <v>3.27</v>
      </c>
      <c r="G21">
        <v>804510</v>
      </c>
      <c r="H21">
        <v>804509.5</v>
      </c>
      <c r="I21" cm="1">
        <f t="array" ref="I21">TREND($Y$8:$Y$14,$W$8:$W$14,H21)</f>
        <v>116.92285829451863</v>
      </c>
      <c r="J21">
        <f t="shared" si="0"/>
        <v>35.076857488355593</v>
      </c>
      <c r="K21">
        <v>0.24553533107683917</v>
      </c>
      <c r="L21" s="2">
        <f t="shared" si="1"/>
        <v>142.85869709471038</v>
      </c>
    </row>
    <row r="22" spans="1:12" x14ac:dyDescent="0.3">
      <c r="A22">
        <v>15</v>
      </c>
      <c r="B22" t="s">
        <v>235</v>
      </c>
      <c r="C22" t="s">
        <v>120</v>
      </c>
      <c r="D22" t="s">
        <v>21</v>
      </c>
      <c r="E22" t="s">
        <v>53</v>
      </c>
      <c r="F22">
        <v>3.27</v>
      </c>
      <c r="G22">
        <v>1214630</v>
      </c>
      <c r="H22">
        <v>1214629.75</v>
      </c>
      <c r="I22" cm="1">
        <f t="array" ref="I22">TREND($Y$8:$Y$14,$W$8:$W$14,H22)</f>
        <v>179.17135395028561</v>
      </c>
      <c r="J22">
        <f t="shared" si="0"/>
        <v>53.751406185085678</v>
      </c>
      <c r="K22">
        <v>0.3002747261995129</v>
      </c>
      <c r="L22" s="2">
        <f t="shared" si="1"/>
        <v>179.0074271831036</v>
      </c>
    </row>
    <row r="23" spans="1:12" x14ac:dyDescent="0.3">
      <c r="A23">
        <v>16</v>
      </c>
      <c r="B23" t="s">
        <v>236</v>
      </c>
      <c r="C23" t="s">
        <v>121</v>
      </c>
      <c r="D23" t="s">
        <v>21</v>
      </c>
      <c r="E23" t="s">
        <v>54</v>
      </c>
      <c r="F23">
        <v>3.27</v>
      </c>
      <c r="G23">
        <v>818461</v>
      </c>
      <c r="H23">
        <v>818461</v>
      </c>
      <c r="I23" cm="1">
        <f t="array" ref="I23">TREND($Y$8:$Y$14,$W$8:$W$14,H23)</f>
        <v>119.04043207231047</v>
      </c>
      <c r="J23">
        <f t="shared" si="0"/>
        <v>35.712129621693137</v>
      </c>
      <c r="K23">
        <v>0.17147614944028067</v>
      </c>
      <c r="L23" s="2">
        <f t="shared" si="1"/>
        <v>208.26295515884826</v>
      </c>
    </row>
    <row r="24" spans="1:12" x14ac:dyDescent="0.3">
      <c r="A24">
        <v>17</v>
      </c>
      <c r="B24" t="s">
        <v>237</v>
      </c>
      <c r="C24" t="s">
        <v>122</v>
      </c>
      <c r="D24" t="s">
        <v>21</v>
      </c>
      <c r="E24" t="s">
        <v>55</v>
      </c>
      <c r="F24">
        <v>3.26</v>
      </c>
      <c r="G24">
        <v>731630</v>
      </c>
      <c r="H24">
        <v>731629.875</v>
      </c>
      <c r="I24" cm="1">
        <f t="array" ref="I24">TREND($Y$8:$Y$14,$W$8:$W$14,H24)</f>
        <v>105.86110989217462</v>
      </c>
      <c r="J24">
        <f t="shared" si="0"/>
        <v>31.75833296765239</v>
      </c>
      <c r="K24">
        <v>0.18113604269722305</v>
      </c>
      <c r="L24" s="2">
        <f t="shared" si="1"/>
        <v>175.32862314287087</v>
      </c>
    </row>
    <row r="25" spans="1:12" x14ac:dyDescent="0.3">
      <c r="A25">
        <v>18</v>
      </c>
      <c r="B25" t="s">
        <v>238</v>
      </c>
      <c r="C25" t="s">
        <v>123</v>
      </c>
      <c r="D25" t="s">
        <v>21</v>
      </c>
      <c r="E25" t="s">
        <v>56</v>
      </c>
      <c r="F25">
        <v>3.27</v>
      </c>
      <c r="G25">
        <v>795059</v>
      </c>
      <c r="H25">
        <v>795059.31299999997</v>
      </c>
      <c r="I25" cm="1">
        <f t="array" ref="I25">TREND($Y$8:$Y$14,$W$8:$W$14,H25)</f>
        <v>115.48849867824588</v>
      </c>
      <c r="J25">
        <f t="shared" si="0"/>
        <v>34.646549603473765</v>
      </c>
      <c r="K25">
        <v>8.2927127918308433E-2</v>
      </c>
      <c r="L25" s="2">
        <f t="shared" si="1"/>
        <v>417.7951229373831</v>
      </c>
    </row>
    <row r="26" spans="1:12" x14ac:dyDescent="0.3">
      <c r="A26">
        <v>19</v>
      </c>
      <c r="B26" t="s">
        <v>239</v>
      </c>
      <c r="C26" t="s">
        <v>124</v>
      </c>
      <c r="D26" t="s">
        <v>21</v>
      </c>
      <c r="E26" t="s">
        <v>57</v>
      </c>
      <c r="F26">
        <v>3.26</v>
      </c>
      <c r="G26">
        <v>932151</v>
      </c>
      <c r="H26">
        <v>932151.18799999997</v>
      </c>
      <c r="I26" cm="1">
        <f t="array" ref="I26">TREND($Y$8:$Y$14,$W$8:$W$14,H26)</f>
        <v>136.29645191971213</v>
      </c>
      <c r="J26">
        <f t="shared" si="0"/>
        <v>40.888935575913635</v>
      </c>
      <c r="K26">
        <v>0.11593176321286171</v>
      </c>
      <c r="L26" s="2">
        <f t="shared" si="1"/>
        <v>352.69829805691535</v>
      </c>
    </row>
    <row r="27" spans="1:12" x14ac:dyDescent="0.3">
      <c r="A27">
        <v>20</v>
      </c>
      <c r="B27" t="s">
        <v>240</v>
      </c>
      <c r="C27" t="s">
        <v>125</v>
      </c>
      <c r="D27" t="s">
        <v>21</v>
      </c>
      <c r="E27" t="s">
        <v>58</v>
      </c>
      <c r="F27">
        <v>3.27</v>
      </c>
      <c r="G27">
        <v>1121877</v>
      </c>
      <c r="H27">
        <v>1121877.125</v>
      </c>
      <c r="I27" cm="1">
        <f t="array" ref="I27">TREND($Y$8:$Y$14,$W$8:$W$14,H27)</f>
        <v>165.09326008787946</v>
      </c>
      <c r="J27">
        <f t="shared" si="0"/>
        <v>49.527978026363833</v>
      </c>
      <c r="K27">
        <v>0.17469611385926145</v>
      </c>
      <c r="L27" s="2">
        <f t="shared" si="1"/>
        <v>283.50932904131184</v>
      </c>
    </row>
    <row r="28" spans="1:12" x14ac:dyDescent="0.3">
      <c r="A28">
        <v>21</v>
      </c>
      <c r="B28" t="s">
        <v>241</v>
      </c>
      <c r="C28" t="s">
        <v>126</v>
      </c>
      <c r="D28" t="s">
        <v>21</v>
      </c>
      <c r="E28" t="s">
        <v>59</v>
      </c>
      <c r="F28">
        <v>3.27</v>
      </c>
      <c r="G28">
        <v>972977</v>
      </c>
      <c r="H28">
        <v>972976.68799999997</v>
      </c>
      <c r="I28" cm="1">
        <f t="array" ref="I28">TREND($Y$8:$Y$14,$W$8:$W$14,H28)</f>
        <v>142.49299051880473</v>
      </c>
      <c r="J28">
        <f t="shared" si="0"/>
        <v>42.747897155641425</v>
      </c>
      <c r="K28">
        <v>0.17952606048773259</v>
      </c>
      <c r="L28" s="2">
        <f t="shared" si="1"/>
        <v>238.11527440364281</v>
      </c>
    </row>
    <row r="29" spans="1:12" x14ac:dyDescent="0.3">
      <c r="A29">
        <v>22</v>
      </c>
      <c r="B29" t="s">
        <v>242</v>
      </c>
      <c r="C29" t="s">
        <v>127</v>
      </c>
      <c r="D29" t="s">
        <v>21</v>
      </c>
      <c r="E29" t="s">
        <v>60</v>
      </c>
      <c r="F29">
        <v>3.26</v>
      </c>
      <c r="G29">
        <v>1280361</v>
      </c>
      <c r="H29">
        <v>1280361.125</v>
      </c>
      <c r="I29" cm="1">
        <f t="array" ref="I29">TREND($Y$8:$Y$14,$W$8:$W$14,H29)</f>
        <v>189.14813322693698</v>
      </c>
      <c r="J29">
        <f t="shared" si="0"/>
        <v>56.744439968081089</v>
      </c>
      <c r="K29">
        <v>0.19723586479212707</v>
      </c>
      <c r="L29" s="2">
        <f t="shared" si="1"/>
        <v>287.698386030785</v>
      </c>
    </row>
    <row r="30" spans="1:12" x14ac:dyDescent="0.3">
      <c r="A30">
        <v>23</v>
      </c>
      <c r="B30" t="s">
        <v>243</v>
      </c>
      <c r="C30" t="s">
        <v>128</v>
      </c>
      <c r="D30" t="s">
        <v>21</v>
      </c>
      <c r="E30" t="s">
        <v>75</v>
      </c>
      <c r="F30">
        <v>3.27</v>
      </c>
      <c r="G30">
        <v>1370594</v>
      </c>
      <c r="H30">
        <v>1370594.125</v>
      </c>
      <c r="I30" cm="1">
        <f t="array" ref="I30">TREND($Y$8:$Y$14,$W$8:$W$14,H30)</f>
        <v>202.84379567839318</v>
      </c>
      <c r="J30">
        <f t="shared" si="0"/>
        <v>60.853138703517949</v>
      </c>
      <c r="K30">
        <v>0.28417490410460888</v>
      </c>
      <c r="L30" s="2">
        <f t="shared" si="1"/>
        <v>214.13973515802448</v>
      </c>
    </row>
    <row r="31" spans="1:12" x14ac:dyDescent="0.3">
      <c r="A31">
        <v>24</v>
      </c>
      <c r="B31" t="s">
        <v>244</v>
      </c>
      <c r="C31" t="s">
        <v>129</v>
      </c>
      <c r="D31" t="s">
        <v>21</v>
      </c>
      <c r="E31" t="s">
        <v>76</v>
      </c>
      <c r="F31">
        <v>3.27</v>
      </c>
      <c r="G31">
        <v>917094</v>
      </c>
      <c r="H31">
        <v>917093.5</v>
      </c>
      <c r="I31" cm="1">
        <f t="array" ref="I31">TREND($Y$8:$Y$14,$W$8:$W$14,H31)</f>
        <v>134.0109797294121</v>
      </c>
      <c r="J31">
        <f t="shared" si="0"/>
        <v>40.203293918823633</v>
      </c>
      <c r="K31">
        <v>0.17872106938298743</v>
      </c>
      <c r="L31" s="2">
        <f t="shared" si="1"/>
        <v>224.94994047215906</v>
      </c>
    </row>
    <row r="32" spans="1:12" x14ac:dyDescent="0.3">
      <c r="A32">
        <v>25</v>
      </c>
      <c r="B32" t="s">
        <v>245</v>
      </c>
      <c r="C32" t="s">
        <v>130</v>
      </c>
      <c r="D32" t="s">
        <v>21</v>
      </c>
      <c r="E32" t="s">
        <v>77</v>
      </c>
      <c r="F32">
        <v>3.27</v>
      </c>
      <c r="G32">
        <v>1398673</v>
      </c>
      <c r="H32">
        <v>1398673.25</v>
      </c>
      <c r="I32" cm="1">
        <f t="array" ref="I32">TREND($Y$8:$Y$14,$W$8:$W$14,H32)</f>
        <v>207.10567567719897</v>
      </c>
      <c r="J32">
        <f t="shared" si="0"/>
        <v>62.131702703159696</v>
      </c>
      <c r="K32">
        <v>0.19884584700161748</v>
      </c>
      <c r="L32" s="2">
        <f t="shared" si="1"/>
        <v>312.46165630330864</v>
      </c>
    </row>
    <row r="33" spans="1:12" x14ac:dyDescent="0.3">
      <c r="A33">
        <v>26</v>
      </c>
      <c r="B33" t="s">
        <v>246</v>
      </c>
      <c r="C33" t="s">
        <v>131</v>
      </c>
      <c r="D33" t="s">
        <v>21</v>
      </c>
      <c r="E33" t="s">
        <v>78</v>
      </c>
      <c r="F33">
        <v>3.27</v>
      </c>
      <c r="G33">
        <v>895852</v>
      </c>
      <c r="H33">
        <v>895852.18799999997</v>
      </c>
      <c r="I33" cm="1">
        <f t="array" ref="I33">TREND($Y$8:$Y$14,$W$8:$W$14,H33)</f>
        <v>130.78695039227307</v>
      </c>
      <c r="J33">
        <f t="shared" si="0"/>
        <v>39.236085117681924</v>
      </c>
      <c r="K33">
        <v>0.17469611385926145</v>
      </c>
      <c r="L33" s="2">
        <f t="shared" si="1"/>
        <v>224.59621024707664</v>
      </c>
    </row>
    <row r="34" spans="1:12" x14ac:dyDescent="0.3">
      <c r="A34">
        <v>27</v>
      </c>
      <c r="B34" t="s">
        <v>247</v>
      </c>
      <c r="C34" t="s">
        <v>132</v>
      </c>
      <c r="D34" t="s">
        <v>21</v>
      </c>
      <c r="E34" t="s">
        <v>79</v>
      </c>
      <c r="F34">
        <v>3.27</v>
      </c>
      <c r="G34">
        <v>908701</v>
      </c>
      <c r="H34">
        <v>908701.31299999997</v>
      </c>
      <c r="I34" cm="1">
        <f t="array" ref="I34">TREND($Y$8:$Y$14,$W$8:$W$14,H34)</f>
        <v>132.73720449882575</v>
      </c>
      <c r="J34">
        <f t="shared" si="0"/>
        <v>39.821161349647724</v>
      </c>
      <c r="K34">
        <v>0.24875529549582001</v>
      </c>
      <c r="L34" s="2">
        <f t="shared" si="1"/>
        <v>160.08166286581371</v>
      </c>
    </row>
    <row r="35" spans="1:12" x14ac:dyDescent="0.3">
      <c r="A35">
        <v>28</v>
      </c>
      <c r="B35" t="s">
        <v>248</v>
      </c>
      <c r="C35" t="s">
        <v>133</v>
      </c>
      <c r="D35" t="s">
        <v>21</v>
      </c>
      <c r="E35" t="s">
        <v>80</v>
      </c>
      <c r="F35">
        <v>3.27</v>
      </c>
      <c r="G35">
        <v>1036472</v>
      </c>
      <c r="H35">
        <v>1036472</v>
      </c>
      <c r="I35" cm="1">
        <f t="array" ref="I35">TREND($Y$8:$Y$14,$W$8:$W$14,H35)</f>
        <v>152.13037773192963</v>
      </c>
      <c r="J35">
        <f t="shared" si="0"/>
        <v>45.639113319578883</v>
      </c>
      <c r="K35">
        <v>0.18274602490671343</v>
      </c>
      <c r="L35" s="2">
        <f t="shared" si="1"/>
        <v>249.7406624460167</v>
      </c>
    </row>
    <row r="36" spans="1:12" x14ac:dyDescent="0.3">
      <c r="A36">
        <v>29</v>
      </c>
      <c r="B36" t="s">
        <v>249</v>
      </c>
      <c r="C36" t="s">
        <v>134</v>
      </c>
      <c r="D36" t="s">
        <v>21</v>
      </c>
      <c r="E36" t="s">
        <v>81</v>
      </c>
      <c r="F36">
        <v>3.27</v>
      </c>
      <c r="G36">
        <v>3747016</v>
      </c>
      <c r="H36">
        <v>3747016</v>
      </c>
      <c r="I36" cm="1">
        <f t="array" ref="I36">TREND($Y$8:$Y$14,$W$8:$W$14,H36)</f>
        <v>563.53968124416838</v>
      </c>
      <c r="J36">
        <f t="shared" si="0"/>
        <v>169.06190437325051</v>
      </c>
      <c r="K36">
        <v>0.18113604269722305</v>
      </c>
      <c r="L36" s="2">
        <f t="shared" si="1"/>
        <v>933.34215463592193</v>
      </c>
    </row>
    <row r="37" spans="1:12" x14ac:dyDescent="0.3">
      <c r="A37">
        <v>30</v>
      </c>
      <c r="B37" t="s">
        <v>250</v>
      </c>
      <c r="C37" t="s">
        <v>135</v>
      </c>
      <c r="D37" t="s">
        <v>21</v>
      </c>
      <c r="E37" t="s">
        <v>82</v>
      </c>
      <c r="F37">
        <v>3.27</v>
      </c>
      <c r="G37">
        <v>1278105</v>
      </c>
      <c r="H37">
        <v>1278104.5</v>
      </c>
      <c r="I37" cm="1">
        <f t="array" ref="I37">TREND($Y$8:$Y$14,$W$8:$W$14,H37)</f>
        <v>188.80562024078432</v>
      </c>
      <c r="J37">
        <f t="shared" si="0"/>
        <v>56.641686072235302</v>
      </c>
      <c r="K37">
        <v>0.12156670094607813</v>
      </c>
      <c r="L37" s="2">
        <f t="shared" si="1"/>
        <v>465.93093035698291</v>
      </c>
    </row>
    <row r="38" spans="1:12" x14ac:dyDescent="0.3">
      <c r="A38">
        <v>31</v>
      </c>
      <c r="B38" t="s">
        <v>251</v>
      </c>
      <c r="C38" t="s">
        <v>136</v>
      </c>
      <c r="D38" t="s">
        <v>21</v>
      </c>
      <c r="E38" t="s">
        <v>83</v>
      </c>
      <c r="F38">
        <v>3.27</v>
      </c>
      <c r="G38">
        <v>1428150</v>
      </c>
      <c r="H38">
        <v>1428150.25</v>
      </c>
      <c r="I38" cm="1">
        <f t="array" ref="I38">TREND($Y$8:$Y$14,$W$8:$W$14,H38)</f>
        <v>211.57972665723486</v>
      </c>
      <c r="J38">
        <f t="shared" si="0"/>
        <v>63.473917997170453</v>
      </c>
      <c r="K38">
        <v>8.8562065651524843E-2</v>
      </c>
      <c r="L38" s="2">
        <f t="shared" si="1"/>
        <v>716.71677405231765</v>
      </c>
    </row>
    <row r="39" spans="1:12" x14ac:dyDescent="0.3">
      <c r="A39">
        <v>32</v>
      </c>
      <c r="B39" t="s">
        <v>252</v>
      </c>
      <c r="C39" t="s">
        <v>137</v>
      </c>
      <c r="D39" t="s">
        <v>21</v>
      </c>
      <c r="E39" t="s">
        <v>84</v>
      </c>
      <c r="F39">
        <v>3.27</v>
      </c>
      <c r="G39">
        <v>2500295</v>
      </c>
      <c r="H39">
        <v>2500295.25</v>
      </c>
      <c r="I39" cm="1">
        <f t="array" ref="I39">TREND($Y$8:$Y$14,$W$8:$W$14,H39)</f>
        <v>374.31105576096058</v>
      </c>
      <c r="J39">
        <f t="shared" si="0"/>
        <v>112.29331672828818</v>
      </c>
      <c r="K39">
        <v>0.13766652304098212</v>
      </c>
      <c r="L39" s="2">
        <f t="shared" si="1"/>
        <v>815.69080302013174</v>
      </c>
    </row>
    <row r="40" spans="1:12" x14ac:dyDescent="0.3">
      <c r="A40">
        <v>33</v>
      </c>
      <c r="B40" t="s">
        <v>253</v>
      </c>
      <c r="C40" t="s">
        <v>138</v>
      </c>
      <c r="D40" t="s">
        <v>21</v>
      </c>
      <c r="E40" t="s">
        <v>85</v>
      </c>
      <c r="F40">
        <v>3.27</v>
      </c>
      <c r="G40">
        <v>898765</v>
      </c>
      <c r="H40">
        <v>898765.25</v>
      </c>
      <c r="I40" cm="1">
        <f t="array" ref="I40">TREND($Y$8:$Y$14,$W$8:$W$14,H40)</f>
        <v>131.22909809712792</v>
      </c>
      <c r="J40">
        <f t="shared" si="0"/>
        <v>39.368729429138369</v>
      </c>
      <c r="K40">
        <v>8.2122136813563229E-2</v>
      </c>
      <c r="L40" s="2">
        <f t="shared" si="1"/>
        <v>479.39241423435857</v>
      </c>
    </row>
    <row r="41" spans="1:12" x14ac:dyDescent="0.3">
      <c r="A41">
        <v>34</v>
      </c>
      <c r="B41" t="s">
        <v>172</v>
      </c>
      <c r="C41" t="s">
        <v>139</v>
      </c>
      <c r="D41" t="s">
        <v>21</v>
      </c>
      <c r="E41" t="s">
        <v>86</v>
      </c>
      <c r="F41">
        <v>3.28</v>
      </c>
      <c r="G41">
        <v>1363146</v>
      </c>
      <c r="H41">
        <v>1363145.75</v>
      </c>
      <c r="I41" cm="1">
        <f t="array" ref="I41">TREND($Y$8:$Y$14,$W$8:$W$14,H41)</f>
        <v>201.71327325520139</v>
      </c>
      <c r="J41">
        <f t="shared" si="0"/>
        <v>60.513981976560416</v>
      </c>
      <c r="K41">
        <v>0.10224691443219328</v>
      </c>
      <c r="L41" s="2">
        <f t="shared" si="1"/>
        <v>591.84164444093085</v>
      </c>
    </row>
    <row r="42" spans="1:12" x14ac:dyDescent="0.3">
      <c r="A42">
        <v>35</v>
      </c>
      <c r="B42" t="s">
        <v>173</v>
      </c>
      <c r="C42" t="s">
        <v>140</v>
      </c>
      <c r="D42" t="s">
        <v>21</v>
      </c>
      <c r="E42" t="s">
        <v>87</v>
      </c>
      <c r="F42">
        <v>3.27</v>
      </c>
      <c r="G42">
        <v>2612165</v>
      </c>
      <c r="H42">
        <v>2612164.75</v>
      </c>
      <c r="I42" cm="1">
        <f t="array" ref="I42">TREND($Y$8:$Y$14,$W$8:$W$14,H42)</f>
        <v>391.29072961213677</v>
      </c>
      <c r="J42">
        <f t="shared" si="0"/>
        <v>117.38721888364104</v>
      </c>
      <c r="K42">
        <v>0.12639664757454935</v>
      </c>
      <c r="L42" s="2">
        <f t="shared" si="1"/>
        <v>928.72098379354156</v>
      </c>
    </row>
    <row r="43" spans="1:12" x14ac:dyDescent="0.3">
      <c r="A43">
        <v>36</v>
      </c>
      <c r="B43" t="s">
        <v>174</v>
      </c>
      <c r="C43" t="s">
        <v>141</v>
      </c>
      <c r="D43" t="s">
        <v>21</v>
      </c>
      <c r="E43" t="s">
        <v>88</v>
      </c>
      <c r="F43">
        <v>3.28</v>
      </c>
      <c r="G43">
        <v>1822000</v>
      </c>
      <c r="H43">
        <v>1822000.375</v>
      </c>
      <c r="I43" cm="1">
        <f t="array" ref="I43">TREND($Y$8:$Y$14,$W$8:$W$14,H43)</f>
        <v>271.35872512191878</v>
      </c>
      <c r="J43">
        <f t="shared" si="0"/>
        <v>81.407617536575628</v>
      </c>
      <c r="K43">
        <v>0.15054638071690538</v>
      </c>
      <c r="L43" s="2">
        <f t="shared" si="1"/>
        <v>540.74775593349148</v>
      </c>
    </row>
    <row r="44" spans="1:12" x14ac:dyDescent="0.3">
      <c r="A44">
        <v>37</v>
      </c>
      <c r="B44" t="s">
        <v>175</v>
      </c>
      <c r="C44" t="s">
        <v>142</v>
      </c>
      <c r="D44" t="s">
        <v>21</v>
      </c>
      <c r="E44" t="s">
        <v>89</v>
      </c>
      <c r="F44">
        <v>3.28</v>
      </c>
      <c r="G44">
        <v>617575</v>
      </c>
      <c r="H44">
        <v>617574.5</v>
      </c>
      <c r="I44" cm="1">
        <f t="array" ref="I44">TREND($Y$8:$Y$14,$W$8:$W$14,H44)</f>
        <v>88.549661566459491</v>
      </c>
      <c r="J44">
        <f t="shared" si="0"/>
        <v>26.564898469937845</v>
      </c>
      <c r="K44">
        <v>0.14893639850741497</v>
      </c>
      <c r="L44" s="2">
        <f t="shared" si="1"/>
        <v>178.36404489541408</v>
      </c>
    </row>
    <row r="45" spans="1:12" x14ac:dyDescent="0.3">
      <c r="A45">
        <v>38</v>
      </c>
      <c r="B45" t="s">
        <v>176</v>
      </c>
      <c r="C45" t="s">
        <v>143</v>
      </c>
      <c r="D45" t="s">
        <v>21</v>
      </c>
      <c r="E45" t="s">
        <v>90</v>
      </c>
      <c r="F45">
        <v>3.28</v>
      </c>
      <c r="G45">
        <v>734694</v>
      </c>
      <c r="H45">
        <v>734694.31299999997</v>
      </c>
      <c r="I45" cm="1">
        <f t="array" ref="I45">TREND($Y$8:$Y$14,$W$8:$W$14,H45)</f>
        <v>106.32623361023138</v>
      </c>
      <c r="J45">
        <f t="shared" si="0"/>
        <v>31.897870083069417</v>
      </c>
      <c r="K45">
        <v>4.0262599366812736E-2</v>
      </c>
      <c r="L45" s="2">
        <f t="shared" si="1"/>
        <v>792.24567178248014</v>
      </c>
    </row>
    <row r="46" spans="1:12" x14ac:dyDescent="0.3">
      <c r="A46">
        <v>39</v>
      </c>
      <c r="B46" t="s">
        <v>177</v>
      </c>
      <c r="C46" t="s">
        <v>144</v>
      </c>
      <c r="D46" t="s">
        <v>21</v>
      </c>
      <c r="E46" t="s">
        <v>91</v>
      </c>
      <c r="F46">
        <v>3.28</v>
      </c>
      <c r="G46">
        <v>2692725</v>
      </c>
      <c r="H46">
        <v>2692724.75</v>
      </c>
      <c r="I46" cm="1">
        <f t="array" ref="I46">TREND($Y$8:$Y$14,$W$8:$W$14,H46)</f>
        <v>403.51821364890054</v>
      </c>
      <c r="J46">
        <f t="shared" si="0"/>
        <v>121.05546409467017</v>
      </c>
      <c r="K46">
        <v>0.11351678989862611</v>
      </c>
      <c r="L46" s="2">
        <f t="shared" si="1"/>
        <v>1066.4102129982386</v>
      </c>
    </row>
    <row r="47" spans="1:12" x14ac:dyDescent="0.3">
      <c r="A47">
        <v>40</v>
      </c>
      <c r="B47" t="s">
        <v>178</v>
      </c>
      <c r="C47" t="s">
        <v>145</v>
      </c>
      <c r="D47" t="s">
        <v>21</v>
      </c>
      <c r="E47" t="s">
        <v>92</v>
      </c>
      <c r="F47">
        <v>3.28</v>
      </c>
      <c r="G47">
        <v>1989651</v>
      </c>
      <c r="H47">
        <v>1989651.375</v>
      </c>
      <c r="I47" cm="1">
        <f t="array" ref="I47">TREND($Y$8:$Y$14,$W$8:$W$14,H47)</f>
        <v>296.80497544773169</v>
      </c>
      <c r="J47">
        <f t="shared" si="0"/>
        <v>89.041492634319496</v>
      </c>
      <c r="K47">
        <v>0.10144192332744809</v>
      </c>
      <c r="L47" s="2">
        <f t="shared" si="1"/>
        <v>877.75832430640355</v>
      </c>
    </row>
    <row r="48" spans="1:12" x14ac:dyDescent="0.3">
      <c r="A48">
        <v>41</v>
      </c>
      <c r="B48" t="s">
        <v>179</v>
      </c>
      <c r="C48" t="s">
        <v>146</v>
      </c>
      <c r="D48" t="s">
        <v>21</v>
      </c>
      <c r="E48" t="s">
        <v>93</v>
      </c>
      <c r="F48">
        <v>3.28</v>
      </c>
      <c r="G48">
        <v>1852597</v>
      </c>
      <c r="H48">
        <v>1852597.125</v>
      </c>
      <c r="I48" cm="1">
        <f t="array" ref="I48">TREND($Y$8:$Y$14,$W$8:$W$14,H48)</f>
        <v>276.00273296950877</v>
      </c>
      <c r="J48">
        <f t="shared" si="0"/>
        <v>82.800819890852637</v>
      </c>
      <c r="K48">
        <v>8.3732119023053622E-2</v>
      </c>
      <c r="L48" s="2">
        <f t="shared" si="1"/>
        <v>988.87763569025913</v>
      </c>
    </row>
    <row r="49" spans="1:12" x14ac:dyDescent="0.3">
      <c r="A49">
        <v>42</v>
      </c>
      <c r="B49" t="s">
        <v>180</v>
      </c>
      <c r="C49" t="s">
        <v>147</v>
      </c>
      <c r="D49" t="s">
        <v>21</v>
      </c>
      <c r="E49" t="s">
        <v>94</v>
      </c>
      <c r="F49">
        <v>3.28</v>
      </c>
      <c r="G49">
        <v>1482166</v>
      </c>
      <c r="H49">
        <v>1482165.5</v>
      </c>
      <c r="I49" cm="1">
        <f t="array" ref="I49">TREND($Y$8:$Y$14,$W$8:$W$14,H49)</f>
        <v>219.77821979423589</v>
      </c>
      <c r="J49">
        <f t="shared" si="0"/>
        <v>65.933465938270757</v>
      </c>
      <c r="K49">
        <v>0.22299558014397355</v>
      </c>
      <c r="L49" s="2">
        <f t="shared" si="1"/>
        <v>295.67162674570437</v>
      </c>
    </row>
    <row r="50" spans="1:12" x14ac:dyDescent="0.3">
      <c r="A50">
        <v>43</v>
      </c>
      <c r="B50" t="s">
        <v>181</v>
      </c>
      <c r="C50" t="s">
        <v>148</v>
      </c>
      <c r="D50" t="s">
        <v>21</v>
      </c>
      <c r="E50" t="s">
        <v>95</v>
      </c>
      <c r="F50">
        <v>3.28</v>
      </c>
      <c r="G50">
        <v>852070</v>
      </c>
      <c r="H50">
        <v>852070.25</v>
      </c>
      <c r="I50" cm="1">
        <f t="array" ref="I50">TREND($Y$8:$Y$14,$W$8:$W$14,H50)</f>
        <v>124.14168043207466</v>
      </c>
      <c r="J50">
        <f t="shared" si="0"/>
        <v>37.242504129622397</v>
      </c>
      <c r="K50">
        <v>0.1175417454223521</v>
      </c>
      <c r="L50" s="2">
        <f t="shared" si="1"/>
        <v>316.84491323318605</v>
      </c>
    </row>
    <row r="51" spans="1:12" x14ac:dyDescent="0.3">
      <c r="A51">
        <v>44</v>
      </c>
      <c r="B51" t="s">
        <v>182</v>
      </c>
      <c r="C51" t="s">
        <v>149</v>
      </c>
      <c r="D51" t="s">
        <v>21</v>
      </c>
      <c r="E51" t="s">
        <v>96</v>
      </c>
      <c r="F51">
        <v>3.28</v>
      </c>
      <c r="G51">
        <v>988146</v>
      </c>
      <c r="H51">
        <v>988145.875</v>
      </c>
      <c r="I51" cm="1">
        <f t="array" ref="I51">TREND($Y$8:$Y$14,$W$8:$W$14,H51)</f>
        <v>144.79538614806472</v>
      </c>
      <c r="J51">
        <f t="shared" si="0"/>
        <v>43.438615844419417</v>
      </c>
      <c r="K51">
        <v>0.11351678989862611</v>
      </c>
      <c r="L51" s="2">
        <f t="shared" si="1"/>
        <v>382.66247559688219</v>
      </c>
    </row>
    <row r="52" spans="1:12" x14ac:dyDescent="0.3">
      <c r="A52">
        <v>45</v>
      </c>
      <c r="B52" t="s">
        <v>183</v>
      </c>
      <c r="C52" t="s">
        <v>150</v>
      </c>
      <c r="D52" t="s">
        <v>21</v>
      </c>
      <c r="E52" t="s">
        <v>97</v>
      </c>
      <c r="F52">
        <v>3.28</v>
      </c>
      <c r="G52">
        <v>653143</v>
      </c>
      <c r="H52">
        <v>653143.25</v>
      </c>
      <c r="I52" cm="1">
        <f t="array" ref="I52">TREND($Y$8:$Y$14,$W$8:$W$14,H52)</f>
        <v>93.948324958125866</v>
      </c>
      <c r="J52">
        <f t="shared" si="0"/>
        <v>28.18449748743776</v>
      </c>
      <c r="K52">
        <v>8.4537110127798853E-2</v>
      </c>
      <c r="L52" s="2">
        <f t="shared" si="1"/>
        <v>333.39792955815363</v>
      </c>
    </row>
    <row r="53" spans="1:12" x14ac:dyDescent="0.3">
      <c r="A53">
        <v>46</v>
      </c>
      <c r="B53" t="s">
        <v>184</v>
      </c>
      <c r="C53" t="s">
        <v>151</v>
      </c>
      <c r="D53" t="s">
        <v>21</v>
      </c>
      <c r="E53" t="s">
        <v>98</v>
      </c>
      <c r="F53">
        <v>3.28</v>
      </c>
      <c r="G53">
        <v>1349064</v>
      </c>
      <c r="H53">
        <v>1349063.5</v>
      </c>
      <c r="I53" cm="1">
        <f t="array" ref="I53">TREND($Y$8:$Y$14,$W$8:$W$14,H53)</f>
        <v>199.57585410082305</v>
      </c>
      <c r="J53">
        <f t="shared" si="0"/>
        <v>59.872756230246921</v>
      </c>
      <c r="K53">
        <v>0.1078818521654097</v>
      </c>
      <c r="L53" s="2">
        <f t="shared" si="1"/>
        <v>554.9845041448408</v>
      </c>
    </row>
    <row r="54" spans="1:12" x14ac:dyDescent="0.3">
      <c r="A54">
        <v>47</v>
      </c>
      <c r="B54" t="s">
        <v>185</v>
      </c>
      <c r="C54" t="s">
        <v>152</v>
      </c>
      <c r="D54" t="s">
        <v>21</v>
      </c>
      <c r="E54" t="s">
        <v>99</v>
      </c>
      <c r="F54">
        <v>3.28</v>
      </c>
      <c r="G54">
        <v>1225939</v>
      </c>
      <c r="H54">
        <v>1225938.75</v>
      </c>
      <c r="I54" cm="1">
        <f t="array" ref="I54">TREND($Y$8:$Y$14,$W$8:$W$14,H54)</f>
        <v>180.88784621656868</v>
      </c>
      <c r="J54">
        <f t="shared" si="0"/>
        <v>54.266353864970597</v>
      </c>
      <c r="K54">
        <v>0.14813140740266978</v>
      </c>
      <c r="L54" s="2">
        <f t="shared" si="1"/>
        <v>366.33928493946485</v>
      </c>
    </row>
    <row r="55" spans="1:12" x14ac:dyDescent="0.3">
      <c r="A55">
        <v>48</v>
      </c>
      <c r="B55" t="s">
        <v>186</v>
      </c>
      <c r="C55" t="s">
        <v>153</v>
      </c>
      <c r="D55" t="s">
        <v>21</v>
      </c>
      <c r="E55" t="s">
        <v>100</v>
      </c>
      <c r="F55">
        <v>3.28</v>
      </c>
      <c r="G55">
        <v>826324</v>
      </c>
      <c r="H55">
        <v>826324.06299999997</v>
      </c>
      <c r="I55" cm="1">
        <f t="array" ref="I55">TREND($Y$8:$Y$14,$W$8:$W$14,H55)</f>
        <v>120.23389628919935</v>
      </c>
      <c r="J55">
        <f t="shared" si="0"/>
        <v>36.070168886759802</v>
      </c>
      <c r="K55">
        <v>6.6022314718659172E-2</v>
      </c>
      <c r="L55" s="2">
        <f t="shared" si="1"/>
        <v>546.33299423786605</v>
      </c>
    </row>
    <row r="56" spans="1:12" x14ac:dyDescent="0.3">
      <c r="A56">
        <v>49</v>
      </c>
      <c r="B56" t="s">
        <v>187</v>
      </c>
      <c r="C56" t="s">
        <v>154</v>
      </c>
      <c r="D56" t="s">
        <v>21</v>
      </c>
      <c r="E56" t="s">
        <v>20</v>
      </c>
      <c r="F56">
        <v>3.28</v>
      </c>
      <c r="G56">
        <v>1496072</v>
      </c>
      <c r="H56">
        <v>1496072.125</v>
      </c>
      <c r="I56" cm="1">
        <f t="array" ref="I56">TREND($Y$8:$Y$14,$W$8:$W$14,H56)</f>
        <v>221.88898239593351</v>
      </c>
      <c r="J56">
        <f t="shared" si="0"/>
        <v>66.566694718780042</v>
      </c>
      <c r="K56">
        <v>0.22621554456295434</v>
      </c>
      <c r="L56" s="2">
        <f t="shared" si="1"/>
        <v>294.26224819070717</v>
      </c>
    </row>
    <row r="57" spans="1:12" x14ac:dyDescent="0.3">
      <c r="A57">
        <v>50</v>
      </c>
      <c r="B57" t="s">
        <v>188</v>
      </c>
      <c r="C57" t="s">
        <v>155</v>
      </c>
      <c r="D57" t="s">
        <v>21</v>
      </c>
      <c r="E57" t="s">
        <v>22</v>
      </c>
      <c r="F57">
        <v>3.28</v>
      </c>
      <c r="G57">
        <v>1761690</v>
      </c>
      <c r="H57">
        <v>1761689.875</v>
      </c>
      <c r="I57" cm="1">
        <f t="array" ref="I57">TREND($Y$8:$Y$14,$W$8:$W$14,H57)</f>
        <v>262.2047321229212</v>
      </c>
      <c r="J57">
        <f t="shared" si="0"/>
        <v>78.66141963687636</v>
      </c>
      <c r="K57">
        <v>0.21897062462024752</v>
      </c>
      <c r="L57" s="2">
        <f t="shared" si="1"/>
        <v>359.23274993299162</v>
      </c>
    </row>
    <row r="58" spans="1:12" x14ac:dyDescent="0.3">
      <c r="A58">
        <v>51</v>
      </c>
      <c r="B58" t="s">
        <v>189</v>
      </c>
      <c r="C58" t="s">
        <v>156</v>
      </c>
      <c r="D58" t="s">
        <v>21</v>
      </c>
      <c r="E58" t="s">
        <v>23</v>
      </c>
      <c r="F58">
        <v>3.28</v>
      </c>
      <c r="G58">
        <v>2055282</v>
      </c>
      <c r="H58">
        <v>2055281.625</v>
      </c>
      <c r="I58" cm="1">
        <f t="array" ref="I58">TREND($Y$8:$Y$14,$W$8:$W$14,H58)</f>
        <v>306.76640586237693</v>
      </c>
      <c r="J58">
        <f t="shared" si="0"/>
        <v>92.029921758713073</v>
      </c>
      <c r="K58">
        <v>0.11271179879388092</v>
      </c>
      <c r="L58" s="2">
        <f t="shared" si="1"/>
        <v>816.50654805900706</v>
      </c>
    </row>
    <row r="59" spans="1:12" x14ac:dyDescent="0.3">
      <c r="A59">
        <v>52</v>
      </c>
      <c r="B59" t="s">
        <v>190</v>
      </c>
      <c r="C59" t="s">
        <v>157</v>
      </c>
      <c r="D59" t="s">
        <v>21</v>
      </c>
      <c r="E59" t="s">
        <v>24</v>
      </c>
      <c r="F59">
        <v>3.28</v>
      </c>
      <c r="G59">
        <v>1523400</v>
      </c>
      <c r="H59">
        <v>1523399.75</v>
      </c>
      <c r="I59" cm="1">
        <f t="array" ref="I59">TREND($Y$8:$Y$14,$W$8:$W$14,H59)</f>
        <v>226.0367989109555</v>
      </c>
      <c r="J59">
        <f t="shared" si="0"/>
        <v>67.811039673286643</v>
      </c>
      <c r="K59">
        <v>9.1782030070505644E-2</v>
      </c>
      <c r="L59" s="2">
        <f t="shared" si="1"/>
        <v>738.82697540243089</v>
      </c>
    </row>
    <row r="60" spans="1:12" x14ac:dyDescent="0.3">
      <c r="A60">
        <v>53</v>
      </c>
      <c r="B60" t="s">
        <v>191</v>
      </c>
      <c r="C60" t="s">
        <v>158</v>
      </c>
      <c r="D60" t="s">
        <v>21</v>
      </c>
      <c r="E60" t="s">
        <v>25</v>
      </c>
      <c r="F60">
        <v>3.28</v>
      </c>
      <c r="G60">
        <v>1276297</v>
      </c>
      <c r="H60">
        <v>1276296.5</v>
      </c>
      <c r="I60" cm="1">
        <f t="array" ref="I60">TREND($Y$8:$Y$14,$W$8:$W$14,H60)</f>
        <v>188.53120004293834</v>
      </c>
      <c r="J60">
        <f t="shared" si="0"/>
        <v>56.559360012881505</v>
      </c>
      <c r="K60">
        <v>0.16584121170706426</v>
      </c>
      <c r="L60" s="2">
        <f t="shared" si="1"/>
        <v>341.04526511049528</v>
      </c>
    </row>
    <row r="61" spans="1:12" x14ac:dyDescent="0.3">
      <c r="A61">
        <v>54</v>
      </c>
      <c r="B61" t="s">
        <v>192</v>
      </c>
      <c r="C61" t="s">
        <v>159</v>
      </c>
      <c r="D61" t="s">
        <v>21</v>
      </c>
      <c r="E61" t="s">
        <v>26</v>
      </c>
      <c r="F61">
        <v>3.28</v>
      </c>
      <c r="G61">
        <v>1520703</v>
      </c>
      <c r="H61">
        <v>1520702.875</v>
      </c>
      <c r="I61" cm="1">
        <f t="array" ref="I61">TREND($Y$8:$Y$14,$W$8:$W$14,H61)</f>
        <v>225.6274643030651</v>
      </c>
      <c r="J61">
        <f t="shared" si="0"/>
        <v>67.68823929091954</v>
      </c>
      <c r="K61">
        <v>0.20850574025855992</v>
      </c>
      <c r="L61" s="2">
        <f t="shared" si="1"/>
        <v>324.63489593611172</v>
      </c>
    </row>
    <row r="62" spans="1:12" x14ac:dyDescent="0.3">
      <c r="A62">
        <v>55</v>
      </c>
      <c r="B62" t="s">
        <v>193</v>
      </c>
      <c r="C62" t="s">
        <v>160</v>
      </c>
      <c r="D62" t="s">
        <v>21</v>
      </c>
      <c r="E62" t="s">
        <v>27</v>
      </c>
      <c r="F62">
        <v>3.28</v>
      </c>
      <c r="G62">
        <v>1534324</v>
      </c>
      <c r="H62">
        <v>1534323.5</v>
      </c>
      <c r="I62" cm="1">
        <f t="array" ref="I62">TREND($Y$8:$Y$14,$W$8:$W$14,H62)</f>
        <v>227.69481751505924</v>
      </c>
      <c r="J62">
        <f t="shared" si="0"/>
        <v>68.308445254517778</v>
      </c>
      <c r="K62">
        <v>0.15457133624063138</v>
      </c>
      <c r="L62" s="2">
        <f t="shared" si="1"/>
        <v>441.92181368075592</v>
      </c>
    </row>
    <row r="63" spans="1:12" x14ac:dyDescent="0.3">
      <c r="A63">
        <v>56</v>
      </c>
      <c r="B63" t="s">
        <v>194</v>
      </c>
      <c r="C63" t="s">
        <v>161</v>
      </c>
      <c r="D63" t="s">
        <v>21</v>
      </c>
      <c r="E63" t="s">
        <v>28</v>
      </c>
      <c r="F63">
        <v>3.28</v>
      </c>
      <c r="G63">
        <v>1364485</v>
      </c>
      <c r="H63">
        <v>1364484.875</v>
      </c>
      <c r="I63" cm="1">
        <f t="array" ref="I63">TREND($Y$8:$Y$14,$W$8:$W$14,H63)</f>
        <v>201.91652709781226</v>
      </c>
      <c r="J63">
        <f t="shared" si="0"/>
        <v>60.574958129343685</v>
      </c>
      <c r="K63">
        <v>0.22863051787718996</v>
      </c>
      <c r="L63" s="2">
        <f t="shared" si="1"/>
        <v>264.94694886656305</v>
      </c>
    </row>
    <row r="64" spans="1:12" x14ac:dyDescent="0.3">
      <c r="A64">
        <v>57</v>
      </c>
      <c r="B64" t="s">
        <v>195</v>
      </c>
      <c r="C64" t="s">
        <v>162</v>
      </c>
      <c r="D64" t="s">
        <v>21</v>
      </c>
      <c r="E64" t="s">
        <v>29</v>
      </c>
      <c r="F64">
        <v>3.28</v>
      </c>
      <c r="G64">
        <v>1610396</v>
      </c>
      <c r="H64">
        <v>1610396.25</v>
      </c>
      <c r="I64" cm="1">
        <f t="array" ref="I64">TREND($Y$8:$Y$14,$W$8:$W$14,H64)</f>
        <v>239.24122188767251</v>
      </c>
      <c r="J64">
        <f t="shared" si="0"/>
        <v>71.772366566301741</v>
      </c>
      <c r="K64">
        <v>0.19079593595416544</v>
      </c>
      <c r="L64" s="2">
        <f t="shared" si="1"/>
        <v>376.17345572572094</v>
      </c>
    </row>
    <row r="65" spans="1:12" x14ac:dyDescent="0.3">
      <c r="A65">
        <v>58</v>
      </c>
      <c r="B65" t="s">
        <v>196</v>
      </c>
      <c r="C65" t="s">
        <v>163</v>
      </c>
      <c r="D65" t="s">
        <v>21</v>
      </c>
      <c r="E65" t="s">
        <v>30</v>
      </c>
      <c r="F65">
        <v>3.27</v>
      </c>
      <c r="G65">
        <v>1785961</v>
      </c>
      <c r="H65">
        <v>1785960.5</v>
      </c>
      <c r="I65" cm="1">
        <f t="array" ref="I65">TREND($Y$8:$Y$14,$W$8:$W$14,H65)</f>
        <v>265.88855386758081</v>
      </c>
      <c r="J65">
        <f t="shared" si="0"/>
        <v>79.766566160274238</v>
      </c>
      <c r="K65">
        <v>0.13122659420302052</v>
      </c>
      <c r="L65" s="2">
        <f t="shared" si="1"/>
        <v>607.85366445514444</v>
      </c>
    </row>
    <row r="66" spans="1:12" x14ac:dyDescent="0.3">
      <c r="A66">
        <v>59</v>
      </c>
      <c r="B66" t="s">
        <v>197</v>
      </c>
      <c r="C66" t="s">
        <v>164</v>
      </c>
      <c r="D66" t="s">
        <v>21</v>
      </c>
      <c r="E66" t="s">
        <v>31</v>
      </c>
      <c r="F66">
        <v>3.28</v>
      </c>
      <c r="G66">
        <v>1032781</v>
      </c>
      <c r="H66">
        <v>1032781.438</v>
      </c>
      <c r="I66" cm="1">
        <f t="array" ref="I66">TREND($Y$8:$Y$14,$W$8:$W$14,H66)</f>
        <v>151.57022023513605</v>
      </c>
      <c r="J66">
        <f t="shared" si="0"/>
        <v>45.471066070540815</v>
      </c>
      <c r="K66">
        <v>0.13927650525047255</v>
      </c>
      <c r="L66" s="2">
        <f t="shared" si="1"/>
        <v>326.48052152634364</v>
      </c>
    </row>
    <row r="67" spans="1:12" x14ac:dyDescent="0.3">
      <c r="A67">
        <v>60</v>
      </c>
      <c r="B67" t="s">
        <v>198</v>
      </c>
      <c r="C67" t="s">
        <v>165</v>
      </c>
      <c r="D67" t="s">
        <v>21</v>
      </c>
      <c r="E67" t="s">
        <v>32</v>
      </c>
      <c r="F67">
        <v>3.28</v>
      </c>
      <c r="G67">
        <v>1593535</v>
      </c>
      <c r="H67">
        <v>1593534.875</v>
      </c>
      <c r="I67" cm="1">
        <f t="array" ref="I67">TREND($Y$8:$Y$14,$W$8:$W$14,H67)</f>
        <v>236.681984131337</v>
      </c>
      <c r="J67">
        <f t="shared" si="0"/>
        <v>71.004595239401112</v>
      </c>
      <c r="K67">
        <v>9.7416967803722054E-2</v>
      </c>
      <c r="L67" s="2">
        <f t="shared" si="1"/>
        <v>728.87297603496347</v>
      </c>
    </row>
    <row r="68" spans="1:12" x14ac:dyDescent="0.3">
      <c r="A68">
        <v>61</v>
      </c>
      <c r="B68" t="s">
        <v>199</v>
      </c>
      <c r="C68" t="s">
        <v>166</v>
      </c>
      <c r="D68" t="s">
        <v>21</v>
      </c>
      <c r="E68" t="s">
        <v>33</v>
      </c>
      <c r="F68">
        <v>3.28</v>
      </c>
      <c r="G68">
        <v>1411638</v>
      </c>
      <c r="H68">
        <v>1411637.875</v>
      </c>
      <c r="I68" cm="1">
        <f t="array" ref="I68">TREND($Y$8:$Y$14,$W$8:$W$14,H68)</f>
        <v>209.0734604988242</v>
      </c>
      <c r="J68">
        <f t="shared" si="0"/>
        <v>62.722038149647261</v>
      </c>
      <c r="K68">
        <v>7.4877216870856411E-2</v>
      </c>
      <c r="L68" s="2">
        <f t="shared" si="1"/>
        <v>837.66519070582376</v>
      </c>
    </row>
    <row r="69" spans="1:12" x14ac:dyDescent="0.3">
      <c r="A69">
        <v>62</v>
      </c>
      <c r="B69" t="s">
        <v>200</v>
      </c>
      <c r="C69" t="s">
        <v>167</v>
      </c>
      <c r="D69" t="s">
        <v>21</v>
      </c>
      <c r="E69" t="s">
        <v>34</v>
      </c>
      <c r="F69">
        <v>3.28</v>
      </c>
      <c r="G69">
        <v>2790892</v>
      </c>
      <c r="H69">
        <v>2790891.5</v>
      </c>
      <c r="I69" cm="1">
        <f t="array" ref="I69">TREND($Y$8:$Y$14,$W$8:$W$14,H69)</f>
        <v>418.41806926665112</v>
      </c>
      <c r="J69">
        <f t="shared" si="0"/>
        <v>125.52542077999534</v>
      </c>
      <c r="K69">
        <v>0.14491144298368897</v>
      </c>
      <c r="L69" s="2">
        <f t="shared" si="1"/>
        <v>866.22159158351849</v>
      </c>
    </row>
    <row r="70" spans="1:12" x14ac:dyDescent="0.3">
      <c r="A70">
        <v>63</v>
      </c>
      <c r="B70" t="s">
        <v>201</v>
      </c>
      <c r="C70" t="s">
        <v>168</v>
      </c>
      <c r="D70" t="s">
        <v>21</v>
      </c>
      <c r="E70" t="s">
        <v>35</v>
      </c>
      <c r="F70">
        <v>3.28</v>
      </c>
      <c r="G70">
        <v>1739103</v>
      </c>
      <c r="H70">
        <v>1739103.125</v>
      </c>
      <c r="I70" cm="1">
        <f t="array" ref="I70">TREND($Y$8:$Y$14,$W$8:$W$14,H70)</f>
        <v>258.77649074919509</v>
      </c>
      <c r="J70">
        <f t="shared" si="0"/>
        <v>77.632947224758539</v>
      </c>
      <c r="K70">
        <v>0.14571643408843418</v>
      </c>
      <c r="L70" s="2">
        <f t="shared" si="1"/>
        <v>532.76727302868051</v>
      </c>
    </row>
    <row r="71" spans="1:12" x14ac:dyDescent="0.3">
      <c r="A71">
        <v>64</v>
      </c>
      <c r="B71" t="s">
        <v>202</v>
      </c>
      <c r="C71" t="s">
        <v>169</v>
      </c>
      <c r="D71" t="s">
        <v>21</v>
      </c>
      <c r="E71" t="s">
        <v>36</v>
      </c>
      <c r="F71">
        <v>3.28</v>
      </c>
      <c r="G71">
        <v>1454421</v>
      </c>
      <c r="H71">
        <v>1454420.625</v>
      </c>
      <c r="I71" cm="1">
        <f t="array" ref="I71">TREND($Y$8:$Y$14,$W$8:$W$14,H71)</f>
        <v>215.56707262238257</v>
      </c>
      <c r="J71">
        <f t="shared" si="0"/>
        <v>64.670121786714759</v>
      </c>
      <c r="K71">
        <v>0.26405012648597881</v>
      </c>
      <c r="L71" s="2">
        <f t="shared" si="1"/>
        <v>244.91607956169176</v>
      </c>
    </row>
    <row r="72" spans="1:12" x14ac:dyDescent="0.3">
      <c r="A72">
        <v>65</v>
      </c>
      <c r="B72" t="s">
        <v>203</v>
      </c>
      <c r="C72" t="s">
        <v>170</v>
      </c>
      <c r="D72" t="s">
        <v>21</v>
      </c>
      <c r="E72" t="s">
        <v>37</v>
      </c>
      <c r="F72">
        <v>3.28</v>
      </c>
      <c r="G72">
        <v>2091988</v>
      </c>
      <c r="H72">
        <v>2091987.625</v>
      </c>
      <c r="I72" cm="1">
        <f t="array" ref="I72">TREND($Y$8:$Y$14,$W$8:$W$14,H72)</f>
        <v>312.33768229054789</v>
      </c>
      <c r="J72">
        <f t="shared" si="0"/>
        <v>93.701304687164367</v>
      </c>
      <c r="K72">
        <v>0.17469611385926145</v>
      </c>
      <c r="L72" s="2">
        <f t="shared" si="1"/>
        <v>536.36742465062468</v>
      </c>
    </row>
    <row r="73" spans="1:12" x14ac:dyDescent="0.3">
      <c r="A73">
        <v>66</v>
      </c>
      <c r="B73" t="s">
        <v>204</v>
      </c>
      <c r="C73" t="s">
        <v>171</v>
      </c>
      <c r="D73" t="s">
        <v>21</v>
      </c>
      <c r="E73" t="s">
        <v>38</v>
      </c>
      <c r="F73">
        <v>3.28</v>
      </c>
      <c r="G73">
        <v>1122942</v>
      </c>
      <c r="H73">
        <v>1122941.5</v>
      </c>
      <c r="I73" cm="1">
        <f t="array" ref="I73">TREND($Y$8:$Y$14,$W$8:$W$14,H73)</f>
        <v>165.25481207796918</v>
      </c>
      <c r="J73">
        <f t="shared" ref="J73" si="2">I73/(2/0.2)*3</f>
        <v>49.576443623390759</v>
      </c>
      <c r="K73">
        <v>0.1175417454223521</v>
      </c>
      <c r="L73" s="2">
        <f t="shared" ref="L73" si="3">J73/K73</f>
        <v>421.77733064327248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9F5F-C35B-476A-83CE-9916917F26BB}">
  <dimension ref="A1:AB73"/>
  <sheetViews>
    <sheetView topLeftCell="I17" workbookViewId="0">
      <selection activeCell="P33" sqref="P33:AF55"/>
    </sheetView>
  </sheetViews>
  <sheetFormatPr defaultRowHeight="16.5" x14ac:dyDescent="0.3"/>
  <cols>
    <col min="3" max="3" width="17.625" bestFit="1" customWidth="1"/>
    <col min="12" max="12" width="17.125" customWidth="1"/>
  </cols>
  <sheetData>
    <row r="1" spans="1:28" x14ac:dyDescent="0.3">
      <c r="A1" t="s">
        <v>0</v>
      </c>
      <c r="Q1" t="s">
        <v>0</v>
      </c>
    </row>
    <row r="3" spans="1:28" x14ac:dyDescent="0.3">
      <c r="A3" t="s">
        <v>255</v>
      </c>
      <c r="Q3" t="s">
        <v>216</v>
      </c>
    </row>
    <row r="5" spans="1:28" x14ac:dyDescent="0.3">
      <c r="A5" t="s">
        <v>101</v>
      </c>
      <c r="Q5" t="s">
        <v>69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9</v>
      </c>
      <c r="J7" t="s">
        <v>260</v>
      </c>
      <c r="K7" t="s">
        <v>261</v>
      </c>
      <c r="L7" s="1" t="s">
        <v>262</v>
      </c>
      <c r="R7" t="s">
        <v>1</v>
      </c>
      <c r="S7" t="s">
        <v>2</v>
      </c>
      <c r="T7" t="s">
        <v>3</v>
      </c>
      <c r="U7" t="s">
        <v>4</v>
      </c>
      <c r="V7" t="s">
        <v>5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B7" t="s">
        <v>11</v>
      </c>
    </row>
    <row r="8" spans="1:28" x14ac:dyDescent="0.3">
      <c r="A8">
        <v>1</v>
      </c>
      <c r="B8" t="s">
        <v>221</v>
      </c>
      <c r="C8" t="s">
        <v>106</v>
      </c>
      <c r="D8" t="s">
        <v>21</v>
      </c>
      <c r="E8" t="s">
        <v>39</v>
      </c>
      <c r="F8">
        <v>3.52</v>
      </c>
      <c r="G8">
        <v>877799</v>
      </c>
      <c r="H8">
        <v>877799</v>
      </c>
      <c r="I8" cm="1">
        <f t="array" ref="I8">TREND($Y$8:$Y$14,$W$8:$W$14,H8)</f>
        <v>124.70492370826928</v>
      </c>
      <c r="J8">
        <f>I8/(2/0.2)*3</f>
        <v>37.411477112480782</v>
      </c>
      <c r="K8">
        <v>0.14813140740266978</v>
      </c>
      <c r="L8" s="2">
        <f>J8/K8</f>
        <v>252.55600934637789</v>
      </c>
      <c r="Q8">
        <v>1</v>
      </c>
      <c r="R8" t="s">
        <v>206</v>
      </c>
      <c r="S8" t="s">
        <v>207</v>
      </c>
      <c r="T8" t="s">
        <v>12</v>
      </c>
      <c r="U8" t="s">
        <v>208</v>
      </c>
      <c r="V8">
        <v>3.54</v>
      </c>
      <c r="W8">
        <v>41875</v>
      </c>
      <c r="X8">
        <v>41874.961000000003</v>
      </c>
      <c r="Y8">
        <v>5</v>
      </c>
      <c r="Z8">
        <v>4.2229999999999999</v>
      </c>
      <c r="AA8">
        <v>-15.5</v>
      </c>
      <c r="AB8">
        <v>130</v>
      </c>
    </row>
    <row r="9" spans="1:28" x14ac:dyDescent="0.3">
      <c r="A9">
        <v>2</v>
      </c>
      <c r="B9" t="s">
        <v>222</v>
      </c>
      <c r="C9" t="s">
        <v>107</v>
      </c>
      <c r="D9" t="s">
        <v>21</v>
      </c>
      <c r="E9" t="s">
        <v>40</v>
      </c>
      <c r="F9">
        <v>3.52</v>
      </c>
      <c r="G9">
        <v>645843</v>
      </c>
      <c r="H9">
        <v>645842.625</v>
      </c>
      <c r="I9" cm="1">
        <f t="array" ref="I9">TREND($Y$8:$Y$14,$W$8:$W$14,H9)</f>
        <v>89.586688244074224</v>
      </c>
      <c r="J9">
        <f t="shared" ref="J9:J72" si="0">I9/(2/0.2)*3</f>
        <v>26.876006473222265</v>
      </c>
      <c r="K9">
        <v>0.11673675431760691</v>
      </c>
      <c r="L9" s="2">
        <f t="shared" ref="L9:L72" si="1">J9/K9</f>
        <v>230.22746032582361</v>
      </c>
      <c r="Q9">
        <v>2</v>
      </c>
      <c r="R9" t="s">
        <v>209</v>
      </c>
      <c r="S9" t="s">
        <v>62</v>
      </c>
      <c r="T9" t="s">
        <v>12</v>
      </c>
      <c r="U9" t="s">
        <v>13</v>
      </c>
      <c r="V9">
        <v>3.54</v>
      </c>
      <c r="W9">
        <v>85934</v>
      </c>
      <c r="X9">
        <v>85934.077999999994</v>
      </c>
      <c r="Y9">
        <v>10</v>
      </c>
      <c r="Z9">
        <v>10.079000000000001</v>
      </c>
      <c r="AA9">
        <v>0.8</v>
      </c>
      <c r="AB9">
        <v>263</v>
      </c>
    </row>
    <row r="10" spans="1:28" x14ac:dyDescent="0.3">
      <c r="A10">
        <v>3</v>
      </c>
      <c r="B10" t="s">
        <v>223</v>
      </c>
      <c r="C10" t="s">
        <v>108</v>
      </c>
      <c r="D10" t="s">
        <v>21</v>
      </c>
      <c r="E10" t="s">
        <v>41</v>
      </c>
      <c r="F10">
        <v>3.52</v>
      </c>
      <c r="G10">
        <v>1384970</v>
      </c>
      <c r="H10">
        <v>1384970.25</v>
      </c>
      <c r="I10" cm="1">
        <f t="array" ref="I10">TREND($Y$8:$Y$14,$W$8:$W$14,H10)</f>
        <v>201.49073905035732</v>
      </c>
      <c r="J10">
        <f t="shared" si="0"/>
        <v>60.44722171510719</v>
      </c>
      <c r="K10">
        <v>8.6147092337289247E-2</v>
      </c>
      <c r="L10" s="2">
        <f t="shared" si="1"/>
        <v>701.67454379585922</v>
      </c>
      <c r="Q10">
        <v>3</v>
      </c>
      <c r="R10" t="s">
        <v>210</v>
      </c>
      <c r="S10" t="s">
        <v>63</v>
      </c>
      <c r="T10" t="s">
        <v>12</v>
      </c>
      <c r="U10" t="s">
        <v>14</v>
      </c>
      <c r="V10">
        <v>3.53</v>
      </c>
      <c r="W10">
        <v>172367</v>
      </c>
      <c r="X10">
        <v>172367.45300000001</v>
      </c>
      <c r="Y10">
        <v>20</v>
      </c>
      <c r="Z10">
        <v>21.611000000000001</v>
      </c>
      <c r="AA10">
        <v>8.1</v>
      </c>
      <c r="AB10">
        <v>702</v>
      </c>
    </row>
    <row r="11" spans="1:28" x14ac:dyDescent="0.3">
      <c r="A11">
        <v>4</v>
      </c>
      <c r="B11" t="s">
        <v>224</v>
      </c>
      <c r="C11" t="s">
        <v>109</v>
      </c>
      <c r="D11" t="s">
        <v>21</v>
      </c>
      <c r="E11" t="s">
        <v>42</v>
      </c>
      <c r="F11">
        <v>3.52</v>
      </c>
      <c r="G11">
        <v>1041333</v>
      </c>
      <c r="H11">
        <v>1041332.75</v>
      </c>
      <c r="I11" cm="1">
        <f t="array" ref="I11">TREND($Y$8:$Y$14,$W$8:$W$14,H11)</f>
        <v>149.46396186293435</v>
      </c>
      <c r="J11">
        <f t="shared" si="0"/>
        <v>44.839188558880309</v>
      </c>
      <c r="K11">
        <v>8.9367056756270047E-2</v>
      </c>
      <c r="L11" s="2">
        <f t="shared" si="1"/>
        <v>501.74180717587933</v>
      </c>
      <c r="Q11">
        <v>4</v>
      </c>
      <c r="R11" t="s">
        <v>211</v>
      </c>
      <c r="S11" t="s">
        <v>64</v>
      </c>
      <c r="T11" t="s">
        <v>12</v>
      </c>
      <c r="U11" t="s">
        <v>15</v>
      </c>
      <c r="V11">
        <v>3.54</v>
      </c>
      <c r="W11">
        <v>393092</v>
      </c>
      <c r="X11">
        <v>393091.75</v>
      </c>
      <c r="Y11">
        <v>50</v>
      </c>
      <c r="Z11">
        <v>51.329000000000001</v>
      </c>
      <c r="AA11">
        <v>2.7</v>
      </c>
      <c r="AB11">
        <v>839</v>
      </c>
    </row>
    <row r="12" spans="1:28" x14ac:dyDescent="0.3">
      <c r="A12">
        <v>5</v>
      </c>
      <c r="B12" t="s">
        <v>225</v>
      </c>
      <c r="C12" t="s">
        <v>110</v>
      </c>
      <c r="D12" t="s">
        <v>21</v>
      </c>
      <c r="E12" t="s">
        <v>43</v>
      </c>
      <c r="F12">
        <v>3.52</v>
      </c>
      <c r="G12">
        <v>836120</v>
      </c>
      <c r="H12">
        <v>836119.56299999997</v>
      </c>
      <c r="I12" cm="1">
        <f t="array" ref="I12">TREND($Y$8:$Y$14,$W$8:$W$14,H12)</f>
        <v>118.39464970704346</v>
      </c>
      <c r="J12">
        <f t="shared" si="0"/>
        <v>35.518394912113038</v>
      </c>
      <c r="K12">
        <v>9.3392012279996037E-2</v>
      </c>
      <c r="L12" s="2">
        <f t="shared" si="1"/>
        <v>380.31512594060302</v>
      </c>
      <c r="Q12">
        <v>5</v>
      </c>
      <c r="R12" t="s">
        <v>212</v>
      </c>
      <c r="S12" t="s">
        <v>65</v>
      </c>
      <c r="T12" t="s">
        <v>12</v>
      </c>
      <c r="U12" t="s">
        <v>16</v>
      </c>
      <c r="V12">
        <v>3.54</v>
      </c>
      <c r="W12">
        <v>824293</v>
      </c>
      <c r="X12">
        <v>824292.5</v>
      </c>
      <c r="Y12">
        <v>100</v>
      </c>
      <c r="Z12">
        <v>110.542</v>
      </c>
      <c r="AA12">
        <v>10.5</v>
      </c>
      <c r="AB12">
        <v>2646</v>
      </c>
    </row>
    <row r="13" spans="1:28" x14ac:dyDescent="0.3">
      <c r="A13">
        <v>6</v>
      </c>
      <c r="B13" t="s">
        <v>226</v>
      </c>
      <c r="C13" t="s">
        <v>111</v>
      </c>
      <c r="D13" t="s">
        <v>21</v>
      </c>
      <c r="E13" t="s">
        <v>44</v>
      </c>
      <c r="F13">
        <v>3.52</v>
      </c>
      <c r="G13">
        <v>838515</v>
      </c>
      <c r="H13">
        <v>838514.75</v>
      </c>
      <c r="I13" cm="1">
        <f t="array" ref="I13">TREND($Y$8:$Y$14,$W$8:$W$14,H13)</f>
        <v>118.75728143487065</v>
      </c>
      <c r="J13">
        <f t="shared" si="0"/>
        <v>35.627184430461192</v>
      </c>
      <c r="K13">
        <v>0.18918595374467503</v>
      </c>
      <c r="L13" s="2">
        <f t="shared" si="1"/>
        <v>188.31833825540539</v>
      </c>
      <c r="Q13">
        <v>6</v>
      </c>
      <c r="R13" t="s">
        <v>213</v>
      </c>
      <c r="S13" t="s">
        <v>66</v>
      </c>
      <c r="T13" t="s">
        <v>12</v>
      </c>
      <c r="U13" t="s">
        <v>17</v>
      </c>
      <c r="V13">
        <v>3.53</v>
      </c>
      <c r="W13">
        <v>1376796</v>
      </c>
      <c r="X13">
        <v>1376796.25</v>
      </c>
      <c r="Y13">
        <v>200</v>
      </c>
      <c r="Z13">
        <v>188.82900000000001</v>
      </c>
      <c r="AA13">
        <v>-5.6</v>
      </c>
      <c r="AB13">
        <v>4656</v>
      </c>
    </row>
    <row r="14" spans="1:28" x14ac:dyDescent="0.3">
      <c r="A14">
        <v>7</v>
      </c>
      <c r="B14" t="s">
        <v>227</v>
      </c>
      <c r="C14" t="s">
        <v>112</v>
      </c>
      <c r="D14" t="s">
        <v>21</v>
      </c>
      <c r="E14" t="s">
        <v>45</v>
      </c>
      <c r="F14">
        <v>3.52</v>
      </c>
      <c r="G14">
        <v>696708</v>
      </c>
      <c r="H14">
        <v>696708.375</v>
      </c>
      <c r="I14" cm="1">
        <f t="array" ref="I14">TREND($Y$8:$Y$14,$W$8:$W$14,H14)</f>
        <v>97.28777162909816</v>
      </c>
      <c r="J14">
        <f t="shared" si="0"/>
        <v>29.186331488729451</v>
      </c>
      <c r="K14">
        <v>9.2587021175250833E-2</v>
      </c>
      <c r="L14" s="2">
        <f t="shared" si="1"/>
        <v>315.23134796058395</v>
      </c>
      <c r="Q14">
        <v>7</v>
      </c>
      <c r="R14" t="s">
        <v>214</v>
      </c>
      <c r="S14" t="s">
        <v>67</v>
      </c>
      <c r="T14" t="s">
        <v>12</v>
      </c>
      <c r="U14" t="s">
        <v>18</v>
      </c>
      <c r="V14">
        <v>3.54</v>
      </c>
      <c r="W14">
        <v>3329929</v>
      </c>
      <c r="X14">
        <v>3329929</v>
      </c>
      <c r="Y14">
        <v>500</v>
      </c>
      <c r="Z14">
        <v>492.41800000000001</v>
      </c>
      <c r="AA14">
        <v>-1.5</v>
      </c>
      <c r="AB14">
        <v>8458</v>
      </c>
    </row>
    <row r="15" spans="1:28" x14ac:dyDescent="0.3">
      <c r="A15">
        <v>8</v>
      </c>
      <c r="B15" t="s">
        <v>228</v>
      </c>
      <c r="C15" t="s">
        <v>113</v>
      </c>
      <c r="D15" t="s">
        <v>21</v>
      </c>
      <c r="E15" t="s">
        <v>46</v>
      </c>
      <c r="F15">
        <v>3.52</v>
      </c>
      <c r="G15">
        <v>441970</v>
      </c>
      <c r="H15">
        <v>441970.25</v>
      </c>
      <c r="I15" cm="1">
        <f t="array" ref="I15">TREND($Y$8:$Y$14,$W$8:$W$14,H15)</f>
        <v>58.720375257872973</v>
      </c>
      <c r="J15">
        <f t="shared" si="0"/>
        <v>17.616112577361889</v>
      </c>
      <c r="K15">
        <v>0.14974138961216016</v>
      </c>
      <c r="L15" s="2">
        <f t="shared" si="1"/>
        <v>117.64357618817853</v>
      </c>
      <c r="Q15">
        <v>8</v>
      </c>
      <c r="R15" t="s">
        <v>215</v>
      </c>
      <c r="S15" t="s">
        <v>68</v>
      </c>
      <c r="T15" t="s">
        <v>12</v>
      </c>
      <c r="U15" t="s">
        <v>19</v>
      </c>
      <c r="V15">
        <v>3.53</v>
      </c>
      <c r="W15">
        <v>5952292</v>
      </c>
      <c r="X15">
        <v>5952291.5</v>
      </c>
      <c r="Y15">
        <v>1000</v>
      </c>
      <c r="Z15">
        <v>1006.937</v>
      </c>
      <c r="AA15">
        <v>0.7</v>
      </c>
      <c r="AB15">
        <v>14030</v>
      </c>
    </row>
    <row r="16" spans="1:28" x14ac:dyDescent="0.3">
      <c r="A16">
        <v>9</v>
      </c>
      <c r="B16" t="s">
        <v>229</v>
      </c>
      <c r="C16" t="s">
        <v>114</v>
      </c>
      <c r="D16" t="s">
        <v>21</v>
      </c>
      <c r="E16" t="s">
        <v>47</v>
      </c>
      <c r="F16">
        <v>3.52</v>
      </c>
      <c r="G16">
        <v>1878125</v>
      </c>
      <c r="H16">
        <v>1878125.375</v>
      </c>
      <c r="I16" cm="1">
        <f t="array" ref="I16">TREND($Y$8:$Y$14,$W$8:$W$14,H16)</f>
        <v>276.15451063294279</v>
      </c>
      <c r="J16">
        <f t="shared" si="0"/>
        <v>82.846353189882848</v>
      </c>
      <c r="K16">
        <v>0.19965083810636269</v>
      </c>
      <c r="L16" s="2">
        <f t="shared" si="1"/>
        <v>414.95620041297792</v>
      </c>
    </row>
    <row r="17" spans="1:12" x14ac:dyDescent="0.3">
      <c r="A17">
        <v>10</v>
      </c>
      <c r="B17" t="s">
        <v>230</v>
      </c>
      <c r="C17" t="s">
        <v>115</v>
      </c>
      <c r="D17" t="s">
        <v>21</v>
      </c>
      <c r="E17" t="s">
        <v>48</v>
      </c>
      <c r="F17">
        <v>3.52</v>
      </c>
      <c r="G17">
        <v>1862061</v>
      </c>
      <c r="H17">
        <v>1862060.75</v>
      </c>
      <c r="I17" cm="1">
        <f t="array" ref="I17">TREND($Y$8:$Y$14,$W$8:$W$14,H17)</f>
        <v>273.72232361763014</v>
      </c>
      <c r="J17">
        <f t="shared" si="0"/>
        <v>82.116697085289047</v>
      </c>
      <c r="K17">
        <v>0.22058060682973793</v>
      </c>
      <c r="L17" s="2">
        <f t="shared" si="1"/>
        <v>372.27523428056122</v>
      </c>
    </row>
    <row r="18" spans="1:12" x14ac:dyDescent="0.3">
      <c r="A18">
        <v>11</v>
      </c>
      <c r="B18" t="s">
        <v>231</v>
      </c>
      <c r="C18" t="s">
        <v>116</v>
      </c>
      <c r="D18" t="s">
        <v>21</v>
      </c>
      <c r="E18" t="s">
        <v>49</v>
      </c>
      <c r="F18">
        <v>3.52</v>
      </c>
      <c r="G18">
        <v>1642702</v>
      </c>
      <c r="H18">
        <v>1642701.875</v>
      </c>
      <c r="I18" cm="1">
        <f t="array" ref="I18">TREND($Y$8:$Y$14,$W$8:$W$14,H18)</f>
        <v>240.51135184153247</v>
      </c>
      <c r="J18">
        <f t="shared" si="0"/>
        <v>72.153405552459731</v>
      </c>
      <c r="K18">
        <v>0.12720163867929454</v>
      </c>
      <c r="L18" s="2">
        <f t="shared" si="1"/>
        <v>567.23644680691223</v>
      </c>
    </row>
    <row r="19" spans="1:12" x14ac:dyDescent="0.3">
      <c r="A19">
        <v>12</v>
      </c>
      <c r="B19" t="s">
        <v>232</v>
      </c>
      <c r="C19" t="s">
        <v>117</v>
      </c>
      <c r="D19" t="s">
        <v>21</v>
      </c>
      <c r="E19" t="s">
        <v>50</v>
      </c>
      <c r="F19">
        <v>3.52</v>
      </c>
      <c r="G19">
        <v>1169616</v>
      </c>
      <c r="H19">
        <v>1169615.5</v>
      </c>
      <c r="I19" cm="1">
        <f t="array" ref="I19">TREND($Y$8:$Y$14,$W$8:$W$14,H19)</f>
        <v>168.88599249474805</v>
      </c>
      <c r="J19">
        <f t="shared" si="0"/>
        <v>50.66579774842441</v>
      </c>
      <c r="K19">
        <v>0.1594012828691026</v>
      </c>
      <c r="L19" s="2">
        <f t="shared" si="1"/>
        <v>317.85062727525366</v>
      </c>
    </row>
    <row r="20" spans="1:12" x14ac:dyDescent="0.3">
      <c r="A20">
        <v>13</v>
      </c>
      <c r="B20" t="s">
        <v>233</v>
      </c>
      <c r="C20" t="s">
        <v>118</v>
      </c>
      <c r="D20" t="s">
        <v>21</v>
      </c>
      <c r="E20" t="s">
        <v>51</v>
      </c>
      <c r="F20">
        <v>3.52</v>
      </c>
      <c r="G20">
        <v>1648997</v>
      </c>
      <c r="H20">
        <v>1648997</v>
      </c>
      <c r="I20" cm="1">
        <f t="array" ref="I20">TREND($Y$8:$Y$14,$W$8:$W$14,H20)</f>
        <v>241.4644348599515</v>
      </c>
      <c r="J20">
        <f t="shared" si="0"/>
        <v>72.439330457985449</v>
      </c>
      <c r="K20">
        <v>0.14491144298368897</v>
      </c>
      <c r="L20" s="2">
        <f t="shared" si="1"/>
        <v>499.88688930617525</v>
      </c>
    </row>
    <row r="21" spans="1:12" x14ac:dyDescent="0.3">
      <c r="A21">
        <v>14</v>
      </c>
      <c r="B21" t="s">
        <v>234</v>
      </c>
      <c r="C21" t="s">
        <v>119</v>
      </c>
      <c r="D21" t="s">
        <v>21</v>
      </c>
      <c r="E21" t="s">
        <v>52</v>
      </c>
      <c r="F21">
        <v>3.52</v>
      </c>
      <c r="G21">
        <v>1949668</v>
      </c>
      <c r="H21">
        <v>1949668.125</v>
      </c>
      <c r="I21" cm="1">
        <f t="array" ref="I21">TREND($Y$8:$Y$14,$W$8:$W$14,H21)</f>
        <v>286.98609540941658</v>
      </c>
      <c r="J21">
        <f t="shared" si="0"/>
        <v>86.095828622824968</v>
      </c>
      <c r="K21">
        <v>0.24553533107683917</v>
      </c>
      <c r="L21" s="2">
        <f t="shared" si="1"/>
        <v>350.64537655430803</v>
      </c>
    </row>
    <row r="22" spans="1:12" x14ac:dyDescent="0.3">
      <c r="A22">
        <v>15</v>
      </c>
      <c r="B22" t="s">
        <v>235</v>
      </c>
      <c r="C22" t="s">
        <v>120</v>
      </c>
      <c r="D22" t="s">
        <v>21</v>
      </c>
      <c r="E22" t="s">
        <v>53</v>
      </c>
      <c r="F22">
        <v>3.52</v>
      </c>
      <c r="G22">
        <v>2408867</v>
      </c>
      <c r="H22">
        <v>2408867.25</v>
      </c>
      <c r="I22" cm="1">
        <f t="array" ref="I22">TREND($Y$8:$Y$14,$W$8:$W$14,H22)</f>
        <v>356.50892269408303</v>
      </c>
      <c r="J22">
        <f t="shared" si="0"/>
        <v>106.95267680822491</v>
      </c>
      <c r="K22">
        <v>0.3002747261995129</v>
      </c>
      <c r="L22" s="2">
        <f t="shared" si="1"/>
        <v>356.1827469194389</v>
      </c>
    </row>
    <row r="23" spans="1:12" x14ac:dyDescent="0.3">
      <c r="A23">
        <v>16</v>
      </c>
      <c r="B23" t="s">
        <v>236</v>
      </c>
      <c r="C23" t="s">
        <v>121</v>
      </c>
      <c r="D23" t="s">
        <v>21</v>
      </c>
      <c r="E23" t="s">
        <v>54</v>
      </c>
      <c r="F23">
        <v>3.52</v>
      </c>
      <c r="G23">
        <v>1324085</v>
      </c>
      <c r="H23">
        <v>1324085.125</v>
      </c>
      <c r="I23" cm="1">
        <f t="array" ref="I23">TREND($Y$8:$Y$14,$W$8:$W$14,H23)</f>
        <v>192.27272055003823</v>
      </c>
      <c r="J23">
        <f t="shared" si="0"/>
        <v>57.681816165011469</v>
      </c>
      <c r="K23">
        <v>0.17147614944028067</v>
      </c>
      <c r="L23" s="2">
        <f t="shared" si="1"/>
        <v>336.38390151220472</v>
      </c>
    </row>
    <row r="24" spans="1:12" x14ac:dyDescent="0.3">
      <c r="A24">
        <v>17</v>
      </c>
      <c r="B24" t="s">
        <v>237</v>
      </c>
      <c r="C24" t="s">
        <v>122</v>
      </c>
      <c r="D24" t="s">
        <v>21</v>
      </c>
      <c r="E24" t="s">
        <v>55</v>
      </c>
      <c r="F24">
        <v>3.52</v>
      </c>
      <c r="G24">
        <v>1382184</v>
      </c>
      <c r="H24">
        <v>1382184.125</v>
      </c>
      <c r="I24" cm="1">
        <f t="array" ref="I24">TREND($Y$8:$Y$14,$W$8:$W$14,H24)</f>
        <v>201.06891924142695</v>
      </c>
      <c r="J24">
        <f t="shared" si="0"/>
        <v>60.320675772428082</v>
      </c>
      <c r="K24">
        <v>0.18113604269722305</v>
      </c>
      <c r="L24" s="2">
        <f t="shared" si="1"/>
        <v>333.01310371043479</v>
      </c>
    </row>
    <row r="25" spans="1:12" x14ac:dyDescent="0.3">
      <c r="A25">
        <v>18</v>
      </c>
      <c r="B25" t="s">
        <v>238</v>
      </c>
      <c r="C25" t="s">
        <v>123</v>
      </c>
      <c r="D25" t="s">
        <v>21</v>
      </c>
      <c r="E25" t="s">
        <v>56</v>
      </c>
      <c r="F25">
        <v>3.52</v>
      </c>
      <c r="G25">
        <v>1238815</v>
      </c>
      <c r="H25">
        <v>1238814.75</v>
      </c>
      <c r="I25" cm="1">
        <f t="array" ref="I25">TREND($Y$8:$Y$14,$W$8:$W$14,H25)</f>
        <v>179.36277096417234</v>
      </c>
      <c r="J25">
        <f t="shared" si="0"/>
        <v>53.808831289251707</v>
      </c>
      <c r="K25">
        <v>8.2927127918308433E-2</v>
      </c>
      <c r="L25" s="2">
        <f t="shared" si="1"/>
        <v>648.86886402551909</v>
      </c>
    </row>
    <row r="26" spans="1:12" x14ac:dyDescent="0.3">
      <c r="A26">
        <v>19</v>
      </c>
      <c r="B26" t="s">
        <v>239</v>
      </c>
      <c r="C26" t="s">
        <v>124</v>
      </c>
      <c r="D26" t="s">
        <v>21</v>
      </c>
      <c r="E26" t="s">
        <v>57</v>
      </c>
      <c r="F26">
        <v>3.52</v>
      </c>
      <c r="G26">
        <v>2384607</v>
      </c>
      <c r="H26">
        <v>2384607</v>
      </c>
      <c r="I26" cm="1">
        <f t="array" ref="I26">TREND($Y$8:$Y$14,$W$8:$W$14,H26)</f>
        <v>352.83591663024782</v>
      </c>
      <c r="J26">
        <f t="shared" si="0"/>
        <v>105.85077498907434</v>
      </c>
      <c r="K26">
        <v>0.11593176321286171</v>
      </c>
      <c r="L26" s="2">
        <f t="shared" si="1"/>
        <v>913.04377726682446</v>
      </c>
    </row>
    <row r="27" spans="1:12" x14ac:dyDescent="0.3">
      <c r="A27">
        <v>20</v>
      </c>
      <c r="B27" t="s">
        <v>240</v>
      </c>
      <c r="C27" t="s">
        <v>125</v>
      </c>
      <c r="D27" t="s">
        <v>21</v>
      </c>
      <c r="E27" t="s">
        <v>58</v>
      </c>
      <c r="F27">
        <v>3.52</v>
      </c>
      <c r="G27">
        <v>2427448</v>
      </c>
      <c r="H27">
        <v>2427447.5</v>
      </c>
      <c r="I27" cm="1">
        <f t="array" ref="I27">TREND($Y$8:$Y$14,$W$8:$W$14,H27)</f>
        <v>359.32197577134212</v>
      </c>
      <c r="J27">
        <f t="shared" si="0"/>
        <v>107.79659273140263</v>
      </c>
      <c r="K27">
        <v>0.17469611385926145</v>
      </c>
      <c r="L27" s="2">
        <f t="shared" si="1"/>
        <v>617.05203596140461</v>
      </c>
    </row>
    <row r="28" spans="1:12" x14ac:dyDescent="0.3">
      <c r="A28">
        <v>21</v>
      </c>
      <c r="B28" t="s">
        <v>241</v>
      </c>
      <c r="C28" t="s">
        <v>126</v>
      </c>
      <c r="D28" t="s">
        <v>21</v>
      </c>
      <c r="E28" t="s">
        <v>59</v>
      </c>
      <c r="F28">
        <v>3.52</v>
      </c>
      <c r="G28">
        <v>1382941</v>
      </c>
      <c r="H28">
        <v>1382941</v>
      </c>
      <c r="I28" cm="1">
        <f t="array" ref="I28">TREND($Y$8:$Y$14,$W$8:$W$14,H28)</f>
        <v>201.18351024789081</v>
      </c>
      <c r="J28">
        <f t="shared" si="0"/>
        <v>60.355053074367248</v>
      </c>
      <c r="K28">
        <v>0.17952606048773259</v>
      </c>
      <c r="L28" s="2">
        <f t="shared" si="1"/>
        <v>336.1910405118673</v>
      </c>
    </row>
    <row r="29" spans="1:12" x14ac:dyDescent="0.3">
      <c r="A29">
        <v>22</v>
      </c>
      <c r="B29" t="s">
        <v>242</v>
      </c>
      <c r="C29" t="s">
        <v>127</v>
      </c>
      <c r="D29" t="s">
        <v>21</v>
      </c>
      <c r="E29" t="s">
        <v>60</v>
      </c>
      <c r="F29">
        <v>3.52</v>
      </c>
      <c r="G29">
        <v>2171133</v>
      </c>
      <c r="H29">
        <v>2171132.5</v>
      </c>
      <c r="I29" cm="1">
        <f t="array" ref="I29">TREND($Y$8:$Y$14,$W$8:$W$14,H29)</f>
        <v>320.5158402512248</v>
      </c>
      <c r="J29">
        <f t="shared" si="0"/>
        <v>96.154752075367441</v>
      </c>
      <c r="K29">
        <v>0.19723586479212707</v>
      </c>
      <c r="L29" s="2">
        <f t="shared" si="1"/>
        <v>487.51149886815909</v>
      </c>
    </row>
    <row r="30" spans="1:12" x14ac:dyDescent="0.3">
      <c r="A30">
        <v>23</v>
      </c>
      <c r="B30" t="s">
        <v>243</v>
      </c>
      <c r="C30" t="s">
        <v>128</v>
      </c>
      <c r="D30" t="s">
        <v>21</v>
      </c>
      <c r="E30" t="s">
        <v>75</v>
      </c>
      <c r="F30">
        <v>3.52</v>
      </c>
      <c r="G30">
        <v>2176357</v>
      </c>
      <c r="H30">
        <v>2176356.5</v>
      </c>
      <c r="I30" cm="1">
        <f t="array" ref="I30">TREND($Y$8:$Y$14,$W$8:$W$14,H30)</f>
        <v>321.30675475859698</v>
      </c>
      <c r="J30">
        <f t="shared" si="0"/>
        <v>96.392026427579083</v>
      </c>
      <c r="K30">
        <v>0.28417490410460888</v>
      </c>
      <c r="L30" s="2">
        <f t="shared" si="1"/>
        <v>339.19964442777041</v>
      </c>
    </row>
    <row r="31" spans="1:12" x14ac:dyDescent="0.3">
      <c r="A31">
        <v>24</v>
      </c>
      <c r="B31" t="s">
        <v>244</v>
      </c>
      <c r="C31" t="s">
        <v>129</v>
      </c>
      <c r="D31" t="s">
        <v>21</v>
      </c>
      <c r="E31" t="s">
        <v>76</v>
      </c>
      <c r="F31">
        <v>3.52</v>
      </c>
      <c r="G31">
        <v>1526036</v>
      </c>
      <c r="H31">
        <v>1526036.375</v>
      </c>
      <c r="I31" cm="1">
        <f t="array" ref="I31">TREND($Y$8:$Y$14,$W$8:$W$14,H31)</f>
        <v>222.84817487755356</v>
      </c>
      <c r="J31">
        <f t="shared" si="0"/>
        <v>66.854452463266057</v>
      </c>
      <c r="K31">
        <v>0.17872106938298743</v>
      </c>
      <c r="L31" s="2">
        <f t="shared" si="1"/>
        <v>374.07146619071187</v>
      </c>
    </row>
    <row r="32" spans="1:12" x14ac:dyDescent="0.3">
      <c r="A32">
        <v>25</v>
      </c>
      <c r="B32" t="s">
        <v>245</v>
      </c>
      <c r="C32" t="s">
        <v>130</v>
      </c>
      <c r="D32" t="s">
        <v>21</v>
      </c>
      <c r="E32" t="s">
        <v>77</v>
      </c>
      <c r="F32">
        <v>3.52</v>
      </c>
      <c r="G32">
        <v>2630685</v>
      </c>
      <c r="H32">
        <v>2630685.25</v>
      </c>
      <c r="I32" cm="1">
        <f t="array" ref="I32">TREND($Y$8:$Y$14,$W$8:$W$14,H32)</f>
        <v>390.0922064223135</v>
      </c>
      <c r="J32">
        <f t="shared" si="0"/>
        <v>117.02766192669404</v>
      </c>
      <c r="K32">
        <v>0.19884584700161748</v>
      </c>
      <c r="L32" s="2">
        <f t="shared" si="1"/>
        <v>588.53460452579679</v>
      </c>
    </row>
    <row r="33" spans="1:12" x14ac:dyDescent="0.3">
      <c r="A33">
        <v>26</v>
      </c>
      <c r="B33" t="s">
        <v>246</v>
      </c>
      <c r="C33" t="s">
        <v>131</v>
      </c>
      <c r="D33" t="s">
        <v>21</v>
      </c>
      <c r="E33" t="s">
        <v>78</v>
      </c>
      <c r="F33">
        <v>3.53</v>
      </c>
      <c r="G33">
        <v>1947596</v>
      </c>
      <c r="H33">
        <v>1947595.5</v>
      </c>
      <c r="I33" cm="1">
        <f t="array" ref="I33">TREND($Y$8:$Y$14,$W$8:$W$14,H33)</f>
        <v>286.67229962441615</v>
      </c>
      <c r="J33">
        <f t="shared" si="0"/>
        <v>86.001689887324858</v>
      </c>
      <c r="K33">
        <v>0.17469611385926145</v>
      </c>
      <c r="L33" s="2">
        <f t="shared" si="1"/>
        <v>492.29309105644717</v>
      </c>
    </row>
    <row r="34" spans="1:12" x14ac:dyDescent="0.3">
      <c r="A34">
        <v>27</v>
      </c>
      <c r="B34" t="s">
        <v>247</v>
      </c>
      <c r="C34" t="s">
        <v>132</v>
      </c>
      <c r="D34" t="s">
        <v>21</v>
      </c>
      <c r="E34" t="s">
        <v>79</v>
      </c>
      <c r="F34">
        <v>3.52</v>
      </c>
      <c r="G34">
        <v>1695216</v>
      </c>
      <c r="H34">
        <v>1695215.625</v>
      </c>
      <c r="I34" cm="1">
        <f t="array" ref="I34">TREND($Y$8:$Y$14,$W$8:$W$14,H34)</f>
        <v>248.46194271280245</v>
      </c>
      <c r="J34">
        <f t="shared" si="0"/>
        <v>74.538582813840748</v>
      </c>
      <c r="K34">
        <v>0.24875529549582001</v>
      </c>
      <c r="L34" s="2">
        <f t="shared" si="1"/>
        <v>299.64621523039403</v>
      </c>
    </row>
    <row r="35" spans="1:12" x14ac:dyDescent="0.3">
      <c r="A35">
        <v>28</v>
      </c>
      <c r="B35" t="s">
        <v>248</v>
      </c>
      <c r="C35" t="s">
        <v>133</v>
      </c>
      <c r="D35" t="s">
        <v>21</v>
      </c>
      <c r="E35" t="s">
        <v>80</v>
      </c>
      <c r="F35">
        <v>3.53</v>
      </c>
      <c r="G35">
        <v>2018542</v>
      </c>
      <c r="H35">
        <v>2018541.875</v>
      </c>
      <c r="I35" cm="1">
        <f t="array" ref="I35">TREND($Y$8:$Y$14,$W$8:$W$14,H35)</f>
        <v>297.41359312230378</v>
      </c>
      <c r="J35">
        <f t="shared" si="0"/>
        <v>89.224077936691145</v>
      </c>
      <c r="K35">
        <v>0.18274602490671343</v>
      </c>
      <c r="L35" s="2">
        <f t="shared" si="1"/>
        <v>488.24086861663591</v>
      </c>
    </row>
    <row r="36" spans="1:12" x14ac:dyDescent="0.3">
      <c r="A36">
        <v>29</v>
      </c>
      <c r="B36" t="s">
        <v>249</v>
      </c>
      <c r="C36" t="s">
        <v>134</v>
      </c>
      <c r="D36" t="s">
        <v>21</v>
      </c>
      <c r="E36" t="s">
        <v>81</v>
      </c>
      <c r="F36">
        <v>3.52</v>
      </c>
      <c r="G36">
        <v>4981728</v>
      </c>
      <c r="H36">
        <v>4981727.5</v>
      </c>
      <c r="I36" cm="1">
        <f t="array" ref="I36">TREND($Y$8:$Y$14,$W$8:$W$14,H36)</f>
        <v>746.0404114318585</v>
      </c>
      <c r="J36">
        <f t="shared" si="0"/>
        <v>223.81212342955757</v>
      </c>
      <c r="K36">
        <v>0.18113604269722305</v>
      </c>
      <c r="L36" s="2">
        <f t="shared" si="1"/>
        <v>1235.6023687879142</v>
      </c>
    </row>
    <row r="37" spans="1:12" x14ac:dyDescent="0.3">
      <c r="A37">
        <v>30</v>
      </c>
      <c r="B37" t="s">
        <v>250</v>
      </c>
      <c r="C37" t="s">
        <v>135</v>
      </c>
      <c r="D37" t="s">
        <v>21</v>
      </c>
      <c r="E37" t="s">
        <v>82</v>
      </c>
      <c r="F37">
        <v>3.52</v>
      </c>
      <c r="G37">
        <v>2328774</v>
      </c>
      <c r="H37">
        <v>2328774</v>
      </c>
      <c r="I37" cm="1">
        <f t="array" ref="I37">TREND($Y$8:$Y$14,$W$8:$W$14,H37)</f>
        <v>344.3827907324474</v>
      </c>
      <c r="J37">
        <f t="shared" si="0"/>
        <v>103.31483721973423</v>
      </c>
      <c r="K37">
        <v>0.12156670094607813</v>
      </c>
      <c r="L37" s="2">
        <f t="shared" si="1"/>
        <v>849.86132234978015</v>
      </c>
    </row>
    <row r="38" spans="1:12" x14ac:dyDescent="0.3">
      <c r="A38">
        <v>31</v>
      </c>
      <c r="B38" t="s">
        <v>251</v>
      </c>
      <c r="C38" t="s">
        <v>136</v>
      </c>
      <c r="D38" t="s">
        <v>21</v>
      </c>
      <c r="E38" t="s">
        <v>83</v>
      </c>
      <c r="F38">
        <v>3.53</v>
      </c>
      <c r="G38">
        <v>2827939</v>
      </c>
      <c r="H38">
        <v>2827938.5</v>
      </c>
      <c r="I38" cm="1">
        <f t="array" ref="I38">TREND($Y$8:$Y$14,$W$8:$W$14,H38)</f>
        <v>419.95638273381917</v>
      </c>
      <c r="J38">
        <f t="shared" si="0"/>
        <v>125.98691482014574</v>
      </c>
      <c r="K38">
        <v>8.8562065651524843E-2</v>
      </c>
      <c r="L38" s="2">
        <f t="shared" si="1"/>
        <v>1422.5832910885422</v>
      </c>
    </row>
    <row r="39" spans="1:12" x14ac:dyDescent="0.3">
      <c r="A39">
        <v>32</v>
      </c>
      <c r="B39" t="s">
        <v>252</v>
      </c>
      <c r="C39" t="s">
        <v>137</v>
      </c>
      <c r="D39" t="s">
        <v>21</v>
      </c>
      <c r="E39" t="s">
        <v>84</v>
      </c>
      <c r="F39">
        <v>3.52</v>
      </c>
      <c r="G39">
        <v>3401149</v>
      </c>
      <c r="H39">
        <v>3401148.5</v>
      </c>
      <c r="I39" cm="1">
        <f t="array" ref="I39">TREND($Y$8:$Y$14,$W$8:$W$14,H39)</f>
        <v>506.74047629637482</v>
      </c>
      <c r="J39">
        <f t="shared" si="0"/>
        <v>152.02214288891247</v>
      </c>
      <c r="K39">
        <v>0.13766652304098212</v>
      </c>
      <c r="L39" s="2">
        <f t="shared" si="1"/>
        <v>1104.278219067513</v>
      </c>
    </row>
    <row r="40" spans="1:12" x14ac:dyDescent="0.3">
      <c r="A40">
        <v>33</v>
      </c>
      <c r="B40" t="s">
        <v>253</v>
      </c>
      <c r="C40" t="s">
        <v>138</v>
      </c>
      <c r="D40" t="s">
        <v>21</v>
      </c>
      <c r="E40" t="s">
        <v>85</v>
      </c>
      <c r="F40">
        <v>3.53</v>
      </c>
      <c r="G40">
        <v>1665608</v>
      </c>
      <c r="H40">
        <v>1665607.5</v>
      </c>
      <c r="I40" cm="1">
        <f t="array" ref="I40">TREND($Y$8:$Y$14,$W$8:$W$14,H40)</f>
        <v>243.97926744507885</v>
      </c>
      <c r="J40">
        <f t="shared" si="0"/>
        <v>73.193780233523654</v>
      </c>
      <c r="K40">
        <v>8.2122136813563229E-2</v>
      </c>
      <c r="L40" s="2">
        <f t="shared" si="1"/>
        <v>891.27953891032973</v>
      </c>
    </row>
    <row r="41" spans="1:12" x14ac:dyDescent="0.3">
      <c r="A41">
        <v>34</v>
      </c>
      <c r="B41" t="s">
        <v>172</v>
      </c>
      <c r="C41" t="s">
        <v>139</v>
      </c>
      <c r="D41" t="s">
        <v>21</v>
      </c>
      <c r="E41" t="s">
        <v>86</v>
      </c>
      <c r="F41">
        <v>3.53</v>
      </c>
      <c r="G41">
        <v>1868878</v>
      </c>
      <c r="H41">
        <v>1868878.25</v>
      </c>
      <c r="I41" cm="1">
        <f t="array" ref="I41">TREND($Y$8:$Y$14,$W$8:$W$14,H41)</f>
        <v>274.75449430178207</v>
      </c>
      <c r="J41">
        <f t="shared" si="0"/>
        <v>82.426348290534634</v>
      </c>
      <c r="K41">
        <v>0.10224691443219328</v>
      </c>
      <c r="L41" s="2">
        <f t="shared" si="1"/>
        <v>806.14998260115738</v>
      </c>
    </row>
    <row r="42" spans="1:12" x14ac:dyDescent="0.3">
      <c r="A42">
        <v>35</v>
      </c>
      <c r="B42" t="s">
        <v>173</v>
      </c>
      <c r="C42" t="s">
        <v>140</v>
      </c>
      <c r="D42" t="s">
        <v>21</v>
      </c>
      <c r="E42" t="s">
        <v>87</v>
      </c>
      <c r="F42">
        <v>3.53</v>
      </c>
      <c r="G42">
        <v>4006900</v>
      </c>
      <c r="H42">
        <v>4006900.25</v>
      </c>
      <c r="I42" cm="1">
        <f t="array" ref="I42">TREND($Y$8:$Y$14,$W$8:$W$14,H42)</f>
        <v>598.45139646120413</v>
      </c>
      <c r="J42">
        <f t="shared" si="0"/>
        <v>179.53541893836126</v>
      </c>
      <c r="K42">
        <v>0.12639664757454935</v>
      </c>
      <c r="L42" s="2">
        <f t="shared" si="1"/>
        <v>1420.4128225194454</v>
      </c>
    </row>
    <row r="43" spans="1:12" x14ac:dyDescent="0.3">
      <c r="A43">
        <v>36</v>
      </c>
      <c r="B43" t="s">
        <v>174</v>
      </c>
      <c r="C43" t="s">
        <v>141</v>
      </c>
      <c r="D43" t="s">
        <v>21</v>
      </c>
      <c r="E43" t="s">
        <v>88</v>
      </c>
      <c r="F43">
        <v>3.53</v>
      </c>
      <c r="G43">
        <v>1999807</v>
      </c>
      <c r="H43">
        <v>1999806.75</v>
      </c>
      <c r="I43" cm="1">
        <f t="array" ref="I43">TREND($Y$8:$Y$14,$W$8:$W$14,H43)</f>
        <v>294.57709194314396</v>
      </c>
      <c r="J43">
        <f t="shared" si="0"/>
        <v>88.373127582943198</v>
      </c>
      <c r="K43">
        <v>0.15054638071690538</v>
      </c>
      <c r="L43" s="2">
        <f t="shared" si="1"/>
        <v>587.015955894179</v>
      </c>
    </row>
    <row r="44" spans="1:12" x14ac:dyDescent="0.3">
      <c r="A44">
        <v>37</v>
      </c>
      <c r="B44" t="s">
        <v>175</v>
      </c>
      <c r="C44" t="s">
        <v>142</v>
      </c>
      <c r="D44" t="s">
        <v>21</v>
      </c>
      <c r="E44" t="s">
        <v>89</v>
      </c>
      <c r="F44">
        <v>3.53</v>
      </c>
      <c r="G44">
        <v>1153762</v>
      </c>
      <c r="H44">
        <v>1153762.125</v>
      </c>
      <c r="I44" cm="1">
        <f t="array" ref="I44">TREND($Y$8:$Y$14,$W$8:$W$14,H44)</f>
        <v>166.48578876612805</v>
      </c>
      <c r="J44">
        <f t="shared" si="0"/>
        <v>49.945736629838422</v>
      </c>
      <c r="K44">
        <v>0.14893639850741497</v>
      </c>
      <c r="L44" s="2">
        <f t="shared" si="1"/>
        <v>335.34943190768655</v>
      </c>
    </row>
    <row r="45" spans="1:12" x14ac:dyDescent="0.3">
      <c r="A45">
        <v>38</v>
      </c>
      <c r="B45" t="s">
        <v>176</v>
      </c>
      <c r="C45" t="s">
        <v>143</v>
      </c>
      <c r="D45" t="s">
        <v>21</v>
      </c>
      <c r="E45" t="s">
        <v>90</v>
      </c>
      <c r="F45">
        <v>3.53</v>
      </c>
      <c r="G45">
        <v>1061549</v>
      </c>
      <c r="H45">
        <v>1061549</v>
      </c>
      <c r="I45" cm="1">
        <f t="array" ref="I45">TREND($Y$8:$Y$14,$W$8:$W$14,H45)</f>
        <v>152.52470562435519</v>
      </c>
      <c r="J45">
        <f t="shared" si="0"/>
        <v>45.757411687306558</v>
      </c>
      <c r="K45">
        <v>4.0262599366812736E-2</v>
      </c>
      <c r="L45" s="2">
        <f t="shared" si="1"/>
        <v>1136.4743560253844</v>
      </c>
    </row>
    <row r="46" spans="1:12" x14ac:dyDescent="0.3">
      <c r="A46">
        <v>39</v>
      </c>
      <c r="B46" t="s">
        <v>177</v>
      </c>
      <c r="C46" t="s">
        <v>144</v>
      </c>
      <c r="D46" t="s">
        <v>21</v>
      </c>
      <c r="E46" t="s">
        <v>91</v>
      </c>
      <c r="F46">
        <v>3.54</v>
      </c>
      <c r="G46">
        <v>4095383</v>
      </c>
      <c r="H46">
        <v>4095382.5</v>
      </c>
      <c r="I46" cm="1">
        <f t="array" ref="I46">TREND($Y$8:$Y$14,$W$8:$W$14,H46)</f>
        <v>611.84762447995013</v>
      </c>
      <c r="J46">
        <f t="shared" si="0"/>
        <v>183.55428734398504</v>
      </c>
      <c r="K46">
        <v>0.11351678989862611</v>
      </c>
      <c r="L46" s="2">
        <f t="shared" si="1"/>
        <v>1616.9791931916373</v>
      </c>
    </row>
    <row r="47" spans="1:12" x14ac:dyDescent="0.3">
      <c r="A47">
        <v>40</v>
      </c>
      <c r="B47" t="s">
        <v>178</v>
      </c>
      <c r="C47" t="s">
        <v>145</v>
      </c>
      <c r="D47" t="s">
        <v>21</v>
      </c>
      <c r="E47" t="s">
        <v>92</v>
      </c>
      <c r="F47">
        <v>3.53</v>
      </c>
      <c r="G47">
        <v>3245913</v>
      </c>
      <c r="H47">
        <v>3245912.5</v>
      </c>
      <c r="I47" cm="1">
        <f t="array" ref="I47">TREND($Y$8:$Y$14,$W$8:$W$14,H47)</f>
        <v>483.23771893297067</v>
      </c>
      <c r="J47">
        <f t="shared" si="0"/>
        <v>144.97131567989118</v>
      </c>
      <c r="K47">
        <v>0.10144192332744809</v>
      </c>
      <c r="L47" s="2">
        <f t="shared" si="1"/>
        <v>1429.1065362782306</v>
      </c>
    </row>
    <row r="48" spans="1:12" x14ac:dyDescent="0.3">
      <c r="A48">
        <v>41</v>
      </c>
      <c r="B48" t="s">
        <v>179</v>
      </c>
      <c r="C48" t="s">
        <v>146</v>
      </c>
      <c r="D48" t="s">
        <v>21</v>
      </c>
      <c r="E48" t="s">
        <v>93</v>
      </c>
      <c r="F48">
        <v>3.53</v>
      </c>
      <c r="G48">
        <v>3221925</v>
      </c>
      <c r="H48">
        <v>3221924.75</v>
      </c>
      <c r="I48" cm="1">
        <f t="array" ref="I48">TREND($Y$8:$Y$14,$W$8:$W$14,H48)</f>
        <v>479.60596941646679</v>
      </c>
      <c r="J48">
        <f t="shared" si="0"/>
        <v>143.88179082494003</v>
      </c>
      <c r="K48">
        <v>8.3732119023053622E-2</v>
      </c>
      <c r="L48" s="2">
        <f t="shared" si="1"/>
        <v>1718.3584089795415</v>
      </c>
    </row>
    <row r="49" spans="1:12" x14ac:dyDescent="0.3">
      <c r="A49">
        <v>42</v>
      </c>
      <c r="B49" t="s">
        <v>180</v>
      </c>
      <c r="C49" t="s">
        <v>147</v>
      </c>
      <c r="D49" t="s">
        <v>21</v>
      </c>
      <c r="E49" t="s">
        <v>94</v>
      </c>
      <c r="F49">
        <v>3.53</v>
      </c>
      <c r="G49">
        <v>2459396</v>
      </c>
      <c r="H49">
        <v>2459395.75</v>
      </c>
      <c r="I49" cm="1">
        <f t="array" ref="I49">TREND($Y$8:$Y$14,$W$8:$W$14,H49)</f>
        <v>364.15894637052901</v>
      </c>
      <c r="J49">
        <f t="shared" si="0"/>
        <v>109.2476839111587</v>
      </c>
      <c r="K49">
        <v>0.22299558014397355</v>
      </c>
      <c r="L49" s="2">
        <f t="shared" si="1"/>
        <v>489.90963785302233</v>
      </c>
    </row>
    <row r="50" spans="1:12" x14ac:dyDescent="0.3">
      <c r="A50">
        <v>43</v>
      </c>
      <c r="B50" t="s">
        <v>181</v>
      </c>
      <c r="C50" t="s">
        <v>148</v>
      </c>
      <c r="D50" t="s">
        <v>21</v>
      </c>
      <c r="E50" t="s">
        <v>95</v>
      </c>
      <c r="F50">
        <v>3.53</v>
      </c>
      <c r="G50">
        <v>2212317</v>
      </c>
      <c r="H50">
        <v>2212316.5</v>
      </c>
      <c r="I50" cm="1">
        <f t="array" ref="I50">TREND($Y$8:$Y$14,$W$8:$W$14,H50)</f>
        <v>326.7511050045967</v>
      </c>
      <c r="J50">
        <f t="shared" si="0"/>
        <v>98.025331501379</v>
      </c>
      <c r="K50">
        <v>0.1175417454223521</v>
      </c>
      <c r="L50" s="2">
        <f t="shared" si="1"/>
        <v>833.96185031244397</v>
      </c>
    </row>
    <row r="51" spans="1:12" x14ac:dyDescent="0.3">
      <c r="A51">
        <v>44</v>
      </c>
      <c r="B51" t="s">
        <v>182</v>
      </c>
      <c r="C51" t="s">
        <v>149</v>
      </c>
      <c r="D51" t="s">
        <v>21</v>
      </c>
      <c r="E51" t="s">
        <v>96</v>
      </c>
      <c r="F51">
        <v>3.54</v>
      </c>
      <c r="G51">
        <v>1771469</v>
      </c>
      <c r="H51">
        <v>1771469.25</v>
      </c>
      <c r="I51" cm="1">
        <f t="array" ref="I51">TREND($Y$8:$Y$14,$W$8:$W$14,H51)</f>
        <v>260.00675478252214</v>
      </c>
      <c r="J51">
        <f t="shared" si="0"/>
        <v>78.00202643475663</v>
      </c>
      <c r="K51">
        <v>0.11351678989862611</v>
      </c>
      <c r="L51" s="2">
        <f t="shared" si="1"/>
        <v>687.14087585118261</v>
      </c>
    </row>
    <row r="52" spans="1:12" x14ac:dyDescent="0.3">
      <c r="A52">
        <v>45</v>
      </c>
      <c r="B52" t="s">
        <v>183</v>
      </c>
      <c r="C52" t="s">
        <v>150</v>
      </c>
      <c r="D52" t="s">
        <v>21</v>
      </c>
      <c r="E52" t="s">
        <v>97</v>
      </c>
      <c r="F52">
        <v>3.53</v>
      </c>
      <c r="G52">
        <v>1064816</v>
      </c>
      <c r="H52">
        <v>1064816</v>
      </c>
      <c r="I52" cm="1">
        <f t="array" ref="I52">TREND($Y$8:$Y$14,$W$8:$W$14,H52)</f>
        <v>153.01932999181014</v>
      </c>
      <c r="J52">
        <f t="shared" si="0"/>
        <v>45.905798997543044</v>
      </c>
      <c r="K52">
        <v>8.4537110127798853E-2</v>
      </c>
      <c r="L52" s="2">
        <f t="shared" si="1"/>
        <v>543.02541130333202</v>
      </c>
    </row>
    <row r="53" spans="1:12" x14ac:dyDescent="0.3">
      <c r="A53">
        <v>46</v>
      </c>
      <c r="B53" t="s">
        <v>184</v>
      </c>
      <c r="C53" t="s">
        <v>151</v>
      </c>
      <c r="D53" t="s">
        <v>21</v>
      </c>
      <c r="E53" t="s">
        <v>98</v>
      </c>
      <c r="F53">
        <v>3.54</v>
      </c>
      <c r="G53">
        <v>2317893</v>
      </c>
      <c r="H53">
        <v>2317892.75</v>
      </c>
      <c r="I53" cm="1">
        <f t="array" ref="I53">TREND($Y$8:$Y$14,$W$8:$W$14,H53)</f>
        <v>342.73536759245064</v>
      </c>
      <c r="J53">
        <f t="shared" si="0"/>
        <v>102.82061027773518</v>
      </c>
      <c r="K53">
        <v>0.1078818521654097</v>
      </c>
      <c r="L53" s="2">
        <f t="shared" si="1"/>
        <v>953.08532634465371</v>
      </c>
    </row>
    <row r="54" spans="1:12" x14ac:dyDescent="0.3">
      <c r="A54">
        <v>47</v>
      </c>
      <c r="B54" t="s">
        <v>185</v>
      </c>
      <c r="C54" t="s">
        <v>152</v>
      </c>
      <c r="D54" t="s">
        <v>21</v>
      </c>
      <c r="E54" t="s">
        <v>99</v>
      </c>
      <c r="F54">
        <v>3.54</v>
      </c>
      <c r="G54">
        <v>2426799</v>
      </c>
      <c r="H54">
        <v>2426798.75</v>
      </c>
      <c r="I54" cm="1">
        <f t="array" ref="I54">TREND($Y$8:$Y$14,$W$8:$W$14,H54)</f>
        <v>359.2237549086588</v>
      </c>
      <c r="J54">
        <f t="shared" si="0"/>
        <v>107.76712647259765</v>
      </c>
      <c r="K54">
        <v>0.14813140740266978</v>
      </c>
      <c r="L54" s="2">
        <f t="shared" si="1"/>
        <v>727.51031237859797</v>
      </c>
    </row>
    <row r="55" spans="1:12" x14ac:dyDescent="0.3">
      <c r="A55">
        <v>48</v>
      </c>
      <c r="B55" t="s">
        <v>186</v>
      </c>
      <c r="C55" t="s">
        <v>153</v>
      </c>
      <c r="D55" t="s">
        <v>21</v>
      </c>
      <c r="E55" t="s">
        <v>100</v>
      </c>
      <c r="F55">
        <v>3.54</v>
      </c>
      <c r="G55">
        <v>1693344</v>
      </c>
      <c r="H55">
        <v>1693344</v>
      </c>
      <c r="I55" cm="1">
        <f t="array" ref="I55">TREND($Y$8:$Y$14,$W$8:$W$14,H55)</f>
        <v>248.17857836271429</v>
      </c>
      <c r="J55">
        <f t="shared" si="0"/>
        <v>74.453573508814287</v>
      </c>
      <c r="K55">
        <v>6.6022314718659172E-2</v>
      </c>
      <c r="L55" s="2">
        <f t="shared" si="1"/>
        <v>1127.7031686344719</v>
      </c>
    </row>
    <row r="56" spans="1:12" x14ac:dyDescent="0.3">
      <c r="A56">
        <v>49</v>
      </c>
      <c r="B56" t="s">
        <v>187</v>
      </c>
      <c r="C56" t="s">
        <v>154</v>
      </c>
      <c r="D56" t="s">
        <v>21</v>
      </c>
      <c r="E56" t="s">
        <v>20</v>
      </c>
      <c r="F56">
        <v>3.54</v>
      </c>
      <c r="G56">
        <v>2297845</v>
      </c>
      <c r="H56">
        <v>2297844.5</v>
      </c>
      <c r="I56" cm="1">
        <f t="array" ref="I56">TREND($Y$8:$Y$14,$W$8:$W$14,H56)</f>
        <v>339.70005906021026</v>
      </c>
      <c r="J56">
        <f t="shared" si="0"/>
        <v>101.91001771806309</v>
      </c>
      <c r="K56">
        <v>0.22621554456295434</v>
      </c>
      <c r="L56" s="2">
        <f t="shared" si="1"/>
        <v>450.49962377674791</v>
      </c>
    </row>
    <row r="57" spans="1:12" x14ac:dyDescent="0.3">
      <c r="A57">
        <v>50</v>
      </c>
      <c r="B57" t="s">
        <v>188</v>
      </c>
      <c r="C57" t="s">
        <v>155</v>
      </c>
      <c r="D57" t="s">
        <v>21</v>
      </c>
      <c r="E57" t="s">
        <v>22</v>
      </c>
      <c r="F57">
        <v>3.53</v>
      </c>
      <c r="G57">
        <v>1897329</v>
      </c>
      <c r="H57">
        <v>1897329.375</v>
      </c>
      <c r="I57" cm="1">
        <f t="array" ref="I57">TREND($Y$8:$Y$14,$W$8:$W$14,H57)</f>
        <v>279.06199956854289</v>
      </c>
      <c r="J57">
        <f t="shared" si="0"/>
        <v>83.718599870562855</v>
      </c>
      <c r="K57">
        <v>0.21897062462024752</v>
      </c>
      <c r="L57" s="2">
        <f t="shared" si="1"/>
        <v>382.32799497993329</v>
      </c>
    </row>
    <row r="58" spans="1:12" x14ac:dyDescent="0.3">
      <c r="A58">
        <v>51</v>
      </c>
      <c r="B58" t="s">
        <v>189</v>
      </c>
      <c r="C58" t="s">
        <v>156</v>
      </c>
      <c r="D58" t="s">
        <v>21</v>
      </c>
      <c r="E58" t="s">
        <v>23</v>
      </c>
      <c r="F58">
        <v>3.54</v>
      </c>
      <c r="G58">
        <v>2588654</v>
      </c>
      <c r="H58">
        <v>2588654</v>
      </c>
      <c r="I58" cm="1">
        <f t="array" ref="I58">TREND($Y$8:$Y$14,$W$8:$W$14,H58)</f>
        <v>383.7286678717802</v>
      </c>
      <c r="J58">
        <f t="shared" si="0"/>
        <v>115.11860036153405</v>
      </c>
      <c r="K58">
        <v>0.11271179879388092</v>
      </c>
      <c r="L58" s="2">
        <f t="shared" si="1"/>
        <v>1021.3535902488302</v>
      </c>
    </row>
    <row r="59" spans="1:12" x14ac:dyDescent="0.3">
      <c r="A59">
        <v>52</v>
      </c>
      <c r="B59" t="s">
        <v>190</v>
      </c>
      <c r="C59" t="s">
        <v>157</v>
      </c>
      <c r="D59" t="s">
        <v>21</v>
      </c>
      <c r="E59" t="s">
        <v>24</v>
      </c>
      <c r="F59">
        <v>3.53</v>
      </c>
      <c r="G59">
        <v>2939249</v>
      </c>
      <c r="H59">
        <v>2939248.75</v>
      </c>
      <c r="I59" cm="1">
        <f t="array" ref="I59">TREND($Y$8:$Y$14,$W$8:$W$14,H59)</f>
        <v>436.80877391762868</v>
      </c>
      <c r="J59">
        <f t="shared" si="0"/>
        <v>131.04263217528862</v>
      </c>
      <c r="K59">
        <v>9.1782030070505644E-2</v>
      </c>
      <c r="L59" s="2">
        <f t="shared" si="1"/>
        <v>1427.7591384132988</v>
      </c>
    </row>
    <row r="60" spans="1:12" x14ac:dyDescent="0.3">
      <c r="A60">
        <v>53</v>
      </c>
      <c r="B60" t="s">
        <v>191</v>
      </c>
      <c r="C60" t="s">
        <v>158</v>
      </c>
      <c r="D60" t="s">
        <v>21</v>
      </c>
      <c r="E60" t="s">
        <v>25</v>
      </c>
      <c r="F60">
        <v>3.54</v>
      </c>
      <c r="G60">
        <v>2361257</v>
      </c>
      <c r="H60">
        <v>2361256.5</v>
      </c>
      <c r="I60" cm="1">
        <f t="array" ref="I60">TREND($Y$8:$Y$14,$W$8:$W$14,H60)</f>
        <v>349.30064687442979</v>
      </c>
      <c r="J60">
        <f t="shared" si="0"/>
        <v>104.79019406232894</v>
      </c>
      <c r="K60">
        <v>0.16584121170706426</v>
      </c>
      <c r="L60" s="2">
        <f t="shared" si="1"/>
        <v>631.87064893994159</v>
      </c>
    </row>
    <row r="61" spans="1:12" x14ac:dyDescent="0.3">
      <c r="A61">
        <v>54</v>
      </c>
      <c r="B61" t="s">
        <v>192</v>
      </c>
      <c r="C61" t="s">
        <v>159</v>
      </c>
      <c r="D61" t="s">
        <v>21</v>
      </c>
      <c r="E61" t="s">
        <v>26</v>
      </c>
      <c r="F61">
        <v>3.54</v>
      </c>
      <c r="G61">
        <v>1908279</v>
      </c>
      <c r="H61">
        <v>1908278.875</v>
      </c>
      <c r="I61" cm="1">
        <f t="array" ref="I61">TREND($Y$8:$Y$14,$W$8:$W$14,H61)</f>
        <v>280.71975577039422</v>
      </c>
      <c r="J61">
        <f t="shared" si="0"/>
        <v>84.215926731118259</v>
      </c>
      <c r="K61">
        <v>0.20850574025855992</v>
      </c>
      <c r="L61" s="2">
        <f t="shared" si="1"/>
        <v>403.90219773654837</v>
      </c>
    </row>
    <row r="62" spans="1:12" x14ac:dyDescent="0.3">
      <c r="A62">
        <v>55</v>
      </c>
      <c r="B62" t="s">
        <v>193</v>
      </c>
      <c r="C62" t="s">
        <v>160</v>
      </c>
      <c r="D62" t="s">
        <v>21</v>
      </c>
      <c r="E62" t="s">
        <v>27</v>
      </c>
      <c r="F62">
        <v>3.54</v>
      </c>
      <c r="G62">
        <v>2030255</v>
      </c>
      <c r="H62">
        <v>2030255.125</v>
      </c>
      <c r="I62" cm="1">
        <f t="array" ref="I62">TREND($Y$8:$Y$14,$W$8:$W$14,H62)</f>
        <v>299.18698120681313</v>
      </c>
      <c r="J62">
        <f t="shared" si="0"/>
        <v>89.756094362043939</v>
      </c>
      <c r="K62">
        <v>0.15457133624063138</v>
      </c>
      <c r="L62" s="2">
        <f t="shared" si="1"/>
        <v>580.67748228762616</v>
      </c>
    </row>
    <row r="63" spans="1:12" x14ac:dyDescent="0.3">
      <c r="A63">
        <v>56</v>
      </c>
      <c r="B63" t="s">
        <v>194</v>
      </c>
      <c r="C63" t="s">
        <v>161</v>
      </c>
      <c r="D63" t="s">
        <v>21</v>
      </c>
      <c r="E63" t="s">
        <v>28</v>
      </c>
      <c r="F63">
        <v>3.53</v>
      </c>
      <c r="G63">
        <v>2229478</v>
      </c>
      <c r="H63">
        <v>2229478.25</v>
      </c>
      <c r="I63" cm="1">
        <f t="array" ref="I63">TREND($Y$8:$Y$14,$W$8:$W$14,H63)</f>
        <v>329.34939693547227</v>
      </c>
      <c r="J63">
        <f t="shared" si="0"/>
        <v>98.804819080641693</v>
      </c>
      <c r="K63">
        <v>0.22863051787718996</v>
      </c>
      <c r="L63" s="2">
        <f t="shared" si="1"/>
        <v>432.15936349195169</v>
      </c>
    </row>
    <row r="64" spans="1:12" x14ac:dyDescent="0.3">
      <c r="A64">
        <v>57</v>
      </c>
      <c r="B64" t="s">
        <v>195</v>
      </c>
      <c r="C64" t="s">
        <v>162</v>
      </c>
      <c r="D64" t="s">
        <v>21</v>
      </c>
      <c r="E64" t="s">
        <v>29</v>
      </c>
      <c r="F64">
        <v>3.53</v>
      </c>
      <c r="G64">
        <v>2445051</v>
      </c>
      <c r="H64">
        <v>2445051</v>
      </c>
      <c r="I64" cm="1">
        <f t="array" ref="I64">TREND($Y$8:$Y$14,$W$8:$W$14,H64)</f>
        <v>361.98714872894658</v>
      </c>
      <c r="J64">
        <f t="shared" si="0"/>
        <v>108.59614461868397</v>
      </c>
      <c r="K64">
        <v>0.19079593595416544</v>
      </c>
      <c r="L64" s="2">
        <f t="shared" si="1"/>
        <v>569.17430696622284</v>
      </c>
    </row>
    <row r="65" spans="1:12" x14ac:dyDescent="0.3">
      <c r="A65">
        <v>58</v>
      </c>
      <c r="B65" t="s">
        <v>196</v>
      </c>
      <c r="C65" t="s">
        <v>163</v>
      </c>
      <c r="D65" t="s">
        <v>21</v>
      </c>
      <c r="E65" t="s">
        <v>30</v>
      </c>
      <c r="F65">
        <v>3.53</v>
      </c>
      <c r="G65">
        <v>2837249</v>
      </c>
      <c r="H65">
        <v>2837249</v>
      </c>
      <c r="I65" cm="1">
        <f t="array" ref="I65">TREND($Y$8:$Y$14,$W$8:$W$14,H65)</f>
        <v>421.36599405098769</v>
      </c>
      <c r="J65">
        <f t="shared" si="0"/>
        <v>126.40979821529632</v>
      </c>
      <c r="K65">
        <v>0.13122659420302052</v>
      </c>
      <c r="L65" s="2">
        <f t="shared" si="1"/>
        <v>963.2940562316802</v>
      </c>
    </row>
    <row r="66" spans="1:12" x14ac:dyDescent="0.3">
      <c r="A66">
        <v>59</v>
      </c>
      <c r="B66" t="s">
        <v>197</v>
      </c>
      <c r="C66" t="s">
        <v>164</v>
      </c>
      <c r="D66" t="s">
        <v>21</v>
      </c>
      <c r="E66" t="s">
        <v>31</v>
      </c>
      <c r="F66">
        <v>3.53</v>
      </c>
      <c r="G66">
        <v>2173992</v>
      </c>
      <c r="H66">
        <v>2173992</v>
      </c>
      <c r="I66" cm="1">
        <f t="array" ref="I66">TREND($Y$8:$Y$14,$W$8:$W$14,H66)</f>
        <v>320.94876904789993</v>
      </c>
      <c r="J66">
        <f t="shared" si="0"/>
        <v>96.284630714369968</v>
      </c>
      <c r="K66">
        <v>0.13927650525047255</v>
      </c>
      <c r="L66" s="2">
        <f t="shared" si="1"/>
        <v>691.31997921123366</v>
      </c>
    </row>
    <row r="67" spans="1:12" x14ac:dyDescent="0.3">
      <c r="A67">
        <v>60</v>
      </c>
      <c r="B67" t="s">
        <v>198</v>
      </c>
      <c r="C67" t="s">
        <v>165</v>
      </c>
      <c r="D67" t="s">
        <v>21</v>
      </c>
      <c r="E67" t="s">
        <v>32</v>
      </c>
      <c r="F67">
        <v>3.53</v>
      </c>
      <c r="G67">
        <v>2243598</v>
      </c>
      <c r="H67">
        <v>2243597.75</v>
      </c>
      <c r="I67" cm="1">
        <f t="array" ref="I67">TREND($Y$8:$Y$14,$W$8:$W$14,H67)</f>
        <v>331.48709168793033</v>
      </c>
      <c r="J67">
        <f t="shared" si="0"/>
        <v>99.446127506379099</v>
      </c>
      <c r="K67">
        <v>9.7416967803722054E-2</v>
      </c>
      <c r="L67" s="2">
        <f t="shared" si="1"/>
        <v>1020.8296331573924</v>
      </c>
    </row>
    <row r="68" spans="1:12" x14ac:dyDescent="0.3">
      <c r="A68">
        <v>61</v>
      </c>
      <c r="B68" t="s">
        <v>199</v>
      </c>
      <c r="C68" t="s">
        <v>166</v>
      </c>
      <c r="D68" t="s">
        <v>21</v>
      </c>
      <c r="E68" t="s">
        <v>33</v>
      </c>
      <c r="F68">
        <v>3.53</v>
      </c>
      <c r="G68">
        <v>2498755</v>
      </c>
      <c r="H68">
        <v>2498754.5</v>
      </c>
      <c r="I68" cm="1">
        <f t="array" ref="I68">TREND($Y$8:$Y$14,$W$8:$W$14,H68)</f>
        <v>370.11786795686777</v>
      </c>
      <c r="J68">
        <f t="shared" si="0"/>
        <v>111.03536038706032</v>
      </c>
      <c r="K68">
        <v>7.4877216870856411E-2</v>
      </c>
      <c r="L68" s="2">
        <f t="shared" si="1"/>
        <v>1482.8991384464414</v>
      </c>
    </row>
    <row r="69" spans="1:12" x14ac:dyDescent="0.3">
      <c r="A69">
        <v>62</v>
      </c>
      <c r="B69" t="s">
        <v>200</v>
      </c>
      <c r="C69" t="s">
        <v>167</v>
      </c>
      <c r="D69" t="s">
        <v>21</v>
      </c>
      <c r="E69" t="s">
        <v>34</v>
      </c>
      <c r="F69">
        <v>3.53</v>
      </c>
      <c r="G69">
        <v>3534624</v>
      </c>
      <c r="H69">
        <v>3534624.25</v>
      </c>
      <c r="I69" cm="1">
        <f t="array" ref="I69">TREND($Y$8:$Y$14,$W$8:$W$14,H69)</f>
        <v>526.9487280301762</v>
      </c>
      <c r="J69">
        <f t="shared" si="0"/>
        <v>158.08461840905284</v>
      </c>
      <c r="K69">
        <v>0.14491144298368897</v>
      </c>
      <c r="L69" s="2">
        <f t="shared" si="1"/>
        <v>1090.9050048369654</v>
      </c>
    </row>
    <row r="70" spans="1:12" x14ac:dyDescent="0.3">
      <c r="A70">
        <v>63</v>
      </c>
      <c r="B70" t="s">
        <v>201</v>
      </c>
      <c r="C70" t="s">
        <v>168</v>
      </c>
      <c r="D70" t="s">
        <v>21</v>
      </c>
      <c r="E70" t="s">
        <v>35</v>
      </c>
      <c r="F70">
        <v>3.53</v>
      </c>
      <c r="G70">
        <v>3131852</v>
      </c>
      <c r="H70">
        <v>3131851.5</v>
      </c>
      <c r="I70" cm="1">
        <f t="array" ref="I70">TREND($Y$8:$Y$14,$W$8:$W$14,H70)</f>
        <v>465.96886372137516</v>
      </c>
      <c r="J70">
        <f t="shared" si="0"/>
        <v>139.79065911641254</v>
      </c>
      <c r="K70">
        <v>0.14571643408843418</v>
      </c>
      <c r="L70" s="2">
        <f t="shared" si="1"/>
        <v>959.33351643490448</v>
      </c>
    </row>
    <row r="71" spans="1:12" x14ac:dyDescent="0.3">
      <c r="A71">
        <v>64</v>
      </c>
      <c r="B71" t="s">
        <v>202</v>
      </c>
      <c r="C71" t="s">
        <v>169</v>
      </c>
      <c r="D71" t="s">
        <v>21</v>
      </c>
      <c r="E71" t="s">
        <v>36</v>
      </c>
      <c r="F71">
        <v>3.53</v>
      </c>
      <c r="G71">
        <v>2628032</v>
      </c>
      <c r="H71">
        <v>2628032</v>
      </c>
      <c r="I71" cm="1">
        <f t="array" ref="I71">TREND($Y$8:$Y$14,$W$8:$W$14,H71)</f>
        <v>389.69050391146254</v>
      </c>
      <c r="J71">
        <f t="shared" si="0"/>
        <v>116.90715117343876</v>
      </c>
      <c r="K71">
        <v>0.26405012648597881</v>
      </c>
      <c r="L71" s="2">
        <f t="shared" si="1"/>
        <v>442.74605253653073</v>
      </c>
    </row>
    <row r="72" spans="1:12" x14ac:dyDescent="0.3">
      <c r="A72">
        <v>65</v>
      </c>
      <c r="B72" t="s">
        <v>203</v>
      </c>
      <c r="C72" t="s">
        <v>170</v>
      </c>
      <c r="D72" t="s">
        <v>21</v>
      </c>
      <c r="E72" t="s">
        <v>37</v>
      </c>
      <c r="F72">
        <v>3.54</v>
      </c>
      <c r="G72">
        <v>2786590</v>
      </c>
      <c r="H72">
        <v>2786590</v>
      </c>
      <c r="I72" cm="1">
        <f t="array" ref="I72">TREND($Y$8:$Y$14,$W$8:$W$14,H72)</f>
        <v>413.69621265187482</v>
      </c>
      <c r="J72">
        <f t="shared" si="0"/>
        <v>124.10886379556246</v>
      </c>
      <c r="K72">
        <v>0.17469611385926145</v>
      </c>
      <c r="L72" s="2">
        <f t="shared" si="1"/>
        <v>710.42715864616741</v>
      </c>
    </row>
    <row r="73" spans="1:12" x14ac:dyDescent="0.3">
      <c r="A73">
        <v>66</v>
      </c>
      <c r="B73" t="s">
        <v>204</v>
      </c>
      <c r="C73" t="s">
        <v>171</v>
      </c>
      <c r="D73" t="s">
        <v>21</v>
      </c>
      <c r="E73" t="s">
        <v>38</v>
      </c>
      <c r="F73">
        <v>3.53</v>
      </c>
      <c r="G73">
        <v>1947172</v>
      </c>
      <c r="H73">
        <v>1947172</v>
      </c>
      <c r="I73" cm="1">
        <f t="array" ref="I73">TREND($Y$8:$Y$14,$W$8:$W$14,H73)</f>
        <v>286.60818165085715</v>
      </c>
      <c r="J73">
        <f t="shared" ref="J73" si="2">I73/(2/0.2)*3</f>
        <v>85.982454495257144</v>
      </c>
      <c r="K73">
        <v>0.1175417454223521</v>
      </c>
      <c r="L73" s="2">
        <f t="shared" ref="L73" si="3">J73/K73</f>
        <v>731.50568069500912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D358-CC16-42F9-BBAC-F4B3FF5DE100}">
  <dimension ref="A1:AB73"/>
  <sheetViews>
    <sheetView topLeftCell="F1" workbookViewId="0">
      <selection activeCell="P17" sqref="P17:AC32"/>
    </sheetView>
  </sheetViews>
  <sheetFormatPr defaultRowHeight="16.5" x14ac:dyDescent="0.3"/>
  <cols>
    <col min="12" max="12" width="14.375" bestFit="1" customWidth="1"/>
  </cols>
  <sheetData>
    <row r="1" spans="1:28" x14ac:dyDescent="0.3">
      <c r="A1" t="s">
        <v>0</v>
      </c>
      <c r="Q1" t="s">
        <v>0</v>
      </c>
    </row>
    <row r="3" spans="1:28" x14ac:dyDescent="0.3">
      <c r="A3" t="s">
        <v>256</v>
      </c>
      <c r="Q3" t="s">
        <v>217</v>
      </c>
    </row>
    <row r="5" spans="1:28" x14ac:dyDescent="0.3">
      <c r="A5" t="s">
        <v>102</v>
      </c>
      <c r="Q5" t="s">
        <v>70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9</v>
      </c>
      <c r="J7" t="s">
        <v>260</v>
      </c>
      <c r="K7" t="s">
        <v>261</v>
      </c>
      <c r="L7" s="1" t="s">
        <v>262</v>
      </c>
      <c r="R7" t="s">
        <v>1</v>
      </c>
      <c r="S7" t="s">
        <v>2</v>
      </c>
      <c r="T7" t="s">
        <v>3</v>
      </c>
      <c r="U7" t="s">
        <v>4</v>
      </c>
      <c r="V7" t="s">
        <v>5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B7" t="s">
        <v>11</v>
      </c>
    </row>
    <row r="8" spans="1:28" x14ac:dyDescent="0.3">
      <c r="A8">
        <v>1</v>
      </c>
      <c r="B8" t="s">
        <v>221</v>
      </c>
      <c r="C8" t="s">
        <v>106</v>
      </c>
      <c r="D8" t="s">
        <v>21</v>
      </c>
      <c r="E8" t="s">
        <v>39</v>
      </c>
      <c r="F8">
        <v>3.75</v>
      </c>
      <c r="G8">
        <v>3583103</v>
      </c>
      <c r="H8">
        <v>3583102.5</v>
      </c>
      <c r="I8" cm="1">
        <f t="array" ref="I8">TREND($Y$8:$Y$15,$W$8:$W$15,H8)</f>
        <v>558.44478337139435</v>
      </c>
      <c r="J8">
        <f>I8/(2/0.2)*3</f>
        <v>167.53343501141831</v>
      </c>
      <c r="K8">
        <v>0.14813140740266978</v>
      </c>
      <c r="L8" s="2">
        <f>J8/K8</f>
        <v>1130.9784869322646</v>
      </c>
      <c r="Q8">
        <v>1</v>
      </c>
      <c r="R8" t="s">
        <v>206</v>
      </c>
      <c r="S8" t="s">
        <v>207</v>
      </c>
      <c r="T8" t="s">
        <v>12</v>
      </c>
      <c r="U8" t="s">
        <v>208</v>
      </c>
      <c r="V8">
        <v>3.75</v>
      </c>
      <c r="W8">
        <v>43614</v>
      </c>
      <c r="X8">
        <v>43614.144999999997</v>
      </c>
      <c r="Y8">
        <v>5</v>
      </c>
      <c r="Z8">
        <v>4.4260000000000002</v>
      </c>
      <c r="AA8">
        <v>-11.5</v>
      </c>
      <c r="AB8">
        <v>132</v>
      </c>
    </row>
    <row r="9" spans="1:28" x14ac:dyDescent="0.3">
      <c r="A9">
        <v>2</v>
      </c>
      <c r="B9" t="s">
        <v>222</v>
      </c>
      <c r="C9" t="s">
        <v>107</v>
      </c>
      <c r="D9" t="s">
        <v>21</v>
      </c>
      <c r="E9" t="s">
        <v>40</v>
      </c>
      <c r="F9">
        <v>3.74</v>
      </c>
      <c r="G9">
        <v>2587720</v>
      </c>
      <c r="H9">
        <v>2587720.25</v>
      </c>
      <c r="I9" cm="1">
        <f t="array" ref="I9">TREND($Y$8:$Y$15,$W$8:$W$15,H9)</f>
        <v>397.44600875692919</v>
      </c>
      <c r="J9">
        <f t="shared" ref="J9:J72" si="0">I9/(2/0.2)*3</f>
        <v>119.23380262707875</v>
      </c>
      <c r="K9">
        <v>0.11673675431760691</v>
      </c>
      <c r="L9" s="2">
        <f t="shared" ref="L9:L72" si="1">J9/K9</f>
        <v>1021.3904209010136</v>
      </c>
      <c r="Q9">
        <v>2</v>
      </c>
      <c r="R9" t="s">
        <v>209</v>
      </c>
      <c r="S9" t="s">
        <v>62</v>
      </c>
      <c r="T9" t="s">
        <v>12</v>
      </c>
      <c r="U9" t="s">
        <v>13</v>
      </c>
      <c r="V9">
        <v>3.75</v>
      </c>
      <c r="W9">
        <v>85387</v>
      </c>
      <c r="X9">
        <v>85386.773000000001</v>
      </c>
      <c r="Y9">
        <v>10</v>
      </c>
      <c r="Z9">
        <v>9.5830000000000002</v>
      </c>
      <c r="AA9">
        <v>-4.2</v>
      </c>
      <c r="AB9">
        <v>163</v>
      </c>
    </row>
    <row r="10" spans="1:28" x14ac:dyDescent="0.3">
      <c r="A10">
        <v>3</v>
      </c>
      <c r="B10" t="s">
        <v>223</v>
      </c>
      <c r="C10" t="s">
        <v>108</v>
      </c>
      <c r="D10" t="s">
        <v>21</v>
      </c>
      <c r="E10" t="s">
        <v>41</v>
      </c>
      <c r="F10">
        <v>3.74</v>
      </c>
      <c r="G10">
        <v>4874363</v>
      </c>
      <c r="H10">
        <v>4874362.5</v>
      </c>
      <c r="I10" cm="1">
        <f t="array" ref="I10">TREND($Y$8:$Y$15,$W$8:$W$15,H10)</f>
        <v>767.30050458671076</v>
      </c>
      <c r="J10">
        <f t="shared" si="0"/>
        <v>230.1901513760132</v>
      </c>
      <c r="K10">
        <v>8.6147092337289247E-2</v>
      </c>
      <c r="L10" s="2">
        <f t="shared" si="1"/>
        <v>2672.0594407847952</v>
      </c>
      <c r="Q10">
        <v>3</v>
      </c>
      <c r="R10" t="s">
        <v>210</v>
      </c>
      <c r="S10" t="s">
        <v>63</v>
      </c>
      <c r="T10" t="s">
        <v>12</v>
      </c>
      <c r="U10" t="s">
        <v>14</v>
      </c>
      <c r="V10">
        <v>3.75</v>
      </c>
      <c r="W10">
        <v>182377</v>
      </c>
      <c r="X10">
        <v>182376.625</v>
      </c>
      <c r="Y10">
        <v>20</v>
      </c>
      <c r="Z10">
        <v>21.61</v>
      </c>
      <c r="AA10">
        <v>8</v>
      </c>
      <c r="AB10">
        <v>439</v>
      </c>
    </row>
    <row r="11" spans="1:28" x14ac:dyDescent="0.3">
      <c r="A11">
        <v>4</v>
      </c>
      <c r="B11" t="s">
        <v>224</v>
      </c>
      <c r="C11" t="s">
        <v>109</v>
      </c>
      <c r="D11" t="s">
        <v>21</v>
      </c>
      <c r="E11" t="s">
        <v>42</v>
      </c>
      <c r="F11">
        <v>3.74</v>
      </c>
      <c r="G11">
        <v>4061398</v>
      </c>
      <c r="H11">
        <v>4061398.25</v>
      </c>
      <c r="I11" cm="1">
        <f t="array" ref="I11">TREND($Y$8:$Y$15,$W$8:$W$15,H11)</f>
        <v>635.80705264363291</v>
      </c>
      <c r="J11">
        <f t="shared" si="0"/>
        <v>190.74211579308985</v>
      </c>
      <c r="K11">
        <v>8.9367056756270047E-2</v>
      </c>
      <c r="L11" s="2">
        <f t="shared" si="1"/>
        <v>2134.3672122189173</v>
      </c>
      <c r="Q11">
        <v>4</v>
      </c>
      <c r="R11" t="s">
        <v>211</v>
      </c>
      <c r="S11" t="s">
        <v>64</v>
      </c>
      <c r="T11" t="s">
        <v>12</v>
      </c>
      <c r="U11" t="s">
        <v>15</v>
      </c>
      <c r="V11">
        <v>3.75</v>
      </c>
      <c r="W11">
        <v>428984</v>
      </c>
      <c r="X11">
        <v>428984.125</v>
      </c>
      <c r="Y11">
        <v>50</v>
      </c>
      <c r="Z11">
        <v>52.529000000000003</v>
      </c>
      <c r="AA11">
        <v>5.0999999999999996</v>
      </c>
      <c r="AB11">
        <v>1154</v>
      </c>
    </row>
    <row r="12" spans="1:28" x14ac:dyDescent="0.3">
      <c r="A12">
        <v>5</v>
      </c>
      <c r="B12" t="s">
        <v>225</v>
      </c>
      <c r="C12" t="s">
        <v>110</v>
      </c>
      <c r="D12" t="s">
        <v>21</v>
      </c>
      <c r="E12" t="s">
        <v>43</v>
      </c>
      <c r="F12">
        <v>3.74</v>
      </c>
      <c r="G12">
        <v>3698813</v>
      </c>
      <c r="H12">
        <v>3698812.75</v>
      </c>
      <c r="I12" cm="1">
        <f t="array" ref="I12">TREND($Y$8:$Y$15,$W$8:$W$15,H12)</f>
        <v>577.1604159440401</v>
      </c>
      <c r="J12">
        <f t="shared" si="0"/>
        <v>173.14812478321204</v>
      </c>
      <c r="K12">
        <v>9.3392012279996037E-2</v>
      </c>
      <c r="L12" s="2">
        <f t="shared" si="1"/>
        <v>1853.9928689415256</v>
      </c>
      <c r="Q12">
        <v>5</v>
      </c>
      <c r="R12" t="s">
        <v>212</v>
      </c>
      <c r="S12" t="s">
        <v>65</v>
      </c>
      <c r="T12" t="s">
        <v>12</v>
      </c>
      <c r="U12" t="s">
        <v>16</v>
      </c>
      <c r="V12">
        <v>3.75</v>
      </c>
      <c r="W12">
        <v>877809</v>
      </c>
      <c r="X12">
        <v>877809.06299999997</v>
      </c>
      <c r="Y12">
        <v>100</v>
      </c>
      <c r="Z12">
        <v>110.119</v>
      </c>
      <c r="AA12">
        <v>10.1</v>
      </c>
      <c r="AB12">
        <v>1827</v>
      </c>
    </row>
    <row r="13" spans="1:28" x14ac:dyDescent="0.3">
      <c r="A13">
        <v>6</v>
      </c>
      <c r="B13" t="s">
        <v>226</v>
      </c>
      <c r="C13" t="s">
        <v>111</v>
      </c>
      <c r="D13" t="s">
        <v>21</v>
      </c>
      <c r="E13" t="s">
        <v>44</v>
      </c>
      <c r="F13">
        <v>3.74</v>
      </c>
      <c r="G13">
        <v>3202903</v>
      </c>
      <c r="H13">
        <v>3202902.75</v>
      </c>
      <c r="I13" cm="1">
        <f t="array" ref="I13">TREND($Y$8:$Y$15,$W$8:$W$15,H13)</f>
        <v>496.94911790345378</v>
      </c>
      <c r="J13">
        <f t="shared" si="0"/>
        <v>149.08473537103615</v>
      </c>
      <c r="K13">
        <v>0.18918595374467503</v>
      </c>
      <c r="L13" s="2">
        <f t="shared" si="1"/>
        <v>788.03279218202738</v>
      </c>
      <c r="Q13">
        <v>6</v>
      </c>
      <c r="R13" t="s">
        <v>213</v>
      </c>
      <c r="S13" t="s">
        <v>66</v>
      </c>
      <c r="T13" t="s">
        <v>12</v>
      </c>
      <c r="U13" t="s">
        <v>17</v>
      </c>
      <c r="V13">
        <v>3.75</v>
      </c>
      <c r="W13">
        <v>1439515</v>
      </c>
      <c r="X13">
        <v>1439515.375</v>
      </c>
      <c r="Y13">
        <v>200</v>
      </c>
      <c r="Z13">
        <v>184.80699999999999</v>
      </c>
      <c r="AA13">
        <v>-7.6</v>
      </c>
      <c r="AB13">
        <v>2820</v>
      </c>
    </row>
    <row r="14" spans="1:28" x14ac:dyDescent="0.3">
      <c r="A14">
        <v>7</v>
      </c>
      <c r="B14" t="s">
        <v>227</v>
      </c>
      <c r="C14" t="s">
        <v>112</v>
      </c>
      <c r="D14" t="s">
        <v>21</v>
      </c>
      <c r="E14" t="s">
        <v>45</v>
      </c>
      <c r="F14">
        <v>3.75</v>
      </c>
      <c r="G14">
        <v>3304509</v>
      </c>
      <c r="H14">
        <v>3304508.5</v>
      </c>
      <c r="I14" cm="1">
        <f t="array" ref="I14">TREND($Y$8:$Y$15,$W$8:$W$15,H14)</f>
        <v>513.38340859306936</v>
      </c>
      <c r="J14">
        <f t="shared" si="0"/>
        <v>154.01502257792083</v>
      </c>
      <c r="K14">
        <v>9.2587021175250833E-2</v>
      </c>
      <c r="L14" s="2">
        <f t="shared" si="1"/>
        <v>1663.4623365449643</v>
      </c>
      <c r="Q14">
        <v>7</v>
      </c>
      <c r="R14" t="s">
        <v>214</v>
      </c>
      <c r="S14" t="s">
        <v>67</v>
      </c>
      <c r="T14" t="s">
        <v>12</v>
      </c>
      <c r="U14" t="s">
        <v>18</v>
      </c>
      <c r="V14">
        <v>3.75</v>
      </c>
      <c r="W14">
        <v>3547366</v>
      </c>
      <c r="X14">
        <v>3547366</v>
      </c>
      <c r="Y14">
        <v>500</v>
      </c>
      <c r="Z14">
        <v>498.464</v>
      </c>
      <c r="AA14">
        <v>-0.3</v>
      </c>
      <c r="AB14">
        <v>9248</v>
      </c>
    </row>
    <row r="15" spans="1:28" x14ac:dyDescent="0.3">
      <c r="A15">
        <v>8</v>
      </c>
      <c r="B15" t="s">
        <v>228</v>
      </c>
      <c r="C15" t="s">
        <v>113</v>
      </c>
      <c r="D15" t="s">
        <v>21</v>
      </c>
      <c r="E15" t="s">
        <v>46</v>
      </c>
      <c r="F15">
        <v>3.74</v>
      </c>
      <c r="G15">
        <v>1937759</v>
      </c>
      <c r="H15">
        <v>1937758.625</v>
      </c>
      <c r="I15" cm="1">
        <f t="array" ref="I15">TREND($Y$8:$Y$15,$W$8:$W$15,H15)</f>
        <v>292.31752653673033</v>
      </c>
      <c r="J15">
        <f t="shared" si="0"/>
        <v>87.695257961019109</v>
      </c>
      <c r="K15">
        <v>0.14974138961216016</v>
      </c>
      <c r="L15" s="2">
        <f t="shared" si="1"/>
        <v>585.64474517136159</v>
      </c>
      <c r="Q15">
        <v>8</v>
      </c>
      <c r="R15" t="s">
        <v>215</v>
      </c>
      <c r="S15" t="s">
        <v>68</v>
      </c>
      <c r="T15" t="s">
        <v>12</v>
      </c>
      <c r="U15" t="s">
        <v>19</v>
      </c>
      <c r="V15">
        <v>3.75</v>
      </c>
      <c r="W15">
        <v>6092984</v>
      </c>
      <c r="X15">
        <v>6092983.5</v>
      </c>
      <c r="Y15">
        <v>1000</v>
      </c>
      <c r="Z15">
        <v>1004.494</v>
      </c>
      <c r="AA15">
        <v>0.4</v>
      </c>
      <c r="AB15">
        <v>12617</v>
      </c>
    </row>
    <row r="16" spans="1:28" x14ac:dyDescent="0.3">
      <c r="A16">
        <v>9</v>
      </c>
      <c r="B16" t="s">
        <v>229</v>
      </c>
      <c r="C16" t="s">
        <v>114</v>
      </c>
      <c r="D16" t="s">
        <v>21</v>
      </c>
      <c r="E16" t="s">
        <v>47</v>
      </c>
      <c r="F16">
        <v>3.75</v>
      </c>
      <c r="G16">
        <v>5544875</v>
      </c>
      <c r="H16">
        <v>5544874.5</v>
      </c>
      <c r="I16" cm="1">
        <f t="array" ref="I16">TREND($Y$8:$Y$15,$W$8:$W$15,H16)</f>
        <v>875.75292109734687</v>
      </c>
      <c r="J16">
        <f t="shared" si="0"/>
        <v>262.72587632920408</v>
      </c>
      <c r="K16">
        <v>0.19965083810636269</v>
      </c>
      <c r="L16" s="2">
        <f t="shared" si="1"/>
        <v>1315.9267390064176</v>
      </c>
    </row>
    <row r="17" spans="1:12" x14ac:dyDescent="0.3">
      <c r="A17">
        <v>10</v>
      </c>
      <c r="B17" t="s">
        <v>230</v>
      </c>
      <c r="C17" t="s">
        <v>115</v>
      </c>
      <c r="D17" t="s">
        <v>21</v>
      </c>
      <c r="E17" t="s">
        <v>48</v>
      </c>
      <c r="F17">
        <v>3.75</v>
      </c>
      <c r="G17">
        <v>5835732</v>
      </c>
      <c r="H17">
        <v>5835732</v>
      </c>
      <c r="I17" cm="1">
        <f t="array" ref="I17">TREND($Y$8:$Y$15,$W$8:$W$15,H17)</f>
        <v>922.79786396972258</v>
      </c>
      <c r="J17">
        <f t="shared" si="0"/>
        <v>276.83935919091675</v>
      </c>
      <c r="K17">
        <v>0.22058060682973793</v>
      </c>
      <c r="L17" s="2">
        <f t="shared" si="1"/>
        <v>1255.0484975526606</v>
      </c>
    </row>
    <row r="18" spans="1:12" x14ac:dyDescent="0.3">
      <c r="A18">
        <v>11</v>
      </c>
      <c r="B18" t="s">
        <v>231</v>
      </c>
      <c r="C18" t="s">
        <v>116</v>
      </c>
      <c r="D18" t="s">
        <v>21</v>
      </c>
      <c r="E18" t="s">
        <v>49</v>
      </c>
      <c r="F18">
        <v>3.75</v>
      </c>
      <c r="G18">
        <v>5961113</v>
      </c>
      <c r="H18">
        <v>5961112.5</v>
      </c>
      <c r="I18" cm="1">
        <f t="array" ref="I18">TREND($Y$8:$Y$15,$W$8:$W$15,H18)</f>
        <v>943.07761766288809</v>
      </c>
      <c r="J18">
        <f t="shared" si="0"/>
        <v>282.9232852988664</v>
      </c>
      <c r="K18">
        <v>0.12720163867929454</v>
      </c>
      <c r="L18" s="2">
        <f t="shared" si="1"/>
        <v>2224.2110104586232</v>
      </c>
    </row>
    <row r="19" spans="1:12" x14ac:dyDescent="0.3">
      <c r="A19">
        <v>12</v>
      </c>
      <c r="B19" t="s">
        <v>232</v>
      </c>
      <c r="C19" t="s">
        <v>117</v>
      </c>
      <c r="D19" t="s">
        <v>21</v>
      </c>
      <c r="E19" t="s">
        <v>50</v>
      </c>
      <c r="F19">
        <v>3.74</v>
      </c>
      <c r="G19">
        <v>4423079</v>
      </c>
      <c r="H19">
        <v>4423078.5</v>
      </c>
      <c r="I19" cm="1">
        <f t="array" ref="I19">TREND($Y$8:$Y$15,$W$8:$W$15,H19)</f>
        <v>694.30726907029043</v>
      </c>
      <c r="J19">
        <f t="shared" si="0"/>
        <v>208.29218072108711</v>
      </c>
      <c r="K19">
        <v>0.1594012828691026</v>
      </c>
      <c r="L19" s="2">
        <f t="shared" si="1"/>
        <v>1306.7158367359741</v>
      </c>
    </row>
    <row r="20" spans="1:12" x14ac:dyDescent="0.3">
      <c r="A20">
        <v>13</v>
      </c>
      <c r="B20" t="s">
        <v>233</v>
      </c>
      <c r="C20" t="s">
        <v>118</v>
      </c>
      <c r="D20" t="s">
        <v>21</v>
      </c>
      <c r="E20" t="s">
        <v>51</v>
      </c>
      <c r="F20">
        <v>3.75</v>
      </c>
      <c r="G20">
        <v>5773473</v>
      </c>
      <c r="H20">
        <v>5773473</v>
      </c>
      <c r="I20" cm="1">
        <f t="array" ref="I20">TREND($Y$8:$Y$15,$W$8:$W$15,H20)</f>
        <v>912.72773994578915</v>
      </c>
      <c r="J20">
        <f t="shared" si="0"/>
        <v>273.81832198373672</v>
      </c>
      <c r="K20">
        <v>0.14491144298368897</v>
      </c>
      <c r="L20" s="2">
        <f t="shared" si="1"/>
        <v>1889.5562444613663</v>
      </c>
    </row>
    <row r="21" spans="1:12" x14ac:dyDescent="0.3">
      <c r="A21">
        <v>14</v>
      </c>
      <c r="B21" t="s">
        <v>234</v>
      </c>
      <c r="C21" t="s">
        <v>119</v>
      </c>
      <c r="D21" t="s">
        <v>21</v>
      </c>
      <c r="E21" t="s">
        <v>52</v>
      </c>
      <c r="F21">
        <v>3.75</v>
      </c>
      <c r="G21">
        <v>6396505</v>
      </c>
      <c r="H21">
        <v>6396504.5</v>
      </c>
      <c r="I21" cm="1">
        <f t="array" ref="I21">TREND($Y$8:$Y$15,$W$8:$W$15,H21)</f>
        <v>1013.5003909009495</v>
      </c>
      <c r="J21">
        <f t="shared" si="0"/>
        <v>304.05011727028489</v>
      </c>
      <c r="K21">
        <v>0.24553533107683917</v>
      </c>
      <c r="L21" s="2">
        <f t="shared" si="1"/>
        <v>1238.3151375275347</v>
      </c>
    </row>
    <row r="22" spans="1:12" x14ac:dyDescent="0.3">
      <c r="A22">
        <v>15</v>
      </c>
      <c r="B22" t="s">
        <v>235</v>
      </c>
      <c r="C22" t="s">
        <v>120</v>
      </c>
      <c r="D22" t="s">
        <v>21</v>
      </c>
      <c r="E22" t="s">
        <v>53</v>
      </c>
      <c r="F22">
        <v>3.75</v>
      </c>
      <c r="G22">
        <v>5241821</v>
      </c>
      <c r="H22">
        <v>5241820.5</v>
      </c>
      <c r="I22" cm="1">
        <f t="array" ref="I22">TREND($Y$8:$Y$15,$W$8:$W$15,H22)</f>
        <v>826.73524709119283</v>
      </c>
      <c r="J22">
        <f t="shared" si="0"/>
        <v>248.02057412735783</v>
      </c>
      <c r="K22">
        <v>0.3002747261995129</v>
      </c>
      <c r="L22" s="2">
        <f t="shared" si="1"/>
        <v>825.97885365338539</v>
      </c>
    </row>
    <row r="23" spans="1:12" x14ac:dyDescent="0.3">
      <c r="A23">
        <v>16</v>
      </c>
      <c r="B23" t="s">
        <v>236</v>
      </c>
      <c r="C23" t="s">
        <v>121</v>
      </c>
      <c r="D23" t="s">
        <v>21</v>
      </c>
      <c r="E23" t="s">
        <v>54</v>
      </c>
      <c r="F23">
        <v>3.75</v>
      </c>
      <c r="G23">
        <v>5585173</v>
      </c>
      <c r="H23">
        <v>5585172.5</v>
      </c>
      <c r="I23" cm="1">
        <f t="array" ref="I23">TREND($Y$8:$Y$15,$W$8:$W$15,H23)</f>
        <v>882.27094833704678</v>
      </c>
      <c r="J23">
        <f t="shared" si="0"/>
        <v>264.68128450111408</v>
      </c>
      <c r="K23">
        <v>0.17147614944028067</v>
      </c>
      <c r="L23" s="2">
        <f t="shared" si="1"/>
        <v>1543.5457663649813</v>
      </c>
    </row>
    <row r="24" spans="1:12" x14ac:dyDescent="0.3">
      <c r="A24">
        <v>17</v>
      </c>
      <c r="B24" t="s">
        <v>237</v>
      </c>
      <c r="C24" t="s">
        <v>122</v>
      </c>
      <c r="D24" t="s">
        <v>21</v>
      </c>
      <c r="E24" t="s">
        <v>55</v>
      </c>
      <c r="F24">
        <v>3.74</v>
      </c>
      <c r="G24">
        <v>5718375</v>
      </c>
      <c r="H24">
        <v>5718374.5</v>
      </c>
      <c r="I24" cm="1">
        <f t="array" ref="I24">TREND($Y$8:$Y$15,$W$8:$W$15,H24)</f>
        <v>903.81579583276607</v>
      </c>
      <c r="J24">
        <f t="shared" si="0"/>
        <v>271.1447387498298</v>
      </c>
      <c r="K24">
        <v>0.18113604269722305</v>
      </c>
      <c r="L24" s="2">
        <f t="shared" si="1"/>
        <v>1496.9121258934661</v>
      </c>
    </row>
    <row r="25" spans="1:12" x14ac:dyDescent="0.3">
      <c r="A25">
        <v>18</v>
      </c>
      <c r="B25" t="s">
        <v>238</v>
      </c>
      <c r="C25" t="s">
        <v>123</v>
      </c>
      <c r="D25" t="s">
        <v>21</v>
      </c>
      <c r="E25" t="s">
        <v>56</v>
      </c>
      <c r="F25">
        <v>3.74</v>
      </c>
      <c r="G25">
        <v>4529509</v>
      </c>
      <c r="H25">
        <v>4529508.5</v>
      </c>
      <c r="I25" cm="1">
        <f t="array" ref="I25">TREND($Y$8:$Y$15,$W$8:$W$15,H25)</f>
        <v>711.52186133594273</v>
      </c>
      <c r="J25">
        <f t="shared" si="0"/>
        <v>213.4565584007828</v>
      </c>
      <c r="K25">
        <v>8.2927127918308433E-2</v>
      </c>
      <c r="L25" s="2">
        <f t="shared" si="1"/>
        <v>2574.0256989372524</v>
      </c>
    </row>
    <row r="26" spans="1:12" x14ac:dyDescent="0.3">
      <c r="A26">
        <v>19</v>
      </c>
      <c r="B26" t="s">
        <v>239</v>
      </c>
      <c r="C26" t="s">
        <v>124</v>
      </c>
      <c r="D26" t="s">
        <v>21</v>
      </c>
      <c r="E26" t="s">
        <v>57</v>
      </c>
      <c r="F26">
        <v>3.74</v>
      </c>
      <c r="G26">
        <v>6868764</v>
      </c>
      <c r="H26">
        <v>6868763.5</v>
      </c>
      <c r="I26" cm="1">
        <f t="array" ref="I26">TREND($Y$8:$Y$15,$W$8:$W$15,H26)</f>
        <v>1089.8862419653549</v>
      </c>
      <c r="J26">
        <f t="shared" si="0"/>
        <v>326.96587258960642</v>
      </c>
      <c r="K26">
        <v>0.11593176321286171</v>
      </c>
      <c r="L26" s="2">
        <f t="shared" si="1"/>
        <v>2820.3303695922064</v>
      </c>
    </row>
    <row r="27" spans="1:12" x14ac:dyDescent="0.3">
      <c r="A27">
        <v>20</v>
      </c>
      <c r="B27" t="s">
        <v>240</v>
      </c>
      <c r="C27" t="s">
        <v>125</v>
      </c>
      <c r="D27" t="s">
        <v>21</v>
      </c>
      <c r="E27" t="s">
        <v>58</v>
      </c>
      <c r="F27">
        <v>3.75</v>
      </c>
      <c r="G27">
        <v>8129014</v>
      </c>
      <c r="H27">
        <v>8129014</v>
      </c>
      <c r="I27" cm="1">
        <f t="array" ref="I27">TREND($Y$8:$Y$15,$W$8:$W$15,H27)</f>
        <v>1293.7263106497894</v>
      </c>
      <c r="J27">
        <f t="shared" si="0"/>
        <v>388.11789319493687</v>
      </c>
      <c r="K27">
        <v>0.17469611385926145</v>
      </c>
      <c r="L27" s="2">
        <f t="shared" si="1"/>
        <v>2221.6744529738771</v>
      </c>
    </row>
    <row r="28" spans="1:12" x14ac:dyDescent="0.3">
      <c r="A28">
        <v>21</v>
      </c>
      <c r="B28" t="s">
        <v>241</v>
      </c>
      <c r="C28" t="s">
        <v>126</v>
      </c>
      <c r="D28" t="s">
        <v>21</v>
      </c>
      <c r="E28" t="s">
        <v>59</v>
      </c>
      <c r="F28">
        <v>3.74</v>
      </c>
      <c r="G28">
        <v>4956549</v>
      </c>
      <c r="H28">
        <v>4956548.5</v>
      </c>
      <c r="I28" cm="1">
        <f t="array" ref="I28">TREND($Y$8:$Y$15,$W$8:$W$15,H28)</f>
        <v>780.59373469048683</v>
      </c>
      <c r="J28">
        <f t="shared" si="0"/>
        <v>234.17812040714603</v>
      </c>
      <c r="K28">
        <v>0.17952606048773259</v>
      </c>
      <c r="L28" s="2">
        <f t="shared" si="1"/>
        <v>1304.4241029460341</v>
      </c>
    </row>
    <row r="29" spans="1:12" x14ac:dyDescent="0.3">
      <c r="A29">
        <v>22</v>
      </c>
      <c r="B29" t="s">
        <v>242</v>
      </c>
      <c r="C29" t="s">
        <v>127</v>
      </c>
      <c r="D29" t="s">
        <v>21</v>
      </c>
      <c r="E29" t="s">
        <v>60</v>
      </c>
      <c r="F29">
        <v>3.74</v>
      </c>
      <c r="G29">
        <v>5865758</v>
      </c>
      <c r="H29">
        <v>5865758</v>
      </c>
      <c r="I29" cm="1">
        <f t="array" ref="I29">TREND($Y$8:$Y$15,$W$8:$W$15,H29)</f>
        <v>927.65443962854511</v>
      </c>
      <c r="J29">
        <f t="shared" si="0"/>
        <v>278.29633188856349</v>
      </c>
      <c r="K29">
        <v>0.19723586479212707</v>
      </c>
      <c r="L29" s="2">
        <f t="shared" si="1"/>
        <v>1410.9823899515868</v>
      </c>
    </row>
    <row r="30" spans="1:12" x14ac:dyDescent="0.3">
      <c r="A30">
        <v>23</v>
      </c>
      <c r="B30" t="s">
        <v>243</v>
      </c>
      <c r="C30" t="s">
        <v>128</v>
      </c>
      <c r="D30" t="s">
        <v>21</v>
      </c>
      <c r="E30" t="s">
        <v>75</v>
      </c>
      <c r="F30">
        <v>3.74</v>
      </c>
      <c r="G30">
        <v>6940147</v>
      </c>
      <c r="H30">
        <v>6940146.5</v>
      </c>
      <c r="I30" cm="1">
        <f t="array" ref="I30">TREND($Y$8:$Y$15,$W$8:$W$15,H30)</f>
        <v>1101.4321335344525</v>
      </c>
      <c r="J30">
        <f t="shared" si="0"/>
        <v>330.42964006033571</v>
      </c>
      <c r="K30">
        <v>0.28417490410460888</v>
      </c>
      <c r="L30" s="2">
        <f t="shared" si="1"/>
        <v>1162.7685460173493</v>
      </c>
    </row>
    <row r="31" spans="1:12" x14ac:dyDescent="0.3">
      <c r="A31">
        <v>24</v>
      </c>
      <c r="B31" t="s">
        <v>244</v>
      </c>
      <c r="C31" t="s">
        <v>129</v>
      </c>
      <c r="D31" t="s">
        <v>21</v>
      </c>
      <c r="E31" t="s">
        <v>76</v>
      </c>
      <c r="F31">
        <v>3.75</v>
      </c>
      <c r="G31">
        <v>5915355</v>
      </c>
      <c r="H31">
        <v>5915354.5</v>
      </c>
      <c r="I31" cm="1">
        <f t="array" ref="I31">TREND($Y$8:$Y$15,$W$8:$W$15,H31)</f>
        <v>935.67645903382004</v>
      </c>
      <c r="J31">
        <f t="shared" si="0"/>
        <v>280.70293771014599</v>
      </c>
      <c r="K31">
        <v>0.17872106938298743</v>
      </c>
      <c r="L31" s="2">
        <f t="shared" si="1"/>
        <v>1570.6202893662087</v>
      </c>
    </row>
    <row r="32" spans="1:12" x14ac:dyDescent="0.3">
      <c r="A32">
        <v>25</v>
      </c>
      <c r="B32" t="s">
        <v>245</v>
      </c>
      <c r="C32" t="s">
        <v>130</v>
      </c>
      <c r="D32" t="s">
        <v>21</v>
      </c>
      <c r="E32" t="s">
        <v>77</v>
      </c>
      <c r="F32">
        <v>3.74</v>
      </c>
      <c r="G32">
        <v>7408285</v>
      </c>
      <c r="H32">
        <v>7408284.5</v>
      </c>
      <c r="I32" cm="1">
        <f t="array" ref="I32">TREND($Y$8:$Y$15,$W$8:$W$15,H32)</f>
        <v>1177.1514306692632</v>
      </c>
      <c r="J32">
        <f t="shared" si="0"/>
        <v>353.14542920077895</v>
      </c>
      <c r="K32">
        <v>0.19884584700161748</v>
      </c>
      <c r="L32" s="2">
        <f t="shared" si="1"/>
        <v>1775.9758854702475</v>
      </c>
    </row>
    <row r="33" spans="1:12" x14ac:dyDescent="0.3">
      <c r="A33">
        <v>26</v>
      </c>
      <c r="B33" t="s">
        <v>246</v>
      </c>
      <c r="C33" t="s">
        <v>131</v>
      </c>
      <c r="D33" t="s">
        <v>21</v>
      </c>
      <c r="E33" t="s">
        <v>78</v>
      </c>
      <c r="F33">
        <v>3.75</v>
      </c>
      <c r="G33">
        <v>6370680</v>
      </c>
      <c r="H33">
        <v>6370680</v>
      </c>
      <c r="I33" cm="1">
        <f t="array" ref="I33">TREND($Y$8:$Y$15,$W$8:$W$15,H33)</f>
        <v>1009.3233896986162</v>
      </c>
      <c r="J33">
        <f t="shared" si="0"/>
        <v>302.79701690958484</v>
      </c>
      <c r="K33">
        <v>0.17469611385926145</v>
      </c>
      <c r="L33" s="2">
        <f t="shared" si="1"/>
        <v>1733.2784926945997</v>
      </c>
    </row>
    <row r="34" spans="1:12" x14ac:dyDescent="0.3">
      <c r="A34">
        <v>27</v>
      </c>
      <c r="B34" t="s">
        <v>247</v>
      </c>
      <c r="C34" t="s">
        <v>132</v>
      </c>
      <c r="D34" t="s">
        <v>21</v>
      </c>
      <c r="E34" t="s">
        <v>79</v>
      </c>
      <c r="F34">
        <v>3.75</v>
      </c>
      <c r="G34">
        <v>6432827</v>
      </c>
      <c r="H34">
        <v>6432827</v>
      </c>
      <c r="I34" cm="1">
        <f t="array" ref="I34">TREND($Y$8:$Y$15,$W$8:$W$15,H34)</f>
        <v>1019.3753982068704</v>
      </c>
      <c r="J34">
        <f t="shared" si="0"/>
        <v>305.81261946206109</v>
      </c>
      <c r="K34">
        <v>0.24875529549582001</v>
      </c>
      <c r="L34" s="2">
        <f t="shared" si="1"/>
        <v>1229.3712937950295</v>
      </c>
    </row>
    <row r="35" spans="1:12" x14ac:dyDescent="0.3">
      <c r="A35">
        <v>28</v>
      </c>
      <c r="B35" t="s">
        <v>248</v>
      </c>
      <c r="C35" t="s">
        <v>133</v>
      </c>
      <c r="D35" t="s">
        <v>21</v>
      </c>
      <c r="E35" t="s">
        <v>80</v>
      </c>
      <c r="F35">
        <v>3.75</v>
      </c>
      <c r="G35">
        <v>5197422</v>
      </c>
      <c r="H35">
        <v>5197422</v>
      </c>
      <c r="I35" cm="1">
        <f t="array" ref="I35">TREND($Y$8:$Y$15,$W$8:$W$15,H35)</f>
        <v>819.55398170825038</v>
      </c>
      <c r="J35">
        <f t="shared" si="0"/>
        <v>245.86619451247509</v>
      </c>
      <c r="K35">
        <v>0.18274602490671343</v>
      </c>
      <c r="L35" s="2">
        <f t="shared" si="1"/>
        <v>1345.3983179003903</v>
      </c>
    </row>
    <row r="36" spans="1:12" x14ac:dyDescent="0.3">
      <c r="A36">
        <v>29</v>
      </c>
      <c r="B36" t="s">
        <v>249</v>
      </c>
      <c r="C36" t="s">
        <v>134</v>
      </c>
      <c r="D36" t="s">
        <v>21</v>
      </c>
      <c r="E36" t="s">
        <v>81</v>
      </c>
      <c r="F36">
        <v>3.75</v>
      </c>
      <c r="G36">
        <v>10708965</v>
      </c>
      <c r="H36">
        <v>10708965</v>
      </c>
      <c r="I36" cm="1">
        <f t="array" ref="I36">TREND($Y$8:$Y$15,$W$8:$W$15,H36)</f>
        <v>1711.022228439527</v>
      </c>
      <c r="J36">
        <f t="shared" si="0"/>
        <v>513.30666853185812</v>
      </c>
      <c r="K36">
        <v>0.18113604269722305</v>
      </c>
      <c r="L36" s="2">
        <f t="shared" si="1"/>
        <v>2833.8184984524205</v>
      </c>
    </row>
    <row r="37" spans="1:12" x14ac:dyDescent="0.3">
      <c r="A37">
        <v>30</v>
      </c>
      <c r="B37" t="s">
        <v>250</v>
      </c>
      <c r="C37" t="s">
        <v>135</v>
      </c>
      <c r="D37" t="s">
        <v>21</v>
      </c>
      <c r="E37" t="s">
        <v>82</v>
      </c>
      <c r="F37">
        <v>3.75</v>
      </c>
      <c r="G37">
        <v>6810737</v>
      </c>
      <c r="H37">
        <v>6810736.5</v>
      </c>
      <c r="I37" cm="1">
        <f t="array" ref="I37">TREND($Y$8:$Y$15,$W$8:$W$15,H37)</f>
        <v>1080.5006256410197</v>
      </c>
      <c r="J37">
        <f t="shared" si="0"/>
        <v>324.15018769230596</v>
      </c>
      <c r="K37">
        <v>0.12156670094607813</v>
      </c>
      <c r="L37" s="2">
        <f t="shared" si="1"/>
        <v>2666.4389604196408</v>
      </c>
    </row>
    <row r="38" spans="1:12" x14ac:dyDescent="0.3">
      <c r="A38">
        <v>31</v>
      </c>
      <c r="B38" t="s">
        <v>251</v>
      </c>
      <c r="C38" t="s">
        <v>136</v>
      </c>
      <c r="D38" t="s">
        <v>21</v>
      </c>
      <c r="E38" t="s">
        <v>83</v>
      </c>
      <c r="F38">
        <v>3.75</v>
      </c>
      <c r="G38">
        <v>7733374</v>
      </c>
      <c r="H38">
        <v>7733373.5</v>
      </c>
      <c r="I38" cm="1">
        <f t="array" ref="I38">TREND($Y$8:$Y$15,$W$8:$W$15,H38)</f>
        <v>1229.7331706396533</v>
      </c>
      <c r="J38">
        <f t="shared" si="0"/>
        <v>368.91995119189596</v>
      </c>
      <c r="K38">
        <v>8.8562065651524843E-2</v>
      </c>
      <c r="L38" s="2">
        <f t="shared" si="1"/>
        <v>4165.6656095119433</v>
      </c>
    </row>
    <row r="39" spans="1:12" x14ac:dyDescent="0.3">
      <c r="A39">
        <v>32</v>
      </c>
      <c r="B39" t="s">
        <v>252</v>
      </c>
      <c r="C39" t="s">
        <v>137</v>
      </c>
      <c r="D39" t="s">
        <v>21</v>
      </c>
      <c r="E39" t="s">
        <v>84</v>
      </c>
      <c r="F39">
        <v>3.75</v>
      </c>
      <c r="G39">
        <v>8094698</v>
      </c>
      <c r="H39">
        <v>8094697.5</v>
      </c>
      <c r="I39" cm="1">
        <f t="array" ref="I39">TREND($Y$8:$Y$15,$W$8:$W$15,H39)</f>
        <v>1288.1757651693399</v>
      </c>
      <c r="J39">
        <f t="shared" si="0"/>
        <v>386.45272955080202</v>
      </c>
      <c r="K39">
        <v>0.13766652304098212</v>
      </c>
      <c r="L39" s="2">
        <f t="shared" si="1"/>
        <v>2807.1656130645388</v>
      </c>
    </row>
    <row r="40" spans="1:12" x14ac:dyDescent="0.3">
      <c r="A40">
        <v>33</v>
      </c>
      <c r="B40" t="s">
        <v>253</v>
      </c>
      <c r="C40" t="s">
        <v>138</v>
      </c>
      <c r="D40" t="s">
        <v>21</v>
      </c>
      <c r="E40" t="s">
        <v>85</v>
      </c>
      <c r="F40">
        <v>3.75</v>
      </c>
      <c r="G40">
        <v>5527270</v>
      </c>
      <c r="H40">
        <v>5527270</v>
      </c>
      <c r="I40" cm="1">
        <f t="array" ref="I40">TREND($Y$8:$Y$15,$W$8:$W$15,H40)</f>
        <v>872.90546934933718</v>
      </c>
      <c r="J40">
        <f t="shared" si="0"/>
        <v>261.87164080480113</v>
      </c>
      <c r="K40">
        <v>8.2122136813563229E-2</v>
      </c>
      <c r="L40" s="2">
        <f t="shared" si="1"/>
        <v>3188.8069522510355</v>
      </c>
    </row>
    <row r="41" spans="1:12" x14ac:dyDescent="0.3">
      <c r="A41">
        <v>34</v>
      </c>
      <c r="B41" t="s">
        <v>172</v>
      </c>
      <c r="C41" t="s">
        <v>139</v>
      </c>
      <c r="D41" t="s">
        <v>21</v>
      </c>
      <c r="E41" t="s">
        <v>86</v>
      </c>
      <c r="F41">
        <v>3.75</v>
      </c>
      <c r="G41">
        <v>6378793</v>
      </c>
      <c r="H41">
        <v>6378793</v>
      </c>
      <c r="I41" cm="1">
        <f t="array" ref="I41">TREND($Y$8:$Y$15,$W$8:$W$15,H41)</f>
        <v>1010.6356323656389</v>
      </c>
      <c r="J41">
        <f t="shared" si="0"/>
        <v>303.1906897096917</v>
      </c>
      <c r="K41">
        <v>0.10224691443219328</v>
      </c>
      <c r="L41" s="2">
        <f t="shared" si="1"/>
        <v>2965.2796017698665</v>
      </c>
    </row>
    <row r="42" spans="1:12" x14ac:dyDescent="0.3">
      <c r="A42">
        <v>35</v>
      </c>
      <c r="B42" t="s">
        <v>173</v>
      </c>
      <c r="C42" t="s">
        <v>140</v>
      </c>
      <c r="D42" t="s">
        <v>21</v>
      </c>
      <c r="E42" t="s">
        <v>87</v>
      </c>
      <c r="F42">
        <v>3.75</v>
      </c>
      <c r="G42">
        <v>9663605</v>
      </c>
      <c r="H42">
        <v>9663605</v>
      </c>
      <c r="I42" cm="1">
        <f t="array" ref="I42">TREND($Y$8:$Y$15,$W$8:$W$15,H42)</f>
        <v>1541.9397688809231</v>
      </c>
      <c r="J42">
        <f t="shared" si="0"/>
        <v>462.58193066427697</v>
      </c>
      <c r="K42">
        <v>0.12639664757454935</v>
      </c>
      <c r="L42" s="2">
        <f t="shared" si="1"/>
        <v>3659.7642385368163</v>
      </c>
    </row>
    <row r="43" spans="1:12" x14ac:dyDescent="0.3">
      <c r="A43">
        <v>36</v>
      </c>
      <c r="B43" t="s">
        <v>174</v>
      </c>
      <c r="C43" t="s">
        <v>141</v>
      </c>
      <c r="D43" t="s">
        <v>21</v>
      </c>
      <c r="E43" t="s">
        <v>88</v>
      </c>
      <c r="F43">
        <v>3.75</v>
      </c>
      <c r="G43">
        <v>6164839</v>
      </c>
      <c r="H43">
        <v>6164839</v>
      </c>
      <c r="I43" cm="1">
        <f t="array" ref="I43">TREND($Y$8:$Y$15,$W$8:$W$15,H43)</f>
        <v>976.02949806510946</v>
      </c>
      <c r="J43">
        <f t="shared" si="0"/>
        <v>292.80884941953286</v>
      </c>
      <c r="K43">
        <v>0.15054638071690538</v>
      </c>
      <c r="L43" s="2">
        <f t="shared" si="1"/>
        <v>1944.9743529214736</v>
      </c>
    </row>
    <row r="44" spans="1:12" x14ac:dyDescent="0.3">
      <c r="A44">
        <v>37</v>
      </c>
      <c r="B44" t="s">
        <v>175</v>
      </c>
      <c r="C44" t="s">
        <v>142</v>
      </c>
      <c r="D44" t="s">
        <v>21</v>
      </c>
      <c r="E44" t="s">
        <v>89</v>
      </c>
      <c r="F44">
        <v>3.75</v>
      </c>
      <c r="G44">
        <v>5074720</v>
      </c>
      <c r="H44">
        <v>5074719.5</v>
      </c>
      <c r="I44" cm="1">
        <f t="array" ref="I44">TREND($Y$8:$Y$15,$W$8:$W$15,H44)</f>
        <v>799.70738293463228</v>
      </c>
      <c r="J44">
        <f t="shared" si="0"/>
        <v>239.91221488038968</v>
      </c>
      <c r="K44">
        <v>0.14893639850741497</v>
      </c>
      <c r="L44" s="2">
        <f t="shared" si="1"/>
        <v>1610.8366879063842</v>
      </c>
    </row>
    <row r="45" spans="1:12" x14ac:dyDescent="0.3">
      <c r="A45">
        <v>38</v>
      </c>
      <c r="B45" t="s">
        <v>176</v>
      </c>
      <c r="C45" t="s">
        <v>143</v>
      </c>
      <c r="D45" t="s">
        <v>21</v>
      </c>
      <c r="E45" t="s">
        <v>90</v>
      </c>
      <c r="F45">
        <v>3.75</v>
      </c>
      <c r="G45">
        <v>4584269</v>
      </c>
      <c r="H45">
        <v>4584268.5</v>
      </c>
      <c r="I45" cm="1">
        <f t="array" ref="I45">TREND($Y$8:$Y$15,$W$8:$W$15,H45)</f>
        <v>720.37905453773828</v>
      </c>
      <c r="J45">
        <f t="shared" si="0"/>
        <v>216.11371636132151</v>
      </c>
      <c r="K45">
        <v>4.0262599366812736E-2</v>
      </c>
      <c r="L45" s="2">
        <f t="shared" si="1"/>
        <v>5367.6046693462522</v>
      </c>
    </row>
    <row r="46" spans="1:12" x14ac:dyDescent="0.3">
      <c r="A46">
        <v>39</v>
      </c>
      <c r="B46" t="s">
        <v>177</v>
      </c>
      <c r="C46" t="s">
        <v>144</v>
      </c>
      <c r="D46" t="s">
        <v>21</v>
      </c>
      <c r="E46" t="s">
        <v>91</v>
      </c>
      <c r="F46">
        <v>3.76</v>
      </c>
      <c r="G46">
        <v>9062638</v>
      </c>
      <c r="H46">
        <v>9062638</v>
      </c>
      <c r="I46" cm="1">
        <f t="array" ref="I46">TREND($Y$8:$Y$15,$W$8:$W$15,H46)</f>
        <v>1444.7359553874321</v>
      </c>
      <c r="J46">
        <f t="shared" si="0"/>
        <v>433.42078661622963</v>
      </c>
      <c r="K46">
        <v>0.11351678989862611</v>
      </c>
      <c r="L46" s="2">
        <f t="shared" si="1"/>
        <v>3818.1205353259843</v>
      </c>
    </row>
    <row r="47" spans="1:12" x14ac:dyDescent="0.3">
      <c r="A47">
        <v>40</v>
      </c>
      <c r="B47" t="s">
        <v>178</v>
      </c>
      <c r="C47" t="s">
        <v>145</v>
      </c>
      <c r="D47" t="s">
        <v>21</v>
      </c>
      <c r="E47" t="s">
        <v>92</v>
      </c>
      <c r="F47">
        <v>3.75</v>
      </c>
      <c r="G47">
        <v>8635739</v>
      </c>
      <c r="H47">
        <v>8635739</v>
      </c>
      <c r="I47" cm="1">
        <f t="array" ref="I47">TREND($Y$8:$Y$15,$W$8:$W$15,H47)</f>
        <v>1375.686888173163</v>
      </c>
      <c r="J47">
        <f t="shared" si="0"/>
        <v>412.70606645194886</v>
      </c>
      <c r="K47">
        <v>0.10144192332744809</v>
      </c>
      <c r="L47" s="2">
        <f t="shared" si="1"/>
        <v>4068.397492028615</v>
      </c>
    </row>
    <row r="48" spans="1:12" x14ac:dyDescent="0.3">
      <c r="A48">
        <v>41</v>
      </c>
      <c r="B48" t="s">
        <v>179</v>
      </c>
      <c r="C48" t="s">
        <v>146</v>
      </c>
      <c r="D48" t="s">
        <v>21</v>
      </c>
      <c r="E48" t="s">
        <v>93</v>
      </c>
      <c r="F48">
        <v>3.75</v>
      </c>
      <c r="G48">
        <v>8717691</v>
      </c>
      <c r="H48">
        <v>8717691</v>
      </c>
      <c r="I48" cm="1">
        <f t="array" ref="I48">TREND($Y$8:$Y$15,$W$8:$W$15,H48)</f>
        <v>1388.9422697888233</v>
      </c>
      <c r="J48">
        <f t="shared" si="0"/>
        <v>416.68268093664699</v>
      </c>
      <c r="K48">
        <v>8.3732119023053622E-2</v>
      </c>
      <c r="L48" s="2">
        <f t="shared" si="1"/>
        <v>4976.3780709039911</v>
      </c>
    </row>
    <row r="49" spans="1:12" x14ac:dyDescent="0.3">
      <c r="A49">
        <v>42</v>
      </c>
      <c r="B49" t="s">
        <v>180</v>
      </c>
      <c r="C49" t="s">
        <v>147</v>
      </c>
      <c r="D49" t="s">
        <v>21</v>
      </c>
      <c r="E49" t="s">
        <v>94</v>
      </c>
      <c r="F49">
        <v>3.75</v>
      </c>
      <c r="G49">
        <v>7185950</v>
      </c>
      <c r="H49">
        <v>7185949.5</v>
      </c>
      <c r="I49" cm="1">
        <f t="array" ref="I49">TREND($Y$8:$Y$15,$W$8:$W$15,H49)</f>
        <v>1141.189705860621</v>
      </c>
      <c r="J49">
        <f t="shared" si="0"/>
        <v>342.35691175818624</v>
      </c>
      <c r="K49">
        <v>0.22299558014397355</v>
      </c>
      <c r="L49" s="2">
        <f t="shared" si="1"/>
        <v>1535.2632170429069</v>
      </c>
    </row>
    <row r="50" spans="1:12" x14ac:dyDescent="0.3">
      <c r="A50">
        <v>43</v>
      </c>
      <c r="B50" t="s">
        <v>181</v>
      </c>
      <c r="C50" t="s">
        <v>148</v>
      </c>
      <c r="D50" t="s">
        <v>21</v>
      </c>
      <c r="E50" t="s">
        <v>95</v>
      </c>
      <c r="F50">
        <v>3.75</v>
      </c>
      <c r="G50">
        <v>7284609</v>
      </c>
      <c r="H50">
        <v>7284609</v>
      </c>
      <c r="I50" cm="1">
        <f t="array" ref="I50">TREND($Y$8:$Y$15,$W$8:$W$15,H50)</f>
        <v>1157.1474533531807</v>
      </c>
      <c r="J50">
        <f t="shared" si="0"/>
        <v>347.14423600595421</v>
      </c>
      <c r="K50">
        <v>0.1175417454223521</v>
      </c>
      <c r="L50" s="2">
        <f t="shared" si="1"/>
        <v>2953.3697560691503</v>
      </c>
    </row>
    <row r="51" spans="1:12" x14ac:dyDescent="0.3">
      <c r="A51">
        <v>44</v>
      </c>
      <c r="B51" t="s">
        <v>182</v>
      </c>
      <c r="C51" t="s">
        <v>149</v>
      </c>
      <c r="D51" t="s">
        <v>21</v>
      </c>
      <c r="E51" t="s">
        <v>96</v>
      </c>
      <c r="F51">
        <v>3.76</v>
      </c>
      <c r="G51">
        <v>6871260</v>
      </c>
      <c r="H51">
        <v>6871260</v>
      </c>
      <c r="I51" cm="1">
        <f t="array" ref="I51">TREND($Y$8:$Y$15,$W$8:$W$15,H51)</f>
        <v>1090.2900400447611</v>
      </c>
      <c r="J51">
        <f t="shared" si="0"/>
        <v>327.08701201342831</v>
      </c>
      <c r="K51">
        <v>0.11351678989862611</v>
      </c>
      <c r="L51" s="2">
        <f t="shared" si="1"/>
        <v>2881.3976532064271</v>
      </c>
    </row>
    <row r="52" spans="1:12" x14ac:dyDescent="0.3">
      <c r="A52">
        <v>45</v>
      </c>
      <c r="B52" t="s">
        <v>183</v>
      </c>
      <c r="C52" t="s">
        <v>150</v>
      </c>
      <c r="D52" t="s">
        <v>21</v>
      </c>
      <c r="E52" t="s">
        <v>97</v>
      </c>
      <c r="F52">
        <v>3.75</v>
      </c>
      <c r="G52">
        <v>3934925</v>
      </c>
      <c r="H52">
        <v>3934925.25</v>
      </c>
      <c r="I52" cm="1">
        <f t="array" ref="I52">TREND($Y$8:$Y$15,$W$8:$W$15,H52)</f>
        <v>615.35059179975565</v>
      </c>
      <c r="J52">
        <f t="shared" si="0"/>
        <v>184.60517753992667</v>
      </c>
      <c r="K52">
        <v>8.4537110127798853E-2</v>
      </c>
      <c r="L52" s="2">
        <f t="shared" si="1"/>
        <v>2183.7176272154329</v>
      </c>
    </row>
    <row r="53" spans="1:12" x14ac:dyDescent="0.3">
      <c r="A53">
        <v>46</v>
      </c>
      <c r="B53" t="s">
        <v>184</v>
      </c>
      <c r="C53" t="s">
        <v>151</v>
      </c>
      <c r="D53" t="s">
        <v>21</v>
      </c>
      <c r="E53" t="s">
        <v>98</v>
      </c>
      <c r="F53">
        <v>3.76</v>
      </c>
      <c r="G53">
        <v>8846014</v>
      </c>
      <c r="H53">
        <v>8846014</v>
      </c>
      <c r="I53" cm="1">
        <f t="array" ref="I53">TREND($Y$8:$Y$15,$W$8:$W$15,H53)</f>
        <v>1409.697960132761</v>
      </c>
      <c r="J53">
        <f t="shared" si="0"/>
        <v>422.90938803982829</v>
      </c>
      <c r="K53">
        <v>0.1078818521654097</v>
      </c>
      <c r="L53" s="2">
        <f t="shared" si="1"/>
        <v>3920.1161228804549</v>
      </c>
    </row>
    <row r="54" spans="1:12" x14ac:dyDescent="0.3">
      <c r="A54">
        <v>47</v>
      </c>
      <c r="B54" t="s">
        <v>185</v>
      </c>
      <c r="C54" t="s">
        <v>152</v>
      </c>
      <c r="D54" t="s">
        <v>21</v>
      </c>
      <c r="E54" t="s">
        <v>99</v>
      </c>
      <c r="F54">
        <v>3.76</v>
      </c>
      <c r="G54">
        <v>7833585</v>
      </c>
      <c r="H54">
        <v>7833585</v>
      </c>
      <c r="I54" cm="1">
        <f t="array" ref="I54">TREND($Y$8:$Y$15,$W$8:$W$15,H54)</f>
        <v>1245.9419474209126</v>
      </c>
      <c r="J54">
        <f t="shared" si="0"/>
        <v>373.7825842262738</v>
      </c>
      <c r="K54">
        <v>0.14813140740266978</v>
      </c>
      <c r="L54" s="2">
        <f t="shared" si="1"/>
        <v>2523.317578494411</v>
      </c>
    </row>
    <row r="55" spans="1:12" x14ac:dyDescent="0.3">
      <c r="A55">
        <v>48</v>
      </c>
      <c r="B55" t="s">
        <v>186</v>
      </c>
      <c r="C55" t="s">
        <v>153</v>
      </c>
      <c r="D55" t="s">
        <v>21</v>
      </c>
      <c r="E55" t="s">
        <v>100</v>
      </c>
      <c r="F55">
        <v>3.76</v>
      </c>
      <c r="G55">
        <v>5178775</v>
      </c>
      <c r="H55">
        <v>5178775</v>
      </c>
      <c r="I55" cm="1">
        <f t="array" ref="I55">TREND($Y$8:$Y$15,$W$8:$W$15,H55)</f>
        <v>816.53791009331462</v>
      </c>
      <c r="J55">
        <f t="shared" si="0"/>
        <v>244.96137302799437</v>
      </c>
      <c r="K55">
        <v>6.6022314718659172E-2</v>
      </c>
      <c r="L55" s="2">
        <f t="shared" si="1"/>
        <v>3710.281502123154</v>
      </c>
    </row>
    <row r="56" spans="1:12" x14ac:dyDescent="0.3">
      <c r="A56">
        <v>49</v>
      </c>
      <c r="B56" t="s">
        <v>187</v>
      </c>
      <c r="C56" t="s">
        <v>154</v>
      </c>
      <c r="D56" t="s">
        <v>21</v>
      </c>
      <c r="E56" t="s">
        <v>20</v>
      </c>
      <c r="F56">
        <v>3.76</v>
      </c>
      <c r="G56">
        <v>7730433</v>
      </c>
      <c r="H56">
        <v>7730433</v>
      </c>
      <c r="I56" cm="1">
        <f t="array" ref="I56">TREND($Y$8:$Y$15,$W$8:$W$15,H56)</f>
        <v>1229.2575574802327</v>
      </c>
      <c r="J56">
        <f t="shared" si="0"/>
        <v>368.77726724406978</v>
      </c>
      <c r="K56">
        <v>0.22621554456295434</v>
      </c>
      <c r="L56" s="2">
        <f t="shared" si="1"/>
        <v>1630.2030347054308</v>
      </c>
    </row>
    <row r="57" spans="1:12" x14ac:dyDescent="0.3">
      <c r="A57">
        <v>50</v>
      </c>
      <c r="B57" t="s">
        <v>188</v>
      </c>
      <c r="C57" t="s">
        <v>155</v>
      </c>
      <c r="D57" t="s">
        <v>21</v>
      </c>
      <c r="E57" t="s">
        <v>22</v>
      </c>
      <c r="F57">
        <v>3.75</v>
      </c>
      <c r="G57">
        <v>6006722</v>
      </c>
      <c r="H57">
        <v>6006722</v>
      </c>
      <c r="I57" cm="1">
        <f t="array" ref="I57">TREND($Y$8:$Y$15,$W$8:$W$15,H57)</f>
        <v>950.45475705911349</v>
      </c>
      <c r="J57">
        <f t="shared" si="0"/>
        <v>285.136427117734</v>
      </c>
      <c r="K57">
        <v>0.21897062462024752</v>
      </c>
      <c r="L57" s="2">
        <f t="shared" si="1"/>
        <v>1302.1674830230554</v>
      </c>
    </row>
    <row r="58" spans="1:12" x14ac:dyDescent="0.3">
      <c r="A58">
        <v>51</v>
      </c>
      <c r="B58" t="s">
        <v>189</v>
      </c>
      <c r="C58" t="s">
        <v>156</v>
      </c>
      <c r="D58" t="s">
        <v>21</v>
      </c>
      <c r="E58" t="s">
        <v>23</v>
      </c>
      <c r="F58">
        <v>3.76</v>
      </c>
      <c r="G58">
        <v>7388084</v>
      </c>
      <c r="H58">
        <v>7388083.5</v>
      </c>
      <c r="I58" cm="1">
        <f t="array" ref="I58">TREND($Y$8:$Y$15,$W$8:$W$15,H58)</f>
        <v>1173.8840062742765</v>
      </c>
      <c r="J58">
        <f t="shared" si="0"/>
        <v>352.16520188228299</v>
      </c>
      <c r="K58">
        <v>0.11271179879388092</v>
      </c>
      <c r="L58" s="2">
        <f t="shared" si="1"/>
        <v>3124.4750385564948</v>
      </c>
    </row>
    <row r="59" spans="1:12" x14ac:dyDescent="0.3">
      <c r="A59">
        <v>52</v>
      </c>
      <c r="B59" t="s">
        <v>190</v>
      </c>
      <c r="C59" t="s">
        <v>157</v>
      </c>
      <c r="D59" t="s">
        <v>21</v>
      </c>
      <c r="E59" t="s">
        <v>24</v>
      </c>
      <c r="F59">
        <v>3.75</v>
      </c>
      <c r="G59">
        <v>7681169</v>
      </c>
      <c r="H59">
        <v>7681168.5</v>
      </c>
      <c r="I59" cm="1">
        <f t="array" ref="I59">TREND($Y$8:$Y$15,$W$8:$W$15,H59)</f>
        <v>1221.2892376392929</v>
      </c>
      <c r="J59">
        <f t="shared" si="0"/>
        <v>366.38677129178791</v>
      </c>
      <c r="K59">
        <v>9.1782030070505644E-2</v>
      </c>
      <c r="L59" s="2">
        <f t="shared" si="1"/>
        <v>3991.9227218044189</v>
      </c>
    </row>
    <row r="60" spans="1:12" x14ac:dyDescent="0.3">
      <c r="A60">
        <v>53</v>
      </c>
      <c r="B60" t="s">
        <v>191</v>
      </c>
      <c r="C60" t="s">
        <v>158</v>
      </c>
      <c r="D60" t="s">
        <v>21</v>
      </c>
      <c r="E60" t="s">
        <v>25</v>
      </c>
      <c r="F60">
        <v>3.76</v>
      </c>
      <c r="G60">
        <v>8338553</v>
      </c>
      <c r="H60">
        <v>8338553</v>
      </c>
      <c r="I60" cm="1">
        <f t="array" ref="I60">TREND($Y$8:$Y$15,$W$8:$W$15,H60)</f>
        <v>1327.6183377920661</v>
      </c>
      <c r="J60">
        <f t="shared" si="0"/>
        <v>398.28550133761979</v>
      </c>
      <c r="K60">
        <v>0.16584121170706426</v>
      </c>
      <c r="L60" s="2">
        <f t="shared" si="1"/>
        <v>2401.6075210613903</v>
      </c>
    </row>
    <row r="61" spans="1:12" x14ac:dyDescent="0.3">
      <c r="A61">
        <v>54</v>
      </c>
      <c r="B61" t="s">
        <v>192</v>
      </c>
      <c r="C61" t="s">
        <v>159</v>
      </c>
      <c r="D61" t="s">
        <v>21</v>
      </c>
      <c r="E61" t="s">
        <v>26</v>
      </c>
      <c r="F61">
        <v>3.76</v>
      </c>
      <c r="G61">
        <v>5962760</v>
      </c>
      <c r="H61">
        <v>5962760</v>
      </c>
      <c r="I61" cm="1">
        <f t="array" ref="I61">TREND($Y$8:$Y$15,$W$8:$W$15,H61)</f>
        <v>943.34409366361797</v>
      </c>
      <c r="J61">
        <f t="shared" si="0"/>
        <v>283.00322809908539</v>
      </c>
      <c r="K61">
        <v>0.20850574025855992</v>
      </c>
      <c r="L61" s="2">
        <f t="shared" si="1"/>
        <v>1357.2922632640425</v>
      </c>
    </row>
    <row r="62" spans="1:12" x14ac:dyDescent="0.3">
      <c r="A62">
        <v>55</v>
      </c>
      <c r="B62" t="s">
        <v>193</v>
      </c>
      <c r="C62" t="s">
        <v>160</v>
      </c>
      <c r="D62" t="s">
        <v>21</v>
      </c>
      <c r="E62" t="s">
        <v>27</v>
      </c>
      <c r="F62">
        <v>3.76</v>
      </c>
      <c r="G62">
        <v>5695129</v>
      </c>
      <c r="H62">
        <v>5695129</v>
      </c>
      <c r="I62" cm="1">
        <f t="array" ref="I62">TREND($Y$8:$Y$15,$W$8:$W$15,H62)</f>
        <v>900.05593672808482</v>
      </c>
      <c r="J62">
        <f t="shared" si="0"/>
        <v>270.01678101842549</v>
      </c>
      <c r="K62">
        <v>0.15457133624063138</v>
      </c>
      <c r="L62" s="2">
        <f t="shared" si="1"/>
        <v>1746.8748578201626</v>
      </c>
    </row>
    <row r="63" spans="1:12" x14ac:dyDescent="0.3">
      <c r="A63">
        <v>56</v>
      </c>
      <c r="B63" t="s">
        <v>194</v>
      </c>
      <c r="C63" t="s">
        <v>161</v>
      </c>
      <c r="D63" t="s">
        <v>21</v>
      </c>
      <c r="E63" t="s">
        <v>28</v>
      </c>
      <c r="F63">
        <v>3.75</v>
      </c>
      <c r="G63">
        <v>7031359</v>
      </c>
      <c r="H63">
        <v>7031358.5</v>
      </c>
      <c r="I63" cm="1">
        <f t="array" ref="I63">TREND($Y$8:$Y$15,$W$8:$W$15,H63)</f>
        <v>1116.1852801071732</v>
      </c>
      <c r="J63">
        <f t="shared" si="0"/>
        <v>334.85558403215191</v>
      </c>
      <c r="K63">
        <v>0.22863051787718996</v>
      </c>
      <c r="L63" s="2">
        <f t="shared" si="1"/>
        <v>1464.6145542653289</v>
      </c>
    </row>
    <row r="64" spans="1:12" x14ac:dyDescent="0.3">
      <c r="A64">
        <v>57</v>
      </c>
      <c r="B64" t="s">
        <v>195</v>
      </c>
      <c r="C64" t="s">
        <v>162</v>
      </c>
      <c r="D64" t="s">
        <v>21</v>
      </c>
      <c r="E64" t="s">
        <v>29</v>
      </c>
      <c r="F64">
        <v>3.75</v>
      </c>
      <c r="G64">
        <v>8360701</v>
      </c>
      <c r="H64">
        <v>8360700.5</v>
      </c>
      <c r="I64" cm="1">
        <f t="array" ref="I64">TREND($Y$8:$Y$15,$W$8:$W$15,H64)</f>
        <v>1331.2006001448194</v>
      </c>
      <c r="J64">
        <f t="shared" si="0"/>
        <v>399.36018004344578</v>
      </c>
      <c r="K64">
        <v>0.19079593595416544</v>
      </c>
      <c r="L64" s="2">
        <f t="shared" si="1"/>
        <v>2093.1272883054667</v>
      </c>
    </row>
    <row r="65" spans="1:12" x14ac:dyDescent="0.3">
      <c r="A65">
        <v>58</v>
      </c>
      <c r="B65" t="s">
        <v>196</v>
      </c>
      <c r="C65" t="s">
        <v>163</v>
      </c>
      <c r="D65" t="s">
        <v>21</v>
      </c>
      <c r="E65" t="s">
        <v>30</v>
      </c>
      <c r="F65">
        <v>3.75</v>
      </c>
      <c r="G65">
        <v>7978008</v>
      </c>
      <c r="H65">
        <v>7978007.5</v>
      </c>
      <c r="I65" cm="1">
        <f t="array" ref="I65">TREND($Y$8:$Y$15,$W$8:$W$15,H65)</f>
        <v>1269.3016622709188</v>
      </c>
      <c r="J65">
        <f t="shared" si="0"/>
        <v>380.79049868127561</v>
      </c>
      <c r="K65">
        <v>0.13122659420302052</v>
      </c>
      <c r="L65" s="2">
        <f t="shared" si="1"/>
        <v>2901.7784161353379</v>
      </c>
    </row>
    <row r="66" spans="1:12" x14ac:dyDescent="0.3">
      <c r="A66">
        <v>59</v>
      </c>
      <c r="B66" t="s">
        <v>197</v>
      </c>
      <c r="C66" t="s">
        <v>164</v>
      </c>
      <c r="D66" t="s">
        <v>21</v>
      </c>
      <c r="E66" t="s">
        <v>31</v>
      </c>
      <c r="F66">
        <v>3.75</v>
      </c>
      <c r="G66">
        <v>7020287</v>
      </c>
      <c r="H66">
        <v>7020286.5</v>
      </c>
      <c r="I66" cm="1">
        <f t="array" ref="I66">TREND($Y$8:$Y$15,$W$8:$W$15,H66)</f>
        <v>1114.3944319857292</v>
      </c>
      <c r="J66">
        <f t="shared" si="0"/>
        <v>334.31832959571875</v>
      </c>
      <c r="K66">
        <v>0.13927650525047255</v>
      </c>
      <c r="L66" s="2">
        <f t="shared" si="1"/>
        <v>2400.3928659359035</v>
      </c>
    </row>
    <row r="67" spans="1:12" x14ac:dyDescent="0.3">
      <c r="A67">
        <v>60</v>
      </c>
      <c r="B67" t="s">
        <v>198</v>
      </c>
      <c r="C67" t="s">
        <v>165</v>
      </c>
      <c r="D67" t="s">
        <v>21</v>
      </c>
      <c r="E67" t="s">
        <v>32</v>
      </c>
      <c r="F67">
        <v>3.75</v>
      </c>
      <c r="G67">
        <v>7345862</v>
      </c>
      <c r="H67">
        <v>7345862</v>
      </c>
      <c r="I67" cm="1">
        <f t="array" ref="I67">TREND($Y$8:$Y$15,$W$8:$W$15,H67)</f>
        <v>1167.0548612273515</v>
      </c>
      <c r="J67">
        <f t="shared" si="0"/>
        <v>350.11645836820549</v>
      </c>
      <c r="K67">
        <v>9.7416967803722054E-2</v>
      </c>
      <c r="L67" s="2">
        <f t="shared" si="1"/>
        <v>3593.9987279590573</v>
      </c>
    </row>
    <row r="68" spans="1:12" x14ac:dyDescent="0.3">
      <c r="A68">
        <v>61</v>
      </c>
      <c r="B68" t="s">
        <v>199</v>
      </c>
      <c r="C68" t="s">
        <v>166</v>
      </c>
      <c r="D68" t="s">
        <v>21</v>
      </c>
      <c r="E68" t="s">
        <v>33</v>
      </c>
      <c r="F68">
        <v>3.75</v>
      </c>
      <c r="G68">
        <v>6636711</v>
      </c>
      <c r="H68">
        <v>6636710.5</v>
      </c>
      <c r="I68" cm="1">
        <f t="array" ref="I68">TREND($Y$8:$Y$15,$W$8:$W$15,H68)</f>
        <v>1052.3526726801779</v>
      </c>
      <c r="J68">
        <f t="shared" si="0"/>
        <v>315.70580180405341</v>
      </c>
      <c r="K68">
        <v>7.4877216870856411E-2</v>
      </c>
      <c r="L68" s="2">
        <f t="shared" si="1"/>
        <v>4216.3132525152905</v>
      </c>
    </row>
    <row r="69" spans="1:12" x14ac:dyDescent="0.3">
      <c r="A69">
        <v>62</v>
      </c>
      <c r="B69" t="s">
        <v>200</v>
      </c>
      <c r="C69" t="s">
        <v>167</v>
      </c>
      <c r="D69" t="s">
        <v>21</v>
      </c>
      <c r="E69" t="s">
        <v>34</v>
      </c>
      <c r="F69">
        <v>3.75</v>
      </c>
      <c r="G69">
        <v>9238793</v>
      </c>
      <c r="H69">
        <v>9238793</v>
      </c>
      <c r="I69" cm="1">
        <f t="array" ref="I69">TREND($Y$8:$Y$15,$W$8:$W$15,H69)</f>
        <v>1473.2282648918574</v>
      </c>
      <c r="J69">
        <f t="shared" si="0"/>
        <v>441.96847946755719</v>
      </c>
      <c r="K69">
        <v>0.14491144298368897</v>
      </c>
      <c r="L69" s="2">
        <f t="shared" si="1"/>
        <v>3049.9211819821885</v>
      </c>
    </row>
    <row r="70" spans="1:12" x14ac:dyDescent="0.3">
      <c r="A70">
        <v>63</v>
      </c>
      <c r="B70" t="s">
        <v>201</v>
      </c>
      <c r="C70" t="s">
        <v>168</v>
      </c>
      <c r="D70" t="s">
        <v>21</v>
      </c>
      <c r="E70" t="s">
        <v>35</v>
      </c>
      <c r="F70">
        <v>3.75</v>
      </c>
      <c r="G70">
        <v>8659109</v>
      </c>
      <c r="H70">
        <v>8659109</v>
      </c>
      <c r="I70" cm="1">
        <f t="array" ref="I70">TREND($Y$8:$Y$15,$W$8:$W$15,H70)</f>
        <v>1379.4668846144698</v>
      </c>
      <c r="J70">
        <f t="shared" si="0"/>
        <v>413.8400653843409</v>
      </c>
      <c r="K70">
        <v>0.14571643408843418</v>
      </c>
      <c r="L70" s="2">
        <f t="shared" si="1"/>
        <v>2840.0370073095842</v>
      </c>
    </row>
    <row r="71" spans="1:12" x14ac:dyDescent="0.3">
      <c r="A71">
        <v>64</v>
      </c>
      <c r="B71" t="s">
        <v>202</v>
      </c>
      <c r="C71" t="s">
        <v>169</v>
      </c>
      <c r="D71" t="s">
        <v>21</v>
      </c>
      <c r="E71" t="s">
        <v>36</v>
      </c>
      <c r="F71">
        <v>3.75</v>
      </c>
      <c r="G71">
        <v>8027118</v>
      </c>
      <c r="H71">
        <v>8027117.5</v>
      </c>
      <c r="I71" cm="1">
        <f t="array" ref="I71">TREND($Y$8:$Y$15,$W$8:$W$15,H71)</f>
        <v>1277.2449924049615</v>
      </c>
      <c r="J71">
        <f t="shared" si="0"/>
        <v>383.1734977214885</v>
      </c>
      <c r="K71">
        <v>0.26405012648597881</v>
      </c>
      <c r="L71" s="2">
        <f t="shared" si="1"/>
        <v>1451.1392318603384</v>
      </c>
    </row>
    <row r="72" spans="1:12" x14ac:dyDescent="0.3">
      <c r="A72">
        <v>65</v>
      </c>
      <c r="B72" t="s">
        <v>203</v>
      </c>
      <c r="C72" t="s">
        <v>170</v>
      </c>
      <c r="D72" t="s">
        <v>21</v>
      </c>
      <c r="E72" t="s">
        <v>37</v>
      </c>
      <c r="F72">
        <v>3.76</v>
      </c>
      <c r="G72">
        <v>7990811</v>
      </c>
      <c r="H72">
        <v>7990810.5</v>
      </c>
      <c r="I72" cm="1">
        <f t="array" ref="I72">TREND($Y$8:$Y$15,$W$8:$W$15,H72)</f>
        <v>1271.3724921570142</v>
      </c>
      <c r="J72">
        <f t="shared" si="0"/>
        <v>381.41174764710422</v>
      </c>
      <c r="K72">
        <v>0.17469611385926145</v>
      </c>
      <c r="L72" s="2">
        <f t="shared" si="1"/>
        <v>2183.2869616915282</v>
      </c>
    </row>
    <row r="73" spans="1:12" x14ac:dyDescent="0.3">
      <c r="A73">
        <v>66</v>
      </c>
      <c r="B73" t="s">
        <v>204</v>
      </c>
      <c r="C73" t="s">
        <v>171</v>
      </c>
      <c r="D73" t="s">
        <v>21</v>
      </c>
      <c r="E73" t="s">
        <v>38</v>
      </c>
      <c r="F73">
        <v>3.76</v>
      </c>
      <c r="G73">
        <v>6363194</v>
      </c>
      <c r="H73">
        <v>6363194</v>
      </c>
      <c r="I73" cm="1">
        <f t="array" ref="I73">TREND($Y$8:$Y$15,$W$8:$W$15,H73)</f>
        <v>1008.1125615702626</v>
      </c>
      <c r="J73">
        <f t="shared" ref="J73" si="2">I73/(2/0.2)*3</f>
        <v>302.43376847107879</v>
      </c>
      <c r="K73">
        <v>0.1175417454223521</v>
      </c>
      <c r="L73" s="2">
        <f t="shared" ref="L73" si="3">J73/K73</f>
        <v>2572.9902800436639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4696-3A73-42A6-B8A4-D02E19C26567}">
  <dimension ref="A1:AB73"/>
  <sheetViews>
    <sheetView topLeftCell="E1" workbookViewId="0">
      <selection activeCell="Q17" sqref="Q17:AB32"/>
    </sheetView>
  </sheetViews>
  <sheetFormatPr defaultRowHeight="16.5" x14ac:dyDescent="0.3"/>
  <cols>
    <col min="12" max="12" width="15.125" customWidth="1"/>
  </cols>
  <sheetData>
    <row r="1" spans="1:28" x14ac:dyDescent="0.3">
      <c r="A1" t="s">
        <v>0</v>
      </c>
      <c r="Q1" t="s">
        <v>0</v>
      </c>
    </row>
    <row r="3" spans="1:28" x14ac:dyDescent="0.3">
      <c r="A3" t="s">
        <v>257</v>
      </c>
      <c r="Q3" t="s">
        <v>218</v>
      </c>
    </row>
    <row r="5" spans="1:28" x14ac:dyDescent="0.3">
      <c r="A5" t="s">
        <v>103</v>
      </c>
      <c r="Q5" t="s">
        <v>71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9</v>
      </c>
      <c r="J7" t="s">
        <v>260</v>
      </c>
      <c r="K7" t="s">
        <v>261</v>
      </c>
      <c r="L7" s="1" t="s">
        <v>262</v>
      </c>
      <c r="R7" t="s">
        <v>1</v>
      </c>
      <c r="S7" t="s">
        <v>2</v>
      </c>
      <c r="T7" t="s">
        <v>3</v>
      </c>
      <c r="U7" t="s">
        <v>4</v>
      </c>
      <c r="V7" t="s">
        <v>5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B7" t="s">
        <v>11</v>
      </c>
    </row>
    <row r="8" spans="1:28" x14ac:dyDescent="0.3">
      <c r="A8">
        <v>1</v>
      </c>
      <c r="B8" t="s">
        <v>221</v>
      </c>
      <c r="C8" t="s">
        <v>106</v>
      </c>
      <c r="D8" t="s">
        <v>21</v>
      </c>
      <c r="E8" t="s">
        <v>39</v>
      </c>
      <c r="F8">
        <v>3.93</v>
      </c>
      <c r="G8">
        <v>1819400</v>
      </c>
      <c r="H8">
        <v>1819400.375</v>
      </c>
      <c r="I8" cm="1">
        <f t="array" ref="I8">TREND($Y$8:$Y$15,$W$8:$W$15,H8)</f>
        <v>657.87977011261626</v>
      </c>
      <c r="J8">
        <f>I8/(2/0.2)*3</f>
        <v>197.36393103378489</v>
      </c>
      <c r="K8">
        <v>0.14813140740266978</v>
      </c>
      <c r="L8" s="2">
        <f>J8/K8</f>
        <v>1332.3570908719239</v>
      </c>
      <c r="Q8">
        <v>1</v>
      </c>
      <c r="R8" t="s">
        <v>206</v>
      </c>
      <c r="S8" t="s">
        <v>207</v>
      </c>
      <c r="T8" t="s">
        <v>12</v>
      </c>
      <c r="U8" t="s">
        <v>208</v>
      </c>
      <c r="V8">
        <v>3.94</v>
      </c>
      <c r="W8">
        <v>20038</v>
      </c>
      <c r="X8">
        <v>20038.379000000001</v>
      </c>
      <c r="Y8">
        <v>5</v>
      </c>
      <c r="Z8">
        <v>4.2300000000000004</v>
      </c>
      <c r="AA8">
        <v>-15.4</v>
      </c>
      <c r="AB8">
        <v>50</v>
      </c>
    </row>
    <row r="9" spans="1:28" x14ac:dyDescent="0.3">
      <c r="A9">
        <v>2</v>
      </c>
      <c r="B9" t="s">
        <v>222</v>
      </c>
      <c r="C9" t="s">
        <v>107</v>
      </c>
      <c r="D9" t="s">
        <v>21</v>
      </c>
      <c r="E9" t="s">
        <v>40</v>
      </c>
      <c r="F9">
        <v>3.93</v>
      </c>
      <c r="G9">
        <v>1137403</v>
      </c>
      <c r="H9">
        <v>1137402.625</v>
      </c>
      <c r="I9" cm="1">
        <f t="array" ref="I9">TREND($Y$8:$Y$15,$W$8:$W$15,H9)</f>
        <v>407.55919215270939</v>
      </c>
      <c r="J9">
        <f t="shared" ref="J9:J72" si="0">I9/(2/0.2)*3</f>
        <v>122.26775764581281</v>
      </c>
      <c r="K9">
        <v>0.11673675431760691</v>
      </c>
      <c r="L9" s="2">
        <f t="shared" ref="L9:L72" si="1">J9/K9</f>
        <v>1047.3801362778825</v>
      </c>
      <c r="Q9">
        <v>2</v>
      </c>
      <c r="R9" t="s">
        <v>209</v>
      </c>
      <c r="S9" t="s">
        <v>62</v>
      </c>
      <c r="T9" t="s">
        <v>12</v>
      </c>
      <c r="U9" t="s">
        <v>13</v>
      </c>
      <c r="V9">
        <v>3.93</v>
      </c>
      <c r="W9">
        <v>35942</v>
      </c>
      <c r="X9">
        <v>35941.695</v>
      </c>
      <c r="Y9">
        <v>10</v>
      </c>
      <c r="Z9">
        <v>9.4960000000000004</v>
      </c>
      <c r="AA9">
        <v>-5</v>
      </c>
      <c r="AB9">
        <v>68</v>
      </c>
    </row>
    <row r="10" spans="1:28" x14ac:dyDescent="0.3">
      <c r="A10">
        <v>3</v>
      </c>
      <c r="B10" t="s">
        <v>223</v>
      </c>
      <c r="C10" t="s">
        <v>108</v>
      </c>
      <c r="D10" t="s">
        <v>21</v>
      </c>
      <c r="E10" t="s">
        <v>41</v>
      </c>
      <c r="F10">
        <v>3.93</v>
      </c>
      <c r="G10">
        <v>2296725</v>
      </c>
      <c r="H10">
        <v>2296724.75</v>
      </c>
      <c r="I10" cm="1">
        <f t="array" ref="I10">TREND($Y$8:$Y$15,$W$8:$W$15,H10)</f>
        <v>833.07699535910899</v>
      </c>
      <c r="J10">
        <f t="shared" si="0"/>
        <v>249.9230986077327</v>
      </c>
      <c r="K10">
        <v>8.6147092337289247E-2</v>
      </c>
      <c r="L10" s="2">
        <f t="shared" si="1"/>
        <v>2901.1205349707675</v>
      </c>
      <c r="Q10">
        <v>3</v>
      </c>
      <c r="R10" t="s">
        <v>210</v>
      </c>
      <c r="S10" t="s">
        <v>63</v>
      </c>
      <c r="T10" t="s">
        <v>12</v>
      </c>
      <c r="U10" t="s">
        <v>14</v>
      </c>
      <c r="V10">
        <v>3.93</v>
      </c>
      <c r="W10">
        <v>72911</v>
      </c>
      <c r="X10">
        <v>72911.273000000001</v>
      </c>
      <c r="Y10">
        <v>20</v>
      </c>
      <c r="Z10">
        <v>21.759</v>
      </c>
      <c r="AA10">
        <v>8.8000000000000007</v>
      </c>
      <c r="AB10">
        <v>208</v>
      </c>
    </row>
    <row r="11" spans="1:28" x14ac:dyDescent="0.3">
      <c r="A11">
        <v>4</v>
      </c>
      <c r="B11" t="s">
        <v>224</v>
      </c>
      <c r="C11" t="s">
        <v>109</v>
      </c>
      <c r="D11" t="s">
        <v>21</v>
      </c>
      <c r="E11" t="s">
        <v>42</v>
      </c>
      <c r="F11">
        <v>3.93</v>
      </c>
      <c r="G11">
        <v>1942479</v>
      </c>
      <c r="H11">
        <v>1942478.875</v>
      </c>
      <c r="I11" cm="1">
        <f t="array" ref="I11">TREND($Y$8:$Y$15,$W$8:$W$15,H11)</f>
        <v>703.05452509448878</v>
      </c>
      <c r="J11">
        <f t="shared" si="0"/>
        <v>210.91635752834665</v>
      </c>
      <c r="K11">
        <v>8.9367056756270047E-2</v>
      </c>
      <c r="L11" s="2">
        <f t="shared" si="1"/>
        <v>2360.1130571366684</v>
      </c>
      <c r="Q11">
        <v>4</v>
      </c>
      <c r="R11" t="s">
        <v>211</v>
      </c>
      <c r="S11" t="s">
        <v>64</v>
      </c>
      <c r="T11" t="s">
        <v>12</v>
      </c>
      <c r="U11" t="s">
        <v>15</v>
      </c>
      <c r="V11">
        <v>3.94</v>
      </c>
      <c r="W11">
        <v>168349</v>
      </c>
      <c r="X11">
        <v>168348.766</v>
      </c>
      <c r="Y11">
        <v>50</v>
      </c>
      <c r="Z11">
        <v>53.561</v>
      </c>
      <c r="AA11">
        <v>7.1</v>
      </c>
      <c r="AB11">
        <v>320</v>
      </c>
    </row>
    <row r="12" spans="1:28" x14ac:dyDescent="0.3">
      <c r="A12">
        <v>5</v>
      </c>
      <c r="B12" t="s">
        <v>225</v>
      </c>
      <c r="C12" t="s">
        <v>110</v>
      </c>
      <c r="D12" t="s">
        <v>21</v>
      </c>
      <c r="E12" t="s">
        <v>43</v>
      </c>
      <c r="F12">
        <v>3.93</v>
      </c>
      <c r="G12">
        <v>1796983</v>
      </c>
      <c r="H12">
        <v>1796983</v>
      </c>
      <c r="I12" cm="1">
        <f t="array" ref="I12">TREND($Y$8:$Y$15,$W$8:$W$15,H12)</f>
        <v>649.65169272329354</v>
      </c>
      <c r="J12">
        <f t="shared" si="0"/>
        <v>194.89550781698804</v>
      </c>
      <c r="K12">
        <v>9.3392012279996037E-2</v>
      </c>
      <c r="L12" s="2">
        <f t="shared" si="1"/>
        <v>2086.8541437213835</v>
      </c>
      <c r="Q12">
        <v>5</v>
      </c>
      <c r="R12" t="s">
        <v>212</v>
      </c>
      <c r="S12" t="s">
        <v>65</v>
      </c>
      <c r="T12" t="s">
        <v>12</v>
      </c>
      <c r="U12" t="s">
        <v>16</v>
      </c>
      <c r="V12">
        <v>3.94</v>
      </c>
      <c r="W12">
        <v>339079</v>
      </c>
      <c r="X12">
        <v>339079.46899999998</v>
      </c>
      <c r="Y12">
        <v>100</v>
      </c>
      <c r="Z12">
        <v>110.986</v>
      </c>
      <c r="AA12">
        <v>11</v>
      </c>
      <c r="AB12">
        <v>910</v>
      </c>
    </row>
    <row r="13" spans="1:28" x14ac:dyDescent="0.3">
      <c r="A13">
        <v>6</v>
      </c>
      <c r="B13" t="s">
        <v>226</v>
      </c>
      <c r="C13" t="s">
        <v>111</v>
      </c>
      <c r="D13" t="s">
        <v>21</v>
      </c>
      <c r="E13" t="s">
        <v>44</v>
      </c>
      <c r="F13">
        <v>3.93</v>
      </c>
      <c r="G13">
        <v>1308636</v>
      </c>
      <c r="H13">
        <v>1308635.625</v>
      </c>
      <c r="I13" cm="1">
        <f t="array" ref="I13">TREND($Y$8:$Y$15,$W$8:$W$15,H13)</f>
        <v>470.40858355584635</v>
      </c>
      <c r="J13">
        <f t="shared" si="0"/>
        <v>141.12257506675388</v>
      </c>
      <c r="K13">
        <v>0.18918595374467503</v>
      </c>
      <c r="L13" s="2">
        <f t="shared" si="1"/>
        <v>745.94636796985787</v>
      </c>
      <c r="Q13">
        <v>6</v>
      </c>
      <c r="R13" t="s">
        <v>213</v>
      </c>
      <c r="S13" t="s">
        <v>66</v>
      </c>
      <c r="T13" t="s">
        <v>12</v>
      </c>
      <c r="U13" t="s">
        <v>17</v>
      </c>
      <c r="V13">
        <v>3.93</v>
      </c>
      <c r="W13">
        <v>574816</v>
      </c>
      <c r="X13">
        <v>574815.81299999997</v>
      </c>
      <c r="Y13">
        <v>200</v>
      </c>
      <c r="Z13">
        <v>191.44300000000001</v>
      </c>
      <c r="AA13">
        <v>-4.3</v>
      </c>
      <c r="AB13">
        <v>1682</v>
      </c>
    </row>
    <row r="14" spans="1:28" x14ac:dyDescent="0.3">
      <c r="A14">
        <v>7</v>
      </c>
      <c r="B14" t="s">
        <v>227</v>
      </c>
      <c r="C14" t="s">
        <v>112</v>
      </c>
      <c r="D14" t="s">
        <v>21</v>
      </c>
      <c r="E14" t="s">
        <v>45</v>
      </c>
      <c r="F14">
        <v>3.93</v>
      </c>
      <c r="G14">
        <v>1933074</v>
      </c>
      <c r="H14">
        <v>1933073.875</v>
      </c>
      <c r="I14" cm="1">
        <f t="array" ref="I14">TREND($Y$8:$Y$15,$W$8:$W$15,H14)</f>
        <v>699.6025121872425</v>
      </c>
      <c r="J14">
        <f t="shared" si="0"/>
        <v>209.88075365617277</v>
      </c>
      <c r="K14">
        <v>9.2587021175250833E-2</v>
      </c>
      <c r="L14" s="2">
        <f t="shared" si="1"/>
        <v>2266.8485387266719</v>
      </c>
      <c r="Q14">
        <v>7</v>
      </c>
      <c r="R14" t="s">
        <v>214</v>
      </c>
      <c r="S14" t="s">
        <v>67</v>
      </c>
      <c r="T14" t="s">
        <v>12</v>
      </c>
      <c r="U14" t="s">
        <v>18</v>
      </c>
      <c r="V14">
        <v>3.94</v>
      </c>
      <c r="W14">
        <v>1399586</v>
      </c>
      <c r="X14">
        <v>1399586.375</v>
      </c>
      <c r="Y14">
        <v>500</v>
      </c>
      <c r="Z14">
        <v>484.63099999999997</v>
      </c>
      <c r="AA14">
        <v>-3.1</v>
      </c>
      <c r="AB14">
        <v>4591</v>
      </c>
    </row>
    <row r="15" spans="1:28" x14ac:dyDescent="0.3">
      <c r="A15">
        <v>8</v>
      </c>
      <c r="B15" t="s">
        <v>228</v>
      </c>
      <c r="C15" t="s">
        <v>113</v>
      </c>
      <c r="D15" t="s">
        <v>21</v>
      </c>
      <c r="E15" t="s">
        <v>46</v>
      </c>
      <c r="F15">
        <v>3.93</v>
      </c>
      <c r="G15">
        <v>917953</v>
      </c>
      <c r="H15">
        <v>917953.25</v>
      </c>
      <c r="I15" cm="1">
        <f t="array" ref="I15">TREND($Y$8:$Y$15,$W$8:$W$15,H15)</f>
        <v>327.01245371707626</v>
      </c>
      <c r="J15">
        <f t="shared" si="0"/>
        <v>98.103736115122885</v>
      </c>
      <c r="K15">
        <v>0.14974138961216016</v>
      </c>
      <c r="L15" s="2">
        <f t="shared" si="1"/>
        <v>655.15443905801783</v>
      </c>
      <c r="Q15">
        <v>8</v>
      </c>
      <c r="R15" t="s">
        <v>215</v>
      </c>
      <c r="S15" t="s">
        <v>68</v>
      </c>
      <c r="T15" t="s">
        <v>12</v>
      </c>
      <c r="U15" t="s">
        <v>19</v>
      </c>
      <c r="V15">
        <v>3.94</v>
      </c>
      <c r="W15">
        <v>2741026</v>
      </c>
      <c r="X15">
        <v>2741026.25</v>
      </c>
      <c r="Y15">
        <v>1000</v>
      </c>
      <c r="Z15">
        <v>1009.173</v>
      </c>
      <c r="AA15">
        <v>0.9</v>
      </c>
      <c r="AB15">
        <v>4715</v>
      </c>
    </row>
    <row r="16" spans="1:28" x14ac:dyDescent="0.3">
      <c r="A16">
        <v>9</v>
      </c>
      <c r="B16" t="s">
        <v>229</v>
      </c>
      <c r="C16" t="s">
        <v>114</v>
      </c>
      <c r="D16" t="s">
        <v>21</v>
      </c>
      <c r="E16" t="s">
        <v>47</v>
      </c>
      <c r="F16">
        <v>3.93</v>
      </c>
      <c r="G16">
        <v>2283795</v>
      </c>
      <c r="H16">
        <v>2283794.5</v>
      </c>
      <c r="I16" cm="1">
        <f t="array" ref="I16">TREND($Y$8:$Y$15,$W$8:$W$15,H16)</f>
        <v>828.33107405194039</v>
      </c>
      <c r="J16">
        <f t="shared" si="0"/>
        <v>248.49932221558214</v>
      </c>
      <c r="K16">
        <v>0.19965083810636269</v>
      </c>
      <c r="L16" s="2">
        <f t="shared" si="1"/>
        <v>1244.6695669927303</v>
      </c>
    </row>
    <row r="17" spans="1:12" x14ac:dyDescent="0.3">
      <c r="A17">
        <v>10</v>
      </c>
      <c r="B17" t="s">
        <v>230</v>
      </c>
      <c r="C17" t="s">
        <v>115</v>
      </c>
      <c r="D17" t="s">
        <v>21</v>
      </c>
      <c r="E17" t="s">
        <v>48</v>
      </c>
      <c r="F17">
        <v>3.93</v>
      </c>
      <c r="G17">
        <v>3378475</v>
      </c>
      <c r="H17">
        <v>3378475</v>
      </c>
      <c r="I17" cm="1">
        <f t="array" ref="I17">TREND($Y$8:$Y$15,$W$8:$W$15,H17)</f>
        <v>1230.1228034842438</v>
      </c>
      <c r="J17">
        <f t="shared" si="0"/>
        <v>369.03684104527315</v>
      </c>
      <c r="K17">
        <v>0.22058060682973793</v>
      </c>
      <c r="L17" s="2">
        <f t="shared" si="1"/>
        <v>1673.0248699067449</v>
      </c>
    </row>
    <row r="18" spans="1:12" x14ac:dyDescent="0.3">
      <c r="A18">
        <v>11</v>
      </c>
      <c r="B18" t="s">
        <v>231</v>
      </c>
      <c r="C18" t="s">
        <v>116</v>
      </c>
      <c r="D18" t="s">
        <v>21</v>
      </c>
      <c r="E18" t="s">
        <v>49</v>
      </c>
      <c r="F18">
        <v>3.93</v>
      </c>
      <c r="G18">
        <v>3081405</v>
      </c>
      <c r="H18">
        <v>3081405</v>
      </c>
      <c r="I18" cm="1">
        <f t="array" ref="I18">TREND($Y$8:$Y$15,$W$8:$W$15,H18)</f>
        <v>1121.0861767584965</v>
      </c>
      <c r="J18">
        <f t="shared" si="0"/>
        <v>336.32585302754899</v>
      </c>
      <c r="K18">
        <v>0.12720163867929454</v>
      </c>
      <c r="L18" s="2">
        <f t="shared" si="1"/>
        <v>2644.037109266384</v>
      </c>
    </row>
    <row r="19" spans="1:12" x14ac:dyDescent="0.3">
      <c r="A19">
        <v>12</v>
      </c>
      <c r="B19" t="s">
        <v>232</v>
      </c>
      <c r="C19" t="s">
        <v>117</v>
      </c>
      <c r="D19" t="s">
        <v>21</v>
      </c>
      <c r="E19" t="s">
        <v>50</v>
      </c>
      <c r="F19">
        <v>3.93</v>
      </c>
      <c r="G19">
        <v>2335283</v>
      </c>
      <c r="H19">
        <v>2335282.75</v>
      </c>
      <c r="I19" cm="1">
        <f t="array" ref="I19">TREND($Y$8:$Y$15,$W$8:$W$15,H19)</f>
        <v>847.22933067836493</v>
      </c>
      <c r="J19">
        <f t="shared" si="0"/>
        <v>254.16879920350948</v>
      </c>
      <c r="K19">
        <v>0.1594012828691026</v>
      </c>
      <c r="L19" s="2">
        <f t="shared" si="1"/>
        <v>1594.5216665052076</v>
      </c>
    </row>
    <row r="20" spans="1:12" x14ac:dyDescent="0.3">
      <c r="A20">
        <v>13</v>
      </c>
      <c r="B20" t="s">
        <v>233</v>
      </c>
      <c r="C20" t="s">
        <v>118</v>
      </c>
      <c r="D20" t="s">
        <v>21</v>
      </c>
      <c r="E20" t="s">
        <v>51</v>
      </c>
      <c r="F20">
        <v>3.93</v>
      </c>
      <c r="G20">
        <v>2730229</v>
      </c>
      <c r="H20">
        <v>2730228.75</v>
      </c>
      <c r="I20" cm="1">
        <f t="array" ref="I20">TREND($Y$8:$Y$15,$W$8:$W$15,H20)</f>
        <v>992.19038221109122</v>
      </c>
      <c r="J20">
        <f t="shared" si="0"/>
        <v>297.65711466332732</v>
      </c>
      <c r="K20">
        <v>0.14491144298368897</v>
      </c>
      <c r="L20" s="2">
        <f t="shared" si="1"/>
        <v>2054.0621812511467</v>
      </c>
    </row>
    <row r="21" spans="1:12" x14ac:dyDescent="0.3">
      <c r="A21">
        <v>14</v>
      </c>
      <c r="B21" t="s">
        <v>234</v>
      </c>
      <c r="C21" t="s">
        <v>119</v>
      </c>
      <c r="D21" t="s">
        <v>21</v>
      </c>
      <c r="E21" t="s">
        <v>52</v>
      </c>
      <c r="F21">
        <v>3.93</v>
      </c>
      <c r="G21">
        <v>2932366</v>
      </c>
      <c r="H21">
        <v>2932366</v>
      </c>
      <c r="I21" cm="1">
        <f t="array" ref="I21">TREND($Y$8:$Y$15,$W$8:$W$15,H21)</f>
        <v>1066.3828751441342</v>
      </c>
      <c r="J21">
        <f t="shared" si="0"/>
        <v>319.91486254324025</v>
      </c>
      <c r="K21">
        <v>0.24553533107683917</v>
      </c>
      <c r="L21" s="2">
        <f t="shared" si="1"/>
        <v>1302.9280191172338</v>
      </c>
    </row>
    <row r="22" spans="1:12" x14ac:dyDescent="0.3">
      <c r="A22">
        <v>15</v>
      </c>
      <c r="B22" t="s">
        <v>235</v>
      </c>
      <c r="C22" t="s">
        <v>120</v>
      </c>
      <c r="D22" t="s">
        <v>21</v>
      </c>
      <c r="E22" t="s">
        <v>53</v>
      </c>
      <c r="F22">
        <v>3.93</v>
      </c>
      <c r="G22">
        <v>1210563</v>
      </c>
      <c r="H22">
        <v>1210563.375</v>
      </c>
      <c r="I22" cm="1">
        <f t="array" ref="I22">TREND($Y$8:$Y$15,$W$8:$W$15,H22)</f>
        <v>434.412127113243</v>
      </c>
      <c r="J22">
        <f t="shared" si="0"/>
        <v>130.32363813397291</v>
      </c>
      <c r="K22">
        <v>0.3002747261995129</v>
      </c>
      <c r="L22" s="2">
        <f t="shared" si="1"/>
        <v>434.01467643794098</v>
      </c>
    </row>
    <row r="23" spans="1:12" x14ac:dyDescent="0.3">
      <c r="A23">
        <v>16</v>
      </c>
      <c r="B23" t="s">
        <v>236</v>
      </c>
      <c r="C23" t="s">
        <v>121</v>
      </c>
      <c r="D23" t="s">
        <v>21</v>
      </c>
      <c r="E23" t="s">
        <v>54</v>
      </c>
      <c r="F23">
        <v>3.93</v>
      </c>
      <c r="G23">
        <v>2823026</v>
      </c>
      <c r="H23">
        <v>2823025.75</v>
      </c>
      <c r="I23" cm="1">
        <f t="array" ref="I23">TREND($Y$8:$Y$15,$W$8:$W$15,H23)</f>
        <v>1026.2506099361026</v>
      </c>
      <c r="J23">
        <f t="shared" si="0"/>
        <v>307.8751829808308</v>
      </c>
      <c r="K23">
        <v>0.17147614944028067</v>
      </c>
      <c r="L23" s="2">
        <f t="shared" si="1"/>
        <v>1795.4402637671385</v>
      </c>
    </row>
    <row r="24" spans="1:12" x14ac:dyDescent="0.3">
      <c r="A24">
        <v>17</v>
      </c>
      <c r="B24" t="s">
        <v>237</v>
      </c>
      <c r="C24" t="s">
        <v>122</v>
      </c>
      <c r="D24" t="s">
        <v>21</v>
      </c>
      <c r="E24" t="s">
        <v>55</v>
      </c>
      <c r="F24">
        <v>3.93</v>
      </c>
      <c r="G24">
        <v>2790089</v>
      </c>
      <c r="H24">
        <v>2790088.5</v>
      </c>
      <c r="I24" cm="1">
        <f t="array" ref="I24">TREND($Y$8:$Y$15,$W$8:$W$15,H24)</f>
        <v>1014.1613157171556</v>
      </c>
      <c r="J24">
        <f t="shared" si="0"/>
        <v>304.24839471514667</v>
      </c>
      <c r="K24">
        <v>0.18113604269722305</v>
      </c>
      <c r="L24" s="2">
        <f t="shared" si="1"/>
        <v>1679.6678904137891</v>
      </c>
    </row>
    <row r="25" spans="1:12" x14ac:dyDescent="0.3">
      <c r="A25">
        <v>18</v>
      </c>
      <c r="B25" t="s">
        <v>238</v>
      </c>
      <c r="C25" t="s">
        <v>123</v>
      </c>
      <c r="D25" t="s">
        <v>21</v>
      </c>
      <c r="E25" t="s">
        <v>56</v>
      </c>
      <c r="F25">
        <v>3.93</v>
      </c>
      <c r="G25">
        <v>2001911</v>
      </c>
      <c r="H25">
        <v>2001911.125</v>
      </c>
      <c r="I25" cm="1">
        <f t="array" ref="I25">TREND($Y$8:$Y$15,$W$8:$W$15,H25)</f>
        <v>724.86854892295105</v>
      </c>
      <c r="J25">
        <f t="shared" si="0"/>
        <v>217.4605646768853</v>
      </c>
      <c r="K25">
        <v>8.2927127918308433E-2</v>
      </c>
      <c r="L25" s="2">
        <f t="shared" si="1"/>
        <v>2622.3091301450336</v>
      </c>
    </row>
    <row r="26" spans="1:12" x14ac:dyDescent="0.3">
      <c r="A26">
        <v>19</v>
      </c>
      <c r="B26" t="s">
        <v>239</v>
      </c>
      <c r="C26" t="s">
        <v>124</v>
      </c>
      <c r="D26" t="s">
        <v>21</v>
      </c>
      <c r="E26" t="s">
        <v>57</v>
      </c>
      <c r="F26">
        <v>3.93</v>
      </c>
      <c r="G26">
        <v>3257420</v>
      </c>
      <c r="H26">
        <v>3257419.75</v>
      </c>
      <c r="I26" cm="1">
        <f t="array" ref="I26">TREND($Y$8:$Y$15,$W$8:$W$15,H26)</f>
        <v>1185.6906625496426</v>
      </c>
      <c r="J26">
        <f t="shared" si="0"/>
        <v>355.70719876489284</v>
      </c>
      <c r="K26">
        <v>0.11593176321286171</v>
      </c>
      <c r="L26" s="2">
        <f t="shared" si="1"/>
        <v>3068.2462588943868</v>
      </c>
    </row>
    <row r="27" spans="1:12" x14ac:dyDescent="0.3">
      <c r="A27">
        <v>20</v>
      </c>
      <c r="B27" t="s">
        <v>240</v>
      </c>
      <c r="C27" t="s">
        <v>125</v>
      </c>
      <c r="D27" t="s">
        <v>21</v>
      </c>
      <c r="E27" t="s">
        <v>58</v>
      </c>
      <c r="F27">
        <v>3.93</v>
      </c>
      <c r="G27">
        <v>4672282</v>
      </c>
      <c r="H27">
        <v>4672282</v>
      </c>
      <c r="I27" cm="1">
        <f t="array" ref="I27">TREND($Y$8:$Y$15,$W$8:$W$15,H27)</f>
        <v>1705.0019596230627</v>
      </c>
      <c r="J27">
        <f t="shared" si="0"/>
        <v>511.50058788691877</v>
      </c>
      <c r="K27">
        <v>0.17469611385926145</v>
      </c>
      <c r="L27" s="2">
        <f t="shared" si="1"/>
        <v>2927.944855710949</v>
      </c>
    </row>
    <row r="28" spans="1:12" x14ac:dyDescent="0.3">
      <c r="A28">
        <v>21</v>
      </c>
      <c r="B28" t="s">
        <v>241</v>
      </c>
      <c r="C28" t="s">
        <v>126</v>
      </c>
      <c r="D28" t="s">
        <v>21</v>
      </c>
      <c r="E28" t="s">
        <v>59</v>
      </c>
      <c r="F28">
        <v>3.93</v>
      </c>
      <c r="G28">
        <v>2472919</v>
      </c>
      <c r="H28">
        <v>2472919</v>
      </c>
      <c r="I28" cm="1">
        <f t="array" ref="I28">TREND($Y$8:$Y$15,$W$8:$W$15,H28)</f>
        <v>897.74736486283882</v>
      </c>
      <c r="J28">
        <f t="shared" si="0"/>
        <v>269.32420945885167</v>
      </c>
      <c r="K28">
        <v>0.17952606048773259</v>
      </c>
      <c r="L28" s="2">
        <f t="shared" si="1"/>
        <v>1500.1956191048662</v>
      </c>
    </row>
    <row r="29" spans="1:12" x14ac:dyDescent="0.3">
      <c r="A29">
        <v>22</v>
      </c>
      <c r="B29" t="s">
        <v>242</v>
      </c>
      <c r="C29" t="s">
        <v>127</v>
      </c>
      <c r="D29" t="s">
        <v>21</v>
      </c>
      <c r="E29" t="s">
        <v>60</v>
      </c>
      <c r="F29">
        <v>3.93</v>
      </c>
      <c r="G29">
        <v>2420528</v>
      </c>
      <c r="H29">
        <v>2420528.25</v>
      </c>
      <c r="I29" cm="1">
        <f t="array" ref="I29">TREND($Y$8:$Y$15,$W$8:$W$15,H29)</f>
        <v>878.51785447258749</v>
      </c>
      <c r="J29">
        <f t="shared" si="0"/>
        <v>263.55535634177625</v>
      </c>
      <c r="K29">
        <v>0.19723586479212707</v>
      </c>
      <c r="L29" s="2">
        <f t="shared" si="1"/>
        <v>1336.2445852307101</v>
      </c>
    </row>
    <row r="30" spans="1:12" x14ac:dyDescent="0.3">
      <c r="A30">
        <v>23</v>
      </c>
      <c r="B30" t="s">
        <v>243</v>
      </c>
      <c r="C30" t="s">
        <v>128</v>
      </c>
      <c r="D30" t="s">
        <v>21</v>
      </c>
      <c r="E30" t="s">
        <v>75</v>
      </c>
      <c r="F30">
        <v>3.93</v>
      </c>
      <c r="G30">
        <v>3417831</v>
      </c>
      <c r="H30">
        <v>3417830.75</v>
      </c>
      <c r="I30" cm="1">
        <f t="array" ref="I30">TREND($Y$8:$Y$15,$W$8:$W$15,H30)</f>
        <v>1244.5679451083115</v>
      </c>
      <c r="J30">
        <f t="shared" si="0"/>
        <v>373.37038353249341</v>
      </c>
      <c r="K30">
        <v>0.28417490410460888</v>
      </c>
      <c r="L30" s="2">
        <f t="shared" si="1"/>
        <v>1313.8752864505248</v>
      </c>
    </row>
    <row r="31" spans="1:12" x14ac:dyDescent="0.3">
      <c r="A31">
        <v>24</v>
      </c>
      <c r="B31" t="s">
        <v>244</v>
      </c>
      <c r="C31" t="s">
        <v>129</v>
      </c>
      <c r="D31" t="s">
        <v>21</v>
      </c>
      <c r="E31" t="s">
        <v>76</v>
      </c>
      <c r="F31">
        <v>3.93</v>
      </c>
      <c r="G31">
        <v>2959248</v>
      </c>
      <c r="H31">
        <v>2959248</v>
      </c>
      <c r="I31" cm="1">
        <f t="array" ref="I31">TREND($Y$8:$Y$15,$W$8:$W$15,H31)</f>
        <v>1076.2496493038998</v>
      </c>
      <c r="J31">
        <f t="shared" si="0"/>
        <v>322.87489479116994</v>
      </c>
      <c r="K31">
        <v>0.17872106938298743</v>
      </c>
      <c r="L31" s="2">
        <f t="shared" si="1"/>
        <v>1806.5855128656958</v>
      </c>
    </row>
    <row r="32" spans="1:12" x14ac:dyDescent="0.3">
      <c r="A32">
        <v>25</v>
      </c>
      <c r="B32" t="s">
        <v>245</v>
      </c>
      <c r="C32" t="s">
        <v>130</v>
      </c>
      <c r="D32" t="s">
        <v>21</v>
      </c>
      <c r="E32" t="s">
        <v>77</v>
      </c>
      <c r="F32">
        <v>3.93</v>
      </c>
      <c r="G32">
        <v>3588730</v>
      </c>
      <c r="H32">
        <v>3588730.25</v>
      </c>
      <c r="I32" cm="1">
        <f t="array" ref="I32">TREND($Y$8:$Y$15,$W$8:$W$15,H32)</f>
        <v>1307.2949286109101</v>
      </c>
      <c r="J32">
        <f t="shared" si="0"/>
        <v>392.18847858327308</v>
      </c>
      <c r="K32">
        <v>0.19884584700161748</v>
      </c>
      <c r="L32" s="2">
        <f t="shared" si="1"/>
        <v>1972.3242124341823</v>
      </c>
    </row>
    <row r="33" spans="1:12" x14ac:dyDescent="0.3">
      <c r="A33">
        <v>26</v>
      </c>
      <c r="B33" t="s">
        <v>246</v>
      </c>
      <c r="C33" t="s">
        <v>131</v>
      </c>
      <c r="D33" t="s">
        <v>21</v>
      </c>
      <c r="E33" t="s">
        <v>78</v>
      </c>
      <c r="F33">
        <v>3.93</v>
      </c>
      <c r="G33">
        <v>2866920</v>
      </c>
      <c r="H33">
        <v>2866919.75</v>
      </c>
      <c r="I33" cm="1">
        <f t="array" ref="I33">TREND($Y$8:$Y$15,$W$8:$W$15,H33)</f>
        <v>1042.3614716639781</v>
      </c>
      <c r="J33">
        <f t="shared" si="0"/>
        <v>312.70844149919344</v>
      </c>
      <c r="K33">
        <v>0.17469611385926145</v>
      </c>
      <c r="L33" s="2">
        <f t="shared" si="1"/>
        <v>1790.0137249253144</v>
      </c>
    </row>
    <row r="34" spans="1:12" x14ac:dyDescent="0.3">
      <c r="A34">
        <v>27</v>
      </c>
      <c r="B34" t="s">
        <v>247</v>
      </c>
      <c r="C34" t="s">
        <v>132</v>
      </c>
      <c r="D34" t="s">
        <v>21</v>
      </c>
      <c r="E34" t="s">
        <v>79</v>
      </c>
      <c r="F34">
        <v>3.93</v>
      </c>
      <c r="G34">
        <v>3427991</v>
      </c>
      <c r="H34">
        <v>3427991</v>
      </c>
      <c r="I34" cm="1">
        <f t="array" ref="I34">TREND($Y$8:$Y$15,$W$8:$W$15,H34)</f>
        <v>1248.297165112655</v>
      </c>
      <c r="J34">
        <f t="shared" si="0"/>
        <v>374.48914953379654</v>
      </c>
      <c r="K34">
        <v>0.24875529549582001</v>
      </c>
      <c r="L34" s="2">
        <f t="shared" si="1"/>
        <v>1505.4519695243605</v>
      </c>
    </row>
    <row r="35" spans="1:12" x14ac:dyDescent="0.3">
      <c r="A35">
        <v>28</v>
      </c>
      <c r="B35" t="s">
        <v>248</v>
      </c>
      <c r="C35" t="s">
        <v>133</v>
      </c>
      <c r="D35" t="s">
        <v>21</v>
      </c>
      <c r="E35" t="s">
        <v>80</v>
      </c>
      <c r="F35">
        <v>3.93</v>
      </c>
      <c r="G35">
        <v>1984563</v>
      </c>
      <c r="H35">
        <v>1984563</v>
      </c>
      <c r="I35" cm="1">
        <f t="array" ref="I35">TREND($Y$8:$Y$15,$W$8:$W$15,H35)</f>
        <v>718.50108997382597</v>
      </c>
      <c r="J35">
        <f t="shared" si="0"/>
        <v>215.55032699214777</v>
      </c>
      <c r="K35">
        <v>0.18274602490671343</v>
      </c>
      <c r="L35" s="2">
        <f t="shared" si="1"/>
        <v>1179.5076095481693</v>
      </c>
    </row>
    <row r="36" spans="1:12" x14ac:dyDescent="0.3">
      <c r="A36">
        <v>29</v>
      </c>
      <c r="B36" t="s">
        <v>249</v>
      </c>
      <c r="C36" t="s">
        <v>134</v>
      </c>
      <c r="D36" t="s">
        <v>21</v>
      </c>
      <c r="E36" t="s">
        <v>81</v>
      </c>
      <c r="F36">
        <v>3.93</v>
      </c>
      <c r="G36">
        <v>6083730</v>
      </c>
      <c r="H36">
        <v>6083729.5</v>
      </c>
      <c r="I36" cm="1">
        <f t="array" ref="I36">TREND($Y$8:$Y$15,$W$8:$W$15,H36)</f>
        <v>2223.0599062366191</v>
      </c>
      <c r="J36">
        <f t="shared" si="0"/>
        <v>666.91797187098564</v>
      </c>
      <c r="K36">
        <v>0.18113604269722305</v>
      </c>
      <c r="L36" s="2">
        <f t="shared" si="1"/>
        <v>3681.8623281163796</v>
      </c>
    </row>
    <row r="37" spans="1:12" x14ac:dyDescent="0.3">
      <c r="A37">
        <v>30</v>
      </c>
      <c r="B37" t="s">
        <v>250</v>
      </c>
      <c r="C37" t="s">
        <v>135</v>
      </c>
      <c r="D37" t="s">
        <v>21</v>
      </c>
      <c r="E37" t="s">
        <v>82</v>
      </c>
      <c r="F37">
        <v>3.93</v>
      </c>
      <c r="G37">
        <v>3434116</v>
      </c>
      <c r="H37">
        <v>3434115.5</v>
      </c>
      <c r="I37" cm="1">
        <f t="array" ref="I37">TREND($Y$8:$Y$15,$W$8:$W$15,H37)</f>
        <v>1250.5451027044073</v>
      </c>
      <c r="J37">
        <f t="shared" si="0"/>
        <v>375.16353081132218</v>
      </c>
      <c r="K37">
        <v>0.12156670094607813</v>
      </c>
      <c r="L37" s="2">
        <f t="shared" si="1"/>
        <v>3086.0714973068893</v>
      </c>
    </row>
    <row r="38" spans="1:12" x14ac:dyDescent="0.3">
      <c r="A38">
        <v>31</v>
      </c>
      <c r="B38" t="s">
        <v>251</v>
      </c>
      <c r="C38" t="s">
        <v>136</v>
      </c>
      <c r="D38" t="s">
        <v>21</v>
      </c>
      <c r="E38" t="s">
        <v>83</v>
      </c>
      <c r="F38">
        <v>3.93</v>
      </c>
      <c r="G38">
        <v>4573718</v>
      </c>
      <c r="H38">
        <v>4573718</v>
      </c>
      <c r="I38" cm="1">
        <f t="array" ref="I38">TREND($Y$8:$Y$15,$W$8:$W$15,H38)</f>
        <v>1668.8250111711941</v>
      </c>
      <c r="J38">
        <f t="shared" si="0"/>
        <v>500.64750335135818</v>
      </c>
      <c r="K38">
        <v>8.8562065651524843E-2</v>
      </c>
      <c r="L38" s="2">
        <f t="shared" si="1"/>
        <v>5653.0694001798965</v>
      </c>
    </row>
    <row r="39" spans="1:12" x14ac:dyDescent="0.3">
      <c r="A39">
        <v>32</v>
      </c>
      <c r="B39" t="s">
        <v>252</v>
      </c>
      <c r="C39" t="s">
        <v>137</v>
      </c>
      <c r="D39" t="s">
        <v>21</v>
      </c>
      <c r="E39" t="s">
        <v>84</v>
      </c>
      <c r="F39">
        <v>3.93</v>
      </c>
      <c r="G39">
        <v>3973521</v>
      </c>
      <c r="H39">
        <v>3973520.5</v>
      </c>
      <c r="I39" cm="1">
        <f t="array" ref="I39">TREND($Y$8:$Y$15,$W$8:$W$15,H39)</f>
        <v>1448.5284118201098</v>
      </c>
      <c r="J39">
        <f t="shared" si="0"/>
        <v>434.55852354603297</v>
      </c>
      <c r="K39">
        <v>0.13766652304098212</v>
      </c>
      <c r="L39" s="2">
        <f t="shared" si="1"/>
        <v>3156.6027378832596</v>
      </c>
    </row>
    <row r="40" spans="1:12" x14ac:dyDescent="0.3">
      <c r="A40">
        <v>33</v>
      </c>
      <c r="B40" t="s">
        <v>253</v>
      </c>
      <c r="C40" t="s">
        <v>138</v>
      </c>
      <c r="D40" t="s">
        <v>21</v>
      </c>
      <c r="E40" t="s">
        <v>85</v>
      </c>
      <c r="F40">
        <v>3.93</v>
      </c>
      <c r="G40">
        <v>2792938</v>
      </c>
      <c r="H40">
        <v>2792938</v>
      </c>
      <c r="I40" cm="1">
        <f t="array" ref="I40">TREND($Y$8:$Y$15,$W$8:$W$15,H40)</f>
        <v>1015.2071967144121</v>
      </c>
      <c r="J40">
        <f t="shared" si="0"/>
        <v>304.56215901432364</v>
      </c>
      <c r="K40">
        <v>8.2122136813563229E-2</v>
      </c>
      <c r="L40" s="2">
        <f t="shared" si="1"/>
        <v>3708.6487374987837</v>
      </c>
    </row>
    <row r="41" spans="1:12" x14ac:dyDescent="0.3">
      <c r="A41">
        <v>34</v>
      </c>
      <c r="B41" t="s">
        <v>172</v>
      </c>
      <c r="C41" t="s">
        <v>139</v>
      </c>
      <c r="D41" t="s">
        <v>21</v>
      </c>
      <c r="E41" t="s">
        <v>86</v>
      </c>
      <c r="F41">
        <v>3.94</v>
      </c>
      <c r="G41">
        <v>3618800</v>
      </c>
      <c r="H41">
        <v>3618800</v>
      </c>
      <c r="I41" cm="1">
        <f t="array" ref="I41">TREND($Y$8:$Y$15,$W$8:$W$15,H41)</f>
        <v>1318.3317351093328</v>
      </c>
      <c r="J41">
        <f t="shared" si="0"/>
        <v>395.49952053279981</v>
      </c>
      <c r="K41">
        <v>0.10224691443219328</v>
      </c>
      <c r="L41" s="2">
        <f t="shared" si="1"/>
        <v>3868.0826969608147</v>
      </c>
    </row>
    <row r="42" spans="1:12" x14ac:dyDescent="0.3">
      <c r="A42">
        <v>35</v>
      </c>
      <c r="B42" t="s">
        <v>173</v>
      </c>
      <c r="C42" t="s">
        <v>140</v>
      </c>
      <c r="D42" t="s">
        <v>21</v>
      </c>
      <c r="E42" t="s">
        <v>87</v>
      </c>
      <c r="F42">
        <v>3.94</v>
      </c>
      <c r="G42">
        <v>7172529</v>
      </c>
      <c r="H42">
        <v>7172529</v>
      </c>
      <c r="I42" cm="1">
        <f t="array" ref="I42">TREND($Y$8:$Y$15,$W$8:$W$15,H42)</f>
        <v>2622.6930723613718</v>
      </c>
      <c r="J42">
        <f t="shared" si="0"/>
        <v>786.80792170841164</v>
      </c>
      <c r="K42">
        <v>0.12639664757454935</v>
      </c>
      <c r="L42" s="2">
        <f t="shared" si="1"/>
        <v>6224.9113153444086</v>
      </c>
    </row>
    <row r="43" spans="1:12" x14ac:dyDescent="0.3">
      <c r="A43">
        <v>36</v>
      </c>
      <c r="B43" t="s">
        <v>174</v>
      </c>
      <c r="C43" t="s">
        <v>141</v>
      </c>
      <c r="D43" t="s">
        <v>21</v>
      </c>
      <c r="E43" t="s">
        <v>88</v>
      </c>
      <c r="F43">
        <v>3.94</v>
      </c>
      <c r="G43">
        <v>3556331</v>
      </c>
      <c r="H43">
        <v>3556331</v>
      </c>
      <c r="I43" cm="1">
        <f t="array" ref="I43">TREND($Y$8:$Y$15,$W$8:$W$15,H43)</f>
        <v>1295.4031020096236</v>
      </c>
      <c r="J43">
        <f t="shared" si="0"/>
        <v>388.62093060288703</v>
      </c>
      <c r="K43">
        <v>0.15054638071690538</v>
      </c>
      <c r="L43" s="2">
        <f t="shared" si="1"/>
        <v>2581.4033439546342</v>
      </c>
    </row>
    <row r="44" spans="1:12" x14ac:dyDescent="0.3">
      <c r="A44">
        <v>37</v>
      </c>
      <c r="B44" t="s">
        <v>175</v>
      </c>
      <c r="C44" t="s">
        <v>142</v>
      </c>
      <c r="D44" t="s">
        <v>21</v>
      </c>
      <c r="E44" t="s">
        <v>89</v>
      </c>
      <c r="F44">
        <v>3.94</v>
      </c>
      <c r="G44">
        <v>3219123</v>
      </c>
      <c r="H44">
        <v>3219123.25</v>
      </c>
      <c r="I44" cm="1">
        <f t="array" ref="I44">TREND($Y$8:$Y$15,$W$8:$W$15,H44)</f>
        <v>1171.6343082378553</v>
      </c>
      <c r="J44">
        <f t="shared" si="0"/>
        <v>351.49029247135661</v>
      </c>
      <c r="K44">
        <v>0.14893639850741497</v>
      </c>
      <c r="L44" s="2">
        <f t="shared" si="1"/>
        <v>2360.0026319547219</v>
      </c>
    </row>
    <row r="45" spans="1:12" x14ac:dyDescent="0.3">
      <c r="A45">
        <v>38</v>
      </c>
      <c r="B45" t="s">
        <v>176</v>
      </c>
      <c r="C45" t="s">
        <v>143</v>
      </c>
      <c r="D45" t="s">
        <v>21</v>
      </c>
      <c r="E45" t="s">
        <v>90</v>
      </c>
      <c r="F45">
        <v>3.94</v>
      </c>
      <c r="G45">
        <v>2626970</v>
      </c>
      <c r="H45">
        <v>2626969.75</v>
      </c>
      <c r="I45" cm="1">
        <f t="array" ref="I45">TREND($Y$8:$Y$15,$W$8:$W$15,H45)</f>
        <v>954.29018010696109</v>
      </c>
      <c r="J45">
        <f t="shared" si="0"/>
        <v>286.28705403208835</v>
      </c>
      <c r="K45">
        <v>4.0262599366812736E-2</v>
      </c>
      <c r="L45" s="2">
        <f t="shared" si="1"/>
        <v>7110.496056746556</v>
      </c>
    </row>
    <row r="46" spans="1:12" x14ac:dyDescent="0.3">
      <c r="A46">
        <v>39</v>
      </c>
      <c r="B46" t="s">
        <v>177</v>
      </c>
      <c r="C46" t="s">
        <v>144</v>
      </c>
      <c r="D46" t="s">
        <v>21</v>
      </c>
      <c r="E46" t="s">
        <v>91</v>
      </c>
      <c r="F46">
        <v>3.94</v>
      </c>
      <c r="G46">
        <v>4964867</v>
      </c>
      <c r="H46">
        <v>4964867</v>
      </c>
      <c r="I46" cm="1">
        <f t="array" ref="I46">TREND($Y$8:$Y$15,$W$8:$W$15,H46)</f>
        <v>1812.3924111346687</v>
      </c>
      <c r="J46">
        <f t="shared" si="0"/>
        <v>543.71772334040065</v>
      </c>
      <c r="K46">
        <v>0.11351678989862611</v>
      </c>
      <c r="L46" s="2">
        <f t="shared" si="1"/>
        <v>4789.7559808197257</v>
      </c>
    </row>
    <row r="47" spans="1:12" x14ac:dyDescent="0.3">
      <c r="A47">
        <v>40</v>
      </c>
      <c r="B47" t="s">
        <v>178</v>
      </c>
      <c r="C47" t="s">
        <v>145</v>
      </c>
      <c r="D47" t="s">
        <v>21</v>
      </c>
      <c r="E47" t="s">
        <v>92</v>
      </c>
      <c r="F47">
        <v>3.94</v>
      </c>
      <c r="G47">
        <v>5994067</v>
      </c>
      <c r="H47">
        <v>5994066.5</v>
      </c>
      <c r="I47" cm="1">
        <f t="array" ref="I47">TREND($Y$8:$Y$15,$W$8:$W$15,H47)</f>
        <v>2190.1499824405082</v>
      </c>
      <c r="J47">
        <f t="shared" si="0"/>
        <v>657.04499473215242</v>
      </c>
      <c r="K47">
        <v>0.10144192332744809</v>
      </c>
      <c r="L47" s="2">
        <f t="shared" si="1"/>
        <v>6477.0557692528455</v>
      </c>
    </row>
    <row r="48" spans="1:12" x14ac:dyDescent="0.3">
      <c r="A48">
        <v>41</v>
      </c>
      <c r="B48" t="s">
        <v>179</v>
      </c>
      <c r="C48" t="s">
        <v>146</v>
      </c>
      <c r="D48" t="s">
        <v>21</v>
      </c>
      <c r="E48" t="s">
        <v>93</v>
      </c>
      <c r="F48">
        <v>3.94</v>
      </c>
      <c r="G48">
        <v>6086687</v>
      </c>
      <c r="H48">
        <v>6086687</v>
      </c>
      <c r="I48" cm="1">
        <f t="array" ref="I48">TREND($Y$8:$Y$15,$W$8:$W$15,H48)</f>
        <v>2224.1454275734804</v>
      </c>
      <c r="J48">
        <f t="shared" si="0"/>
        <v>667.24362827204413</v>
      </c>
      <c r="K48">
        <v>8.3732119023053622E-2</v>
      </c>
      <c r="L48" s="2">
        <f t="shared" si="1"/>
        <v>7968.7894688098686</v>
      </c>
    </row>
    <row r="49" spans="1:12" x14ac:dyDescent="0.3">
      <c r="A49">
        <v>42</v>
      </c>
      <c r="B49" t="s">
        <v>180</v>
      </c>
      <c r="C49" t="s">
        <v>147</v>
      </c>
      <c r="D49" t="s">
        <v>21</v>
      </c>
      <c r="E49" t="s">
        <v>94</v>
      </c>
      <c r="F49">
        <v>3.94</v>
      </c>
      <c r="G49">
        <v>4359888</v>
      </c>
      <c r="H49">
        <v>4359888</v>
      </c>
      <c r="I49" cm="1">
        <f t="array" ref="I49">TREND($Y$8:$Y$15,$W$8:$W$15,H49)</f>
        <v>1590.3408091556203</v>
      </c>
      <c r="J49">
        <f t="shared" si="0"/>
        <v>477.10224274668604</v>
      </c>
      <c r="K49">
        <v>0.22299558014397355</v>
      </c>
      <c r="L49" s="2">
        <f t="shared" si="1"/>
        <v>2139.5143457043073</v>
      </c>
    </row>
    <row r="50" spans="1:12" x14ac:dyDescent="0.3">
      <c r="A50">
        <v>43</v>
      </c>
      <c r="B50" t="s">
        <v>181</v>
      </c>
      <c r="C50" t="s">
        <v>148</v>
      </c>
      <c r="D50" t="s">
        <v>21</v>
      </c>
      <c r="E50" t="s">
        <v>95</v>
      </c>
      <c r="F50">
        <v>3.94</v>
      </c>
      <c r="G50">
        <v>5442444</v>
      </c>
      <c r="H50">
        <v>5442443.5</v>
      </c>
      <c r="I50" cm="1">
        <f t="array" ref="I50">TREND($Y$8:$Y$15,$W$8:$W$15,H50)</f>
        <v>1987.6821763869284</v>
      </c>
      <c r="J50">
        <f t="shared" si="0"/>
        <v>596.30465291607857</v>
      </c>
      <c r="K50">
        <v>0.1175417454223521</v>
      </c>
      <c r="L50" s="2">
        <f t="shared" si="1"/>
        <v>5073.1308334194891</v>
      </c>
    </row>
    <row r="51" spans="1:12" x14ac:dyDescent="0.3">
      <c r="A51">
        <v>44</v>
      </c>
      <c r="B51" t="s">
        <v>182</v>
      </c>
      <c r="C51" t="s">
        <v>149</v>
      </c>
      <c r="D51" t="s">
        <v>21</v>
      </c>
      <c r="E51" t="s">
        <v>96</v>
      </c>
      <c r="F51">
        <v>3.94</v>
      </c>
      <c r="G51">
        <v>4741277</v>
      </c>
      <c r="H51">
        <v>4741277</v>
      </c>
      <c r="I51" cm="1">
        <f t="array" ref="I51">TREND($Y$8:$Y$15,$W$8:$W$15,H51)</f>
        <v>1730.3258969474068</v>
      </c>
      <c r="J51">
        <f t="shared" si="0"/>
        <v>519.09776908422214</v>
      </c>
      <c r="K51">
        <v>0.11351678989862611</v>
      </c>
      <c r="L51" s="2">
        <f t="shared" si="1"/>
        <v>4572.8721676131963</v>
      </c>
    </row>
    <row r="52" spans="1:12" x14ac:dyDescent="0.3">
      <c r="A52">
        <v>45</v>
      </c>
      <c r="B52" t="s">
        <v>183</v>
      </c>
      <c r="C52" t="s">
        <v>150</v>
      </c>
      <c r="D52" t="s">
        <v>21</v>
      </c>
      <c r="E52" t="s">
        <v>97</v>
      </c>
      <c r="F52">
        <v>3.94</v>
      </c>
      <c r="G52">
        <v>2380004</v>
      </c>
      <c r="H52">
        <v>2380003.5</v>
      </c>
      <c r="I52" cm="1">
        <f t="array" ref="I52">TREND($Y$8:$Y$15,$W$8:$W$15,H52)</f>
        <v>863.64364287631656</v>
      </c>
      <c r="J52">
        <f t="shared" si="0"/>
        <v>259.09309286289499</v>
      </c>
      <c r="K52">
        <v>8.4537110127798853E-2</v>
      </c>
      <c r="L52" s="2">
        <f t="shared" si="1"/>
        <v>3064.8444508123284</v>
      </c>
    </row>
    <row r="53" spans="1:12" x14ac:dyDescent="0.3">
      <c r="A53">
        <v>46</v>
      </c>
      <c r="B53" t="s">
        <v>184</v>
      </c>
      <c r="C53" t="s">
        <v>151</v>
      </c>
      <c r="D53" t="s">
        <v>21</v>
      </c>
      <c r="E53" t="s">
        <v>98</v>
      </c>
      <c r="F53">
        <v>3.94</v>
      </c>
      <c r="G53">
        <v>6925051</v>
      </c>
      <c r="H53">
        <v>6925050.5</v>
      </c>
      <c r="I53" cm="1">
        <f t="array" ref="I53">TREND($Y$8:$Y$15,$W$8:$W$15,H53)</f>
        <v>2531.858518797741</v>
      </c>
      <c r="J53">
        <f t="shared" si="0"/>
        <v>759.55755563932235</v>
      </c>
      <c r="K53">
        <v>0.1078818521654097</v>
      </c>
      <c r="L53" s="2">
        <f t="shared" si="1"/>
        <v>7040.6425213643142</v>
      </c>
    </row>
    <row r="54" spans="1:12" x14ac:dyDescent="0.3">
      <c r="A54">
        <v>47</v>
      </c>
      <c r="B54" t="s">
        <v>185</v>
      </c>
      <c r="C54" t="s">
        <v>152</v>
      </c>
      <c r="D54" t="s">
        <v>21</v>
      </c>
      <c r="E54" t="s">
        <v>99</v>
      </c>
      <c r="F54">
        <v>3.94</v>
      </c>
      <c r="G54">
        <v>5261669</v>
      </c>
      <c r="H54">
        <v>5261669</v>
      </c>
      <c r="I54" cm="1">
        <f t="array" ref="I54">TREND($Y$8:$Y$15,$W$8:$W$15,H54)</f>
        <v>1921.3306710917673</v>
      </c>
      <c r="J54">
        <f t="shared" si="0"/>
        <v>576.39920132753014</v>
      </c>
      <c r="K54">
        <v>0.14813140740266978</v>
      </c>
      <c r="L54" s="2">
        <f t="shared" si="1"/>
        <v>3891.1343072619834</v>
      </c>
    </row>
    <row r="55" spans="1:12" x14ac:dyDescent="0.3">
      <c r="A55">
        <v>48</v>
      </c>
      <c r="B55" t="s">
        <v>186</v>
      </c>
      <c r="C55" t="s">
        <v>153</v>
      </c>
      <c r="D55" t="s">
        <v>21</v>
      </c>
      <c r="E55" t="s">
        <v>100</v>
      </c>
      <c r="F55">
        <v>3.94</v>
      </c>
      <c r="G55">
        <v>2602075</v>
      </c>
      <c r="H55">
        <v>2602074.75</v>
      </c>
      <c r="I55" cm="1">
        <f t="array" ref="I55">TREND($Y$8:$Y$15,$W$8:$W$15,H55)</f>
        <v>945.15271478788657</v>
      </c>
      <c r="J55">
        <f t="shared" si="0"/>
        <v>283.54581443636596</v>
      </c>
      <c r="K55">
        <v>6.6022314718659172E-2</v>
      </c>
      <c r="L55" s="2">
        <f t="shared" si="1"/>
        <v>4294.6966589196318</v>
      </c>
    </row>
    <row r="56" spans="1:12" x14ac:dyDescent="0.3">
      <c r="A56">
        <v>49</v>
      </c>
      <c r="B56" t="s">
        <v>187</v>
      </c>
      <c r="C56" t="s">
        <v>154</v>
      </c>
      <c r="D56" t="s">
        <v>21</v>
      </c>
      <c r="E56" t="s">
        <v>20</v>
      </c>
      <c r="F56">
        <v>3.94</v>
      </c>
      <c r="G56">
        <v>5028588</v>
      </c>
      <c r="H56">
        <v>5028588</v>
      </c>
      <c r="I56" cm="1">
        <f t="array" ref="I56">TREND($Y$8:$Y$15,$W$8:$W$15,H56)</f>
        <v>1835.7805785416481</v>
      </c>
      <c r="J56">
        <f t="shared" si="0"/>
        <v>550.73417356249433</v>
      </c>
      <c r="K56">
        <v>0.22621554456295434</v>
      </c>
      <c r="L56" s="2">
        <f t="shared" si="1"/>
        <v>2434.5549490266285</v>
      </c>
    </row>
    <row r="57" spans="1:12" x14ac:dyDescent="0.3">
      <c r="A57">
        <v>50</v>
      </c>
      <c r="B57" t="s">
        <v>188</v>
      </c>
      <c r="C57" t="s">
        <v>155</v>
      </c>
      <c r="D57" t="s">
        <v>21</v>
      </c>
      <c r="E57" t="s">
        <v>22</v>
      </c>
      <c r="F57">
        <v>3.94</v>
      </c>
      <c r="G57">
        <v>3086639</v>
      </c>
      <c r="H57">
        <v>3086639</v>
      </c>
      <c r="I57" cm="1">
        <f t="array" ref="I57">TREND($Y$8:$Y$15,$W$8:$W$15,H57)</f>
        <v>1123.0072650686006</v>
      </c>
      <c r="J57">
        <f t="shared" si="0"/>
        <v>336.90217952058015</v>
      </c>
      <c r="K57">
        <v>0.21897062462024752</v>
      </c>
      <c r="L57" s="2">
        <f t="shared" si="1"/>
        <v>1538.572491652051</v>
      </c>
    </row>
    <row r="58" spans="1:12" x14ac:dyDescent="0.3">
      <c r="A58">
        <v>51</v>
      </c>
      <c r="B58" t="s">
        <v>189</v>
      </c>
      <c r="C58" t="s">
        <v>156</v>
      </c>
      <c r="D58" t="s">
        <v>21</v>
      </c>
      <c r="E58" t="s">
        <v>23</v>
      </c>
      <c r="F58">
        <v>3.94</v>
      </c>
      <c r="G58">
        <v>4532705</v>
      </c>
      <c r="H58">
        <v>4532705</v>
      </c>
      <c r="I58" cm="1">
        <f t="array" ref="I58">TREND($Y$8:$Y$15,$W$8:$W$15,H58)</f>
        <v>1653.7715922062935</v>
      </c>
      <c r="J58">
        <f t="shared" si="0"/>
        <v>496.13147766188808</v>
      </c>
      <c r="K58">
        <v>0.11271179879388092</v>
      </c>
      <c r="L58" s="2">
        <f t="shared" si="1"/>
        <v>4401.7705597013583</v>
      </c>
    </row>
    <row r="59" spans="1:12" x14ac:dyDescent="0.3">
      <c r="A59">
        <v>52</v>
      </c>
      <c r="B59" t="s">
        <v>190</v>
      </c>
      <c r="C59" t="s">
        <v>157</v>
      </c>
      <c r="D59" t="s">
        <v>21</v>
      </c>
      <c r="E59" t="s">
        <v>24</v>
      </c>
      <c r="F59">
        <v>3.94</v>
      </c>
      <c r="G59">
        <v>4509388</v>
      </c>
      <c r="H59">
        <v>4509388</v>
      </c>
      <c r="I59" cm="1">
        <f t="array" ref="I59">TREND($Y$8:$Y$15,$W$8:$W$15,H59)</f>
        <v>1645.2133162936661</v>
      </c>
      <c r="J59">
        <f t="shared" si="0"/>
        <v>493.56399488809984</v>
      </c>
      <c r="K59">
        <v>9.1782030070505644E-2</v>
      </c>
      <c r="L59" s="2">
        <f t="shared" si="1"/>
        <v>5377.5667688865788</v>
      </c>
    </row>
    <row r="60" spans="1:12" x14ac:dyDescent="0.3">
      <c r="A60">
        <v>53</v>
      </c>
      <c r="B60" t="s">
        <v>191</v>
      </c>
      <c r="C60" t="s">
        <v>158</v>
      </c>
      <c r="D60" t="s">
        <v>21</v>
      </c>
      <c r="E60" t="s">
        <v>25</v>
      </c>
      <c r="F60">
        <v>3.94</v>
      </c>
      <c r="G60">
        <v>5670962</v>
      </c>
      <c r="H60">
        <v>5670962</v>
      </c>
      <c r="I60" cm="1">
        <f t="array" ref="I60">TREND($Y$8:$Y$15,$W$8:$W$15,H60)</f>
        <v>2071.5576481088383</v>
      </c>
      <c r="J60">
        <f t="shared" si="0"/>
        <v>621.46729443265144</v>
      </c>
      <c r="K60">
        <v>0.16584121170706426</v>
      </c>
      <c r="L60" s="2">
        <f t="shared" si="1"/>
        <v>3747.3634450427685</v>
      </c>
    </row>
    <row r="61" spans="1:12" x14ac:dyDescent="0.3">
      <c r="A61">
        <v>54</v>
      </c>
      <c r="B61" t="s">
        <v>192</v>
      </c>
      <c r="C61" t="s">
        <v>159</v>
      </c>
      <c r="D61" t="s">
        <v>21</v>
      </c>
      <c r="E61" t="s">
        <v>26</v>
      </c>
      <c r="F61">
        <v>3.94</v>
      </c>
      <c r="G61">
        <v>3444870</v>
      </c>
      <c r="H61">
        <v>3444869.5</v>
      </c>
      <c r="I61" cm="1">
        <f t="array" ref="I61">TREND($Y$8:$Y$15,$W$8:$W$15,H61)</f>
        <v>1254.4922528165312</v>
      </c>
      <c r="J61">
        <f t="shared" si="0"/>
        <v>376.34767584495933</v>
      </c>
      <c r="K61">
        <v>0.20850574025855992</v>
      </c>
      <c r="L61" s="2">
        <f t="shared" si="1"/>
        <v>1804.9751310360334</v>
      </c>
    </row>
    <row r="62" spans="1:12" x14ac:dyDescent="0.3">
      <c r="A62">
        <v>55</v>
      </c>
      <c r="B62" t="s">
        <v>193</v>
      </c>
      <c r="C62" t="s">
        <v>160</v>
      </c>
      <c r="D62" t="s">
        <v>21</v>
      </c>
      <c r="E62" t="s">
        <v>27</v>
      </c>
      <c r="F62">
        <v>3.94</v>
      </c>
      <c r="G62">
        <v>2955305</v>
      </c>
      <c r="H62">
        <v>2955304.5</v>
      </c>
      <c r="I62" cm="1">
        <f t="array" ref="I62">TREND($Y$8:$Y$15,$W$8:$W$15,H62)</f>
        <v>1074.8022263480543</v>
      </c>
      <c r="J62">
        <f t="shared" si="0"/>
        <v>322.44066790441627</v>
      </c>
      <c r="K62">
        <v>0.15457133624063138</v>
      </c>
      <c r="L62" s="2">
        <f t="shared" si="1"/>
        <v>2086.0314450698133</v>
      </c>
    </row>
    <row r="63" spans="1:12" x14ac:dyDescent="0.3">
      <c r="A63">
        <v>56</v>
      </c>
      <c r="B63" t="s">
        <v>194</v>
      </c>
      <c r="C63" t="s">
        <v>161</v>
      </c>
      <c r="D63" t="s">
        <v>21</v>
      </c>
      <c r="E63" t="s">
        <v>28</v>
      </c>
      <c r="F63">
        <v>3.94</v>
      </c>
      <c r="G63">
        <v>4560983</v>
      </c>
      <c r="H63">
        <v>4560983</v>
      </c>
      <c r="I63" cm="1">
        <f t="array" ref="I63">TREND($Y$8:$Y$15,$W$8:$W$15,H63)</f>
        <v>1664.1507544594683</v>
      </c>
      <c r="J63">
        <f t="shared" si="0"/>
        <v>499.24522633784045</v>
      </c>
      <c r="K63">
        <v>0.22863051787718996</v>
      </c>
      <c r="L63" s="2">
        <f t="shared" si="1"/>
        <v>2183.6333616932652</v>
      </c>
    </row>
    <row r="64" spans="1:12" x14ac:dyDescent="0.3">
      <c r="A64">
        <v>57</v>
      </c>
      <c r="B64" t="s">
        <v>195</v>
      </c>
      <c r="C64" t="s">
        <v>162</v>
      </c>
      <c r="D64" t="s">
        <v>21</v>
      </c>
      <c r="E64" t="s">
        <v>29</v>
      </c>
      <c r="F64">
        <v>3.94</v>
      </c>
      <c r="G64">
        <v>6328966</v>
      </c>
      <c r="H64">
        <v>6328965.5</v>
      </c>
      <c r="I64" cm="1">
        <f t="array" ref="I64">TREND($Y$8:$Y$15,$W$8:$W$15,H64)</f>
        <v>2313.0713721931793</v>
      </c>
      <c r="J64">
        <f t="shared" si="0"/>
        <v>693.92141165795374</v>
      </c>
      <c r="K64">
        <v>0.19079593595416544</v>
      </c>
      <c r="L64" s="2">
        <f t="shared" si="1"/>
        <v>3636.9821410905379</v>
      </c>
    </row>
    <row r="65" spans="1:12" x14ac:dyDescent="0.3">
      <c r="A65">
        <v>58</v>
      </c>
      <c r="B65" t="s">
        <v>196</v>
      </c>
      <c r="C65" t="s">
        <v>163</v>
      </c>
      <c r="D65" t="s">
        <v>21</v>
      </c>
      <c r="E65" t="s">
        <v>30</v>
      </c>
      <c r="F65">
        <v>3.94</v>
      </c>
      <c r="G65">
        <v>4948955</v>
      </c>
      <c r="H65">
        <v>4948954.5</v>
      </c>
      <c r="I65" cm="1">
        <f t="array" ref="I65">TREND($Y$8:$Y$15,$W$8:$W$15,H65)</f>
        <v>1806.5518842461461</v>
      </c>
      <c r="J65">
        <f t="shared" si="0"/>
        <v>541.96556527384382</v>
      </c>
      <c r="K65">
        <v>0.13122659420302052</v>
      </c>
      <c r="L65" s="2">
        <f t="shared" si="1"/>
        <v>4129.9979517518341</v>
      </c>
    </row>
    <row r="66" spans="1:12" x14ac:dyDescent="0.3">
      <c r="A66">
        <v>59</v>
      </c>
      <c r="B66" t="s">
        <v>197</v>
      </c>
      <c r="C66" t="s">
        <v>164</v>
      </c>
      <c r="D66" t="s">
        <v>21</v>
      </c>
      <c r="E66" t="s">
        <v>31</v>
      </c>
      <c r="F66">
        <v>3.94</v>
      </c>
      <c r="G66">
        <v>3795403</v>
      </c>
      <c r="H66">
        <v>3795403.25</v>
      </c>
      <c r="I66" cm="1">
        <f t="array" ref="I66">TREND($Y$8:$Y$15,$W$8:$W$15,H66)</f>
        <v>1383.1522240473064</v>
      </c>
      <c r="J66">
        <f t="shared" si="0"/>
        <v>414.94566721419187</v>
      </c>
      <c r="K66">
        <v>0.13927650525047255</v>
      </c>
      <c r="L66" s="2">
        <f t="shared" si="1"/>
        <v>2979.294077403511</v>
      </c>
    </row>
    <row r="67" spans="1:12" x14ac:dyDescent="0.3">
      <c r="A67">
        <v>60</v>
      </c>
      <c r="B67" t="s">
        <v>198</v>
      </c>
      <c r="C67" t="s">
        <v>165</v>
      </c>
      <c r="D67" t="s">
        <v>21</v>
      </c>
      <c r="E67" t="s">
        <v>32</v>
      </c>
      <c r="F67">
        <v>3.94</v>
      </c>
      <c r="G67">
        <v>4736656</v>
      </c>
      <c r="H67">
        <v>4736655.5</v>
      </c>
      <c r="I67" cm="1">
        <f t="array" ref="I67">TREND($Y$8:$Y$15,$W$8:$W$15,H67)</f>
        <v>1728.6296207484875</v>
      </c>
      <c r="J67">
        <f t="shared" si="0"/>
        <v>518.58888622454629</v>
      </c>
      <c r="K67">
        <v>9.7416967803722054E-2</v>
      </c>
      <c r="L67" s="2">
        <f t="shared" si="1"/>
        <v>5323.3938390426101</v>
      </c>
    </row>
    <row r="68" spans="1:12" x14ac:dyDescent="0.3">
      <c r="A68">
        <v>61</v>
      </c>
      <c r="B68" t="s">
        <v>199</v>
      </c>
      <c r="C68" t="s">
        <v>166</v>
      </c>
      <c r="D68" t="s">
        <v>21</v>
      </c>
      <c r="E68" t="s">
        <v>33</v>
      </c>
      <c r="F68">
        <v>3.94</v>
      </c>
      <c r="G68">
        <v>3229783</v>
      </c>
      <c r="H68">
        <v>3229783</v>
      </c>
      <c r="I68" cm="1">
        <f t="array" ref="I68">TREND($Y$8:$Y$15,$W$8:$W$15,H68)</f>
        <v>1175.5468648128708</v>
      </c>
      <c r="J68">
        <f t="shared" si="0"/>
        <v>352.66405944386122</v>
      </c>
      <c r="K68">
        <v>7.4877216870856411E-2</v>
      </c>
      <c r="L68" s="2">
        <f t="shared" si="1"/>
        <v>4709.8980728959832</v>
      </c>
    </row>
    <row r="69" spans="1:12" x14ac:dyDescent="0.3">
      <c r="A69">
        <v>62</v>
      </c>
      <c r="B69" t="s">
        <v>200</v>
      </c>
      <c r="C69" t="s">
        <v>167</v>
      </c>
      <c r="D69" t="s">
        <v>21</v>
      </c>
      <c r="E69" t="s">
        <v>34</v>
      </c>
      <c r="F69">
        <v>3.94</v>
      </c>
      <c r="G69">
        <v>5560550</v>
      </c>
      <c r="H69">
        <v>5560550</v>
      </c>
      <c r="I69" cm="1">
        <f t="array" ref="I69">TREND($Y$8:$Y$15,$W$8:$W$15,H69)</f>
        <v>2031.0320075862569</v>
      </c>
      <c r="J69">
        <f t="shared" si="0"/>
        <v>609.30960227587707</v>
      </c>
      <c r="K69">
        <v>0.14491144298368897</v>
      </c>
      <c r="L69" s="2">
        <f t="shared" si="1"/>
        <v>4204.7031602912139</v>
      </c>
    </row>
    <row r="70" spans="1:12" x14ac:dyDescent="0.3">
      <c r="A70">
        <v>63</v>
      </c>
      <c r="B70" t="s">
        <v>201</v>
      </c>
      <c r="C70" t="s">
        <v>168</v>
      </c>
      <c r="D70" t="s">
        <v>21</v>
      </c>
      <c r="E70" t="s">
        <v>35</v>
      </c>
      <c r="F70">
        <v>3.94</v>
      </c>
      <c r="G70">
        <v>6110239</v>
      </c>
      <c r="H70">
        <v>6110239</v>
      </c>
      <c r="I70" cm="1">
        <f t="array" ref="I70">TREND($Y$8:$Y$15,$W$8:$W$15,H70)</f>
        <v>2232.7899579287664</v>
      </c>
      <c r="J70">
        <f t="shared" si="0"/>
        <v>669.83698737862983</v>
      </c>
      <c r="K70">
        <v>0.14571643408843418</v>
      </c>
      <c r="L70" s="2">
        <f t="shared" si="1"/>
        <v>4596.8527267975205</v>
      </c>
    </row>
    <row r="71" spans="1:12" x14ac:dyDescent="0.3">
      <c r="A71">
        <v>64</v>
      </c>
      <c r="B71" t="s">
        <v>202</v>
      </c>
      <c r="C71" t="s">
        <v>169</v>
      </c>
      <c r="D71" t="s">
        <v>21</v>
      </c>
      <c r="E71" t="s">
        <v>36</v>
      </c>
      <c r="F71">
        <v>3.94</v>
      </c>
      <c r="G71">
        <v>5483608</v>
      </c>
      <c r="H71">
        <v>5483608</v>
      </c>
      <c r="I71" cm="1">
        <f t="array" ref="I71">TREND($Y$8:$Y$15,$W$8:$W$15,H71)</f>
        <v>2002.7912019393302</v>
      </c>
      <c r="J71">
        <f t="shared" si="0"/>
        <v>600.83736058179898</v>
      </c>
      <c r="K71">
        <v>0.26405012648597881</v>
      </c>
      <c r="L71" s="2">
        <f t="shared" si="1"/>
        <v>2275.4670432384878</v>
      </c>
    </row>
    <row r="72" spans="1:12" x14ac:dyDescent="0.3">
      <c r="A72">
        <v>65</v>
      </c>
      <c r="B72" t="s">
        <v>203</v>
      </c>
      <c r="C72" t="s">
        <v>170</v>
      </c>
      <c r="D72" t="s">
        <v>21</v>
      </c>
      <c r="E72" t="s">
        <v>37</v>
      </c>
      <c r="F72">
        <v>3.94</v>
      </c>
      <c r="G72">
        <v>4771016</v>
      </c>
      <c r="H72">
        <v>4771016</v>
      </c>
      <c r="I72" cm="1">
        <f t="array" ref="I72">TREND($Y$8:$Y$15,$W$8:$W$15,H72)</f>
        <v>1741.2413049057905</v>
      </c>
      <c r="J72">
        <f t="shared" si="0"/>
        <v>522.37239147173705</v>
      </c>
      <c r="K72">
        <v>0.17469611385926145</v>
      </c>
      <c r="L72" s="2">
        <f t="shared" si="1"/>
        <v>2990.1775141522053</v>
      </c>
    </row>
    <row r="73" spans="1:12" x14ac:dyDescent="0.3">
      <c r="A73">
        <v>66</v>
      </c>
      <c r="B73" t="s">
        <v>204</v>
      </c>
      <c r="C73" t="s">
        <v>171</v>
      </c>
      <c r="D73" t="s">
        <v>21</v>
      </c>
      <c r="E73" t="s">
        <v>38</v>
      </c>
      <c r="F73">
        <v>3.94</v>
      </c>
      <c r="G73">
        <v>3626643</v>
      </c>
      <c r="H73">
        <v>3626642.5</v>
      </c>
      <c r="I73" cm="1">
        <f t="array" ref="I73">TREND($Y$8:$Y$15,$W$8:$W$15,H73)</f>
        <v>1321.2102477329458</v>
      </c>
      <c r="J73">
        <f t="shared" ref="J73" si="2">I73/(2/0.2)*3</f>
        <v>396.36307431988371</v>
      </c>
      <c r="K73">
        <v>0.1175417454223521</v>
      </c>
      <c r="L73" s="2">
        <f t="shared" ref="L73" si="3">J73/K73</f>
        <v>3372.1047181634763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F027-DB35-4B00-A381-D24DFF04E57A}">
  <dimension ref="A1:AB73"/>
  <sheetViews>
    <sheetView tabSelected="1" topLeftCell="E1" workbookViewId="0">
      <selection activeCell="O23" sqref="O23"/>
    </sheetView>
  </sheetViews>
  <sheetFormatPr defaultRowHeight="16.5" x14ac:dyDescent="0.3"/>
  <cols>
    <col min="3" max="3" width="11.875" bestFit="1" customWidth="1"/>
    <col min="12" max="12" width="14.375" bestFit="1" customWidth="1"/>
  </cols>
  <sheetData>
    <row r="1" spans="1:28" x14ac:dyDescent="0.3">
      <c r="A1" t="s">
        <v>0</v>
      </c>
      <c r="Q1" t="s">
        <v>0</v>
      </c>
    </row>
    <row r="3" spans="1:28" x14ac:dyDescent="0.3">
      <c r="A3" t="s">
        <v>258</v>
      </c>
      <c r="Q3" t="s">
        <v>219</v>
      </c>
    </row>
    <row r="5" spans="1:28" x14ac:dyDescent="0.3">
      <c r="A5" t="s">
        <v>104</v>
      </c>
      <c r="Q5" t="s">
        <v>72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9</v>
      </c>
      <c r="J7" t="s">
        <v>260</v>
      </c>
      <c r="K7" t="s">
        <v>261</v>
      </c>
      <c r="L7" s="1" t="s">
        <v>262</v>
      </c>
      <c r="R7" t="s">
        <v>1</v>
      </c>
      <c r="S7" t="s">
        <v>2</v>
      </c>
      <c r="T7" t="s">
        <v>3</v>
      </c>
      <c r="U7" t="s">
        <v>4</v>
      </c>
      <c r="V7" t="s">
        <v>5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B7" t="s">
        <v>11</v>
      </c>
    </row>
    <row r="8" spans="1:28" x14ac:dyDescent="0.3">
      <c r="A8">
        <v>1</v>
      </c>
      <c r="B8" t="s">
        <v>221</v>
      </c>
      <c r="C8" t="s">
        <v>106</v>
      </c>
      <c r="D8" t="s">
        <v>21</v>
      </c>
      <c r="E8" t="s">
        <v>39</v>
      </c>
      <c r="F8">
        <v>4.09</v>
      </c>
      <c r="G8">
        <v>244045</v>
      </c>
      <c r="H8">
        <v>244045.15599999999</v>
      </c>
      <c r="I8" cm="1">
        <f t="array" ref="I8">TREND($Y$8:$Y$13,$W$8:$W$13,H8)</f>
        <v>94.108353181658032</v>
      </c>
      <c r="J8">
        <f>I8/(2/0.2)*3</f>
        <v>28.232505954497412</v>
      </c>
      <c r="K8">
        <v>0.14813140740266978</v>
      </c>
      <c r="L8" s="2">
        <f>J8/K8</f>
        <v>190.59095197652579</v>
      </c>
      <c r="Q8">
        <v>1</v>
      </c>
      <c r="R8" t="s">
        <v>206</v>
      </c>
      <c r="S8" t="s">
        <v>207</v>
      </c>
      <c r="T8" t="s">
        <v>12</v>
      </c>
      <c r="U8" t="s">
        <v>208</v>
      </c>
      <c r="V8">
        <v>4.0999999999999996</v>
      </c>
      <c r="W8">
        <v>25156</v>
      </c>
      <c r="X8">
        <v>25156.300999999999</v>
      </c>
      <c r="Y8">
        <v>5</v>
      </c>
      <c r="Z8">
        <v>4.1379999999999999</v>
      </c>
      <c r="AA8">
        <v>-17.2</v>
      </c>
      <c r="AB8">
        <v>105</v>
      </c>
    </row>
    <row r="9" spans="1:28" x14ac:dyDescent="0.3">
      <c r="A9">
        <v>2</v>
      </c>
      <c r="B9" t="s">
        <v>222</v>
      </c>
      <c r="C9" t="s">
        <v>107</v>
      </c>
      <c r="D9" t="s">
        <v>21</v>
      </c>
      <c r="E9" t="s">
        <v>40</v>
      </c>
      <c r="F9">
        <v>4.09</v>
      </c>
      <c r="G9">
        <v>152821</v>
      </c>
      <c r="H9">
        <v>152820.53099999999</v>
      </c>
      <c r="I9" cm="1">
        <f t="array" ref="I9">TREND($Y$8:$Y$13,$W$8:$W$13,H9)</f>
        <v>55.16420059038613</v>
      </c>
      <c r="J9">
        <f t="shared" ref="J9:J72" si="0">I9/(2/0.2)*3</f>
        <v>16.549260177115841</v>
      </c>
      <c r="K9">
        <v>0.11673675431760691</v>
      </c>
      <c r="L9" s="2">
        <f t="shared" ref="L9:L72" si="1">J9/K9</f>
        <v>141.76563562911895</v>
      </c>
      <c r="Q9">
        <v>2</v>
      </c>
      <c r="R9" t="s">
        <v>209</v>
      </c>
      <c r="S9" t="s">
        <v>62</v>
      </c>
      <c r="T9" t="s">
        <v>12</v>
      </c>
      <c r="U9" t="s">
        <v>13</v>
      </c>
      <c r="V9">
        <v>4.0999999999999996</v>
      </c>
      <c r="W9">
        <v>38615</v>
      </c>
      <c r="X9">
        <v>38615.440999999999</v>
      </c>
      <c r="Y9">
        <v>10</v>
      </c>
      <c r="Z9">
        <v>9.6229999999999993</v>
      </c>
      <c r="AA9">
        <v>-3.8</v>
      </c>
      <c r="AB9">
        <v>105</v>
      </c>
    </row>
    <row r="10" spans="1:28" x14ac:dyDescent="0.3">
      <c r="A10">
        <v>3</v>
      </c>
      <c r="B10" t="s">
        <v>223</v>
      </c>
      <c r="C10" t="s">
        <v>108</v>
      </c>
      <c r="D10" t="s">
        <v>21</v>
      </c>
      <c r="E10" t="s">
        <v>41</v>
      </c>
      <c r="F10">
        <v>4.09</v>
      </c>
      <c r="G10">
        <v>282361</v>
      </c>
      <c r="H10">
        <v>282360.71899999998</v>
      </c>
      <c r="I10" cm="1">
        <f t="array" ref="I10">TREND($Y$8:$Y$13,$W$8:$W$13,H10)</f>
        <v>110.46541830626109</v>
      </c>
      <c r="J10">
        <f t="shared" si="0"/>
        <v>33.13962549187832</v>
      </c>
      <c r="K10">
        <v>8.6147092337289247E-2</v>
      </c>
      <c r="L10" s="2">
        <f t="shared" si="1"/>
        <v>384.68652386000088</v>
      </c>
      <c r="Q10">
        <v>3</v>
      </c>
      <c r="R10" t="s">
        <v>210</v>
      </c>
      <c r="S10" t="s">
        <v>63</v>
      </c>
      <c r="T10" t="s">
        <v>12</v>
      </c>
      <c r="U10" t="s">
        <v>14</v>
      </c>
      <c r="V10">
        <v>4.0999999999999996</v>
      </c>
      <c r="W10">
        <v>65292</v>
      </c>
      <c r="X10">
        <v>65291.601999999999</v>
      </c>
      <c r="Y10">
        <v>20</v>
      </c>
      <c r="Z10">
        <v>20.507999999999999</v>
      </c>
      <c r="AA10">
        <v>2.5</v>
      </c>
      <c r="AB10">
        <v>274</v>
      </c>
    </row>
    <row r="11" spans="1:28" x14ac:dyDescent="0.3">
      <c r="A11">
        <v>4</v>
      </c>
      <c r="B11" t="s">
        <v>224</v>
      </c>
      <c r="C11" t="s">
        <v>109</v>
      </c>
      <c r="D11" t="s">
        <v>21</v>
      </c>
      <c r="E11" t="s">
        <v>42</v>
      </c>
      <c r="F11">
        <v>4.09</v>
      </c>
      <c r="G11">
        <v>288268</v>
      </c>
      <c r="H11">
        <v>288268.15600000002</v>
      </c>
      <c r="I11" cm="1">
        <f t="array" ref="I11">TREND($Y$8:$Y$13,$W$8:$W$13,H11)</f>
        <v>112.98732648567346</v>
      </c>
      <c r="J11">
        <f t="shared" si="0"/>
        <v>33.896197945702042</v>
      </c>
      <c r="K11">
        <v>8.9367056756270047E-2</v>
      </c>
      <c r="L11" s="2">
        <f t="shared" si="1"/>
        <v>379.29186857016936</v>
      </c>
      <c r="Q11">
        <v>4</v>
      </c>
      <c r="R11" t="s">
        <v>211</v>
      </c>
      <c r="S11" t="s">
        <v>64</v>
      </c>
      <c r="T11" t="s">
        <v>12</v>
      </c>
      <c r="U11" t="s">
        <v>15</v>
      </c>
      <c r="V11">
        <v>4.0999999999999996</v>
      </c>
      <c r="W11">
        <v>153210</v>
      </c>
      <c r="X11">
        <v>153209.93799999999</v>
      </c>
      <c r="Y11">
        <v>50</v>
      </c>
      <c r="Z11">
        <v>56.508000000000003</v>
      </c>
      <c r="AA11">
        <v>13</v>
      </c>
      <c r="AB11">
        <v>707</v>
      </c>
    </row>
    <row r="12" spans="1:28" x14ac:dyDescent="0.3">
      <c r="A12">
        <v>5</v>
      </c>
      <c r="B12" t="s">
        <v>225</v>
      </c>
      <c r="C12" t="s">
        <v>110</v>
      </c>
      <c r="D12" t="s">
        <v>21</v>
      </c>
      <c r="E12" t="s">
        <v>43</v>
      </c>
      <c r="F12">
        <v>4.09</v>
      </c>
      <c r="G12">
        <v>255213</v>
      </c>
      <c r="H12">
        <v>255212.68799999999</v>
      </c>
      <c r="I12" cm="1">
        <f t="array" ref="I12">TREND($Y$8:$Y$13,$W$8:$W$13,H12)</f>
        <v>98.87581668480658</v>
      </c>
      <c r="J12">
        <f t="shared" si="0"/>
        <v>29.662745005441977</v>
      </c>
      <c r="K12">
        <v>9.3392012279996037E-2</v>
      </c>
      <c r="L12" s="2">
        <f t="shared" si="1"/>
        <v>317.6154392787995</v>
      </c>
      <c r="Q12">
        <v>5</v>
      </c>
      <c r="R12" t="s">
        <v>212</v>
      </c>
      <c r="S12" t="s">
        <v>65</v>
      </c>
      <c r="T12" t="s">
        <v>12</v>
      </c>
      <c r="U12" t="s">
        <v>16</v>
      </c>
      <c r="V12">
        <v>4.0999999999999996</v>
      </c>
      <c r="W12">
        <v>293876</v>
      </c>
      <c r="X12">
        <v>293876.15600000002</v>
      </c>
      <c r="Y12">
        <v>100</v>
      </c>
      <c r="Z12">
        <v>114.518</v>
      </c>
      <c r="AA12">
        <v>14.5</v>
      </c>
      <c r="AB12">
        <v>1252</v>
      </c>
    </row>
    <row r="13" spans="1:28" x14ac:dyDescent="0.3">
      <c r="A13">
        <v>6</v>
      </c>
      <c r="B13" t="s">
        <v>226</v>
      </c>
      <c r="C13" t="s">
        <v>111</v>
      </c>
      <c r="D13" t="s">
        <v>21</v>
      </c>
      <c r="E13" t="s">
        <v>44</v>
      </c>
      <c r="F13">
        <v>4.09</v>
      </c>
      <c r="G13">
        <v>183312</v>
      </c>
      <c r="H13">
        <v>183311.95300000001</v>
      </c>
      <c r="I13" cm="1">
        <f t="array" ref="I13">TREND($Y$8:$Y$13,$W$8:$W$13,H13)</f>
        <v>68.181109030326169</v>
      </c>
      <c r="J13">
        <f t="shared" si="0"/>
        <v>20.454332709097848</v>
      </c>
      <c r="K13">
        <v>0.18918595374467503</v>
      </c>
      <c r="L13" s="2">
        <f t="shared" si="1"/>
        <v>108.11760759312487</v>
      </c>
      <c r="Q13">
        <v>6</v>
      </c>
      <c r="R13" t="s">
        <v>213</v>
      </c>
      <c r="S13" t="s">
        <v>66</v>
      </c>
      <c r="T13" t="s">
        <v>12</v>
      </c>
      <c r="U13" t="s">
        <v>17</v>
      </c>
      <c r="V13">
        <v>4.0999999999999996</v>
      </c>
      <c r="W13">
        <v>467301</v>
      </c>
      <c r="X13">
        <v>467300.96899999998</v>
      </c>
      <c r="Y13">
        <v>200</v>
      </c>
      <c r="Z13">
        <v>186.755</v>
      </c>
      <c r="AA13">
        <v>-6.6</v>
      </c>
      <c r="AB13">
        <v>1196</v>
      </c>
    </row>
    <row r="14" spans="1:28" x14ac:dyDescent="0.3">
      <c r="A14">
        <v>7</v>
      </c>
      <c r="B14" t="s">
        <v>227</v>
      </c>
      <c r="C14" t="s">
        <v>112</v>
      </c>
      <c r="D14" t="s">
        <v>21</v>
      </c>
      <c r="E14" t="s">
        <v>45</v>
      </c>
      <c r="F14">
        <v>4.09</v>
      </c>
      <c r="G14">
        <v>312071</v>
      </c>
      <c r="H14">
        <v>312071.15600000002</v>
      </c>
      <c r="I14" cm="1">
        <f t="array" ref="I14">TREND($Y$8:$Y$13,$W$8:$W$13,H14)</f>
        <v>123.1489211661673</v>
      </c>
      <c r="J14">
        <f t="shared" si="0"/>
        <v>36.944676349850184</v>
      </c>
      <c r="K14">
        <v>9.2587021175250833E-2</v>
      </c>
      <c r="L14" s="2">
        <f t="shared" si="1"/>
        <v>399.02651452540476</v>
      </c>
      <c r="Q14">
        <v>7</v>
      </c>
      <c r="R14" t="s">
        <v>214</v>
      </c>
      <c r="S14" t="s">
        <v>67</v>
      </c>
      <c r="T14" t="s">
        <v>12</v>
      </c>
      <c r="U14" t="s">
        <v>18</v>
      </c>
      <c r="V14">
        <v>4.0999999999999996</v>
      </c>
      <c r="W14">
        <v>1157896</v>
      </c>
      <c r="X14">
        <v>1157896.25</v>
      </c>
      <c r="Y14">
        <v>500</v>
      </c>
      <c r="Z14">
        <v>482.79399999999998</v>
      </c>
      <c r="AA14">
        <v>-3.4</v>
      </c>
      <c r="AB14">
        <v>4216</v>
      </c>
    </row>
    <row r="15" spans="1:28" x14ac:dyDescent="0.3">
      <c r="A15">
        <v>8</v>
      </c>
      <c r="B15" t="s">
        <v>228</v>
      </c>
      <c r="C15" t="s">
        <v>113</v>
      </c>
      <c r="D15" t="s">
        <v>21</v>
      </c>
      <c r="E15" t="s">
        <v>46</v>
      </c>
      <c r="F15">
        <v>4.09</v>
      </c>
      <c r="G15">
        <v>117810</v>
      </c>
      <c r="H15">
        <v>117809.773</v>
      </c>
      <c r="I15" cm="1">
        <f t="array" ref="I15">TREND($Y$8:$Y$13,$W$8:$W$13,H15)</f>
        <v>40.217969768520945</v>
      </c>
      <c r="J15">
        <f t="shared" si="0"/>
        <v>12.065390930556283</v>
      </c>
      <c r="K15">
        <v>0.14974138961216016</v>
      </c>
      <c r="L15" s="2">
        <f t="shared" si="1"/>
        <v>80.57485616906871</v>
      </c>
      <c r="Q15">
        <v>8</v>
      </c>
      <c r="R15" t="s">
        <v>215</v>
      </c>
      <c r="S15" t="s">
        <v>68</v>
      </c>
      <c r="T15" t="s">
        <v>12</v>
      </c>
      <c r="U15" t="s">
        <v>19</v>
      </c>
      <c r="V15">
        <v>4.0999999999999996</v>
      </c>
      <c r="W15">
        <v>2308356</v>
      </c>
      <c r="X15">
        <v>2308355.5</v>
      </c>
      <c r="Y15">
        <v>1000</v>
      </c>
      <c r="Z15">
        <v>1010.35</v>
      </c>
      <c r="AA15">
        <v>1</v>
      </c>
      <c r="AB15">
        <v>7762</v>
      </c>
    </row>
    <row r="16" spans="1:28" x14ac:dyDescent="0.3">
      <c r="A16">
        <v>9</v>
      </c>
      <c r="B16" t="s">
        <v>229</v>
      </c>
      <c r="C16" t="s">
        <v>114</v>
      </c>
      <c r="D16" t="s">
        <v>21</v>
      </c>
      <c r="E16" t="s">
        <v>47</v>
      </c>
      <c r="F16">
        <v>4.09</v>
      </c>
      <c r="G16">
        <v>324078</v>
      </c>
      <c r="H16">
        <v>324077.71899999998</v>
      </c>
      <c r="I16" cm="1">
        <f t="array" ref="I16">TREND($Y$8:$Y$13,$W$8:$W$13,H16)</f>
        <v>128.27457031593053</v>
      </c>
      <c r="J16">
        <f t="shared" si="0"/>
        <v>38.482371094779154</v>
      </c>
      <c r="K16">
        <v>0.19965083810636269</v>
      </c>
      <c r="L16" s="2">
        <f t="shared" si="1"/>
        <v>192.74835738118927</v>
      </c>
    </row>
    <row r="17" spans="1:12" x14ac:dyDescent="0.3">
      <c r="A17">
        <v>10</v>
      </c>
      <c r="B17" t="s">
        <v>230</v>
      </c>
      <c r="C17" t="s">
        <v>115</v>
      </c>
      <c r="D17" t="s">
        <v>21</v>
      </c>
      <c r="E17" t="s">
        <v>48</v>
      </c>
      <c r="F17">
        <v>4.09</v>
      </c>
      <c r="G17">
        <v>474369</v>
      </c>
      <c r="H17">
        <v>474369.31300000002</v>
      </c>
      <c r="I17" cm="1">
        <f t="array" ref="I17">TREND($Y$8:$Y$13,$W$8:$W$13,H17)</f>
        <v>192.434645185205</v>
      </c>
      <c r="J17">
        <f t="shared" si="0"/>
        <v>57.730393555561506</v>
      </c>
      <c r="K17">
        <v>0.22058060682973793</v>
      </c>
      <c r="L17" s="2">
        <f t="shared" si="1"/>
        <v>261.7201683560628</v>
      </c>
    </row>
    <row r="18" spans="1:12" x14ac:dyDescent="0.3">
      <c r="A18">
        <v>11</v>
      </c>
      <c r="B18" t="s">
        <v>231</v>
      </c>
      <c r="C18" t="s">
        <v>116</v>
      </c>
      <c r="D18" t="s">
        <v>21</v>
      </c>
      <c r="E18" t="s">
        <v>49</v>
      </c>
      <c r="F18">
        <v>4.09</v>
      </c>
      <c r="G18">
        <v>377140</v>
      </c>
      <c r="H18">
        <v>377140.46899999998</v>
      </c>
      <c r="I18" cm="1">
        <f t="array" ref="I18">TREND($Y$8:$Y$13,$W$8:$W$13,H18)</f>
        <v>150.92726779659995</v>
      </c>
      <c r="J18">
        <f t="shared" si="0"/>
        <v>45.278180338979979</v>
      </c>
      <c r="K18">
        <v>0.12720163867929454</v>
      </c>
      <c r="L18" s="2">
        <f t="shared" si="1"/>
        <v>355.9559515828015</v>
      </c>
    </row>
    <row r="19" spans="1:12" x14ac:dyDescent="0.3">
      <c r="A19">
        <v>12</v>
      </c>
      <c r="B19" t="s">
        <v>232</v>
      </c>
      <c r="C19" t="s">
        <v>117</v>
      </c>
      <c r="D19" t="s">
        <v>21</v>
      </c>
      <c r="E19" t="s">
        <v>50</v>
      </c>
      <c r="F19">
        <v>4.09</v>
      </c>
      <c r="G19">
        <v>348764</v>
      </c>
      <c r="H19">
        <v>348764.31300000002</v>
      </c>
      <c r="I19" cm="1">
        <f t="array" ref="I19">TREND($Y$8:$Y$13,$W$8:$W$13,H19)</f>
        <v>138.81337476368549</v>
      </c>
      <c r="J19">
        <f t="shared" si="0"/>
        <v>41.644012429105643</v>
      </c>
      <c r="K19">
        <v>0.1594012828691026</v>
      </c>
      <c r="L19" s="2">
        <f t="shared" si="1"/>
        <v>261.25268052769025</v>
      </c>
    </row>
    <row r="20" spans="1:12" x14ac:dyDescent="0.3">
      <c r="A20">
        <v>13</v>
      </c>
      <c r="B20" t="s">
        <v>233</v>
      </c>
      <c r="C20" t="s">
        <v>118</v>
      </c>
      <c r="D20" t="s">
        <v>21</v>
      </c>
      <c r="E20" t="s">
        <v>51</v>
      </c>
      <c r="F20">
        <v>4.09</v>
      </c>
      <c r="G20">
        <v>319908</v>
      </c>
      <c r="H20">
        <v>319908.15600000002</v>
      </c>
      <c r="I20" cm="1">
        <f t="array" ref="I20">TREND($Y$8:$Y$13,$W$8:$W$13,H20)</f>
        <v>126.49456740870102</v>
      </c>
      <c r="J20">
        <f t="shared" si="0"/>
        <v>37.948370222610308</v>
      </c>
      <c r="K20">
        <v>0.14491144298368897</v>
      </c>
      <c r="L20" s="2">
        <f t="shared" si="1"/>
        <v>261.87283378912821</v>
      </c>
    </row>
    <row r="21" spans="1:12" x14ac:dyDescent="0.3">
      <c r="A21">
        <v>14</v>
      </c>
      <c r="B21" t="s">
        <v>234</v>
      </c>
      <c r="C21" t="s">
        <v>119</v>
      </c>
      <c r="D21" t="s">
        <v>21</v>
      </c>
      <c r="E21" t="s">
        <v>52</v>
      </c>
      <c r="F21">
        <v>4.09</v>
      </c>
      <c r="G21">
        <v>369586</v>
      </c>
      <c r="H21">
        <v>369586.46899999998</v>
      </c>
      <c r="I21" cm="1">
        <f t="array" ref="I21">TREND($Y$8:$Y$13,$W$8:$W$13,H21)</f>
        <v>147.70243537142454</v>
      </c>
      <c r="J21">
        <f t="shared" si="0"/>
        <v>44.31073061142736</v>
      </c>
      <c r="K21">
        <v>0.24553533107683917</v>
      </c>
      <c r="L21" s="2">
        <f t="shared" si="1"/>
        <v>180.46580268955475</v>
      </c>
    </row>
    <row r="22" spans="1:12" x14ac:dyDescent="0.3">
      <c r="A22">
        <v>15</v>
      </c>
      <c r="B22" t="s">
        <v>235</v>
      </c>
      <c r="C22" t="s">
        <v>120</v>
      </c>
      <c r="D22" t="s">
        <v>21</v>
      </c>
      <c r="E22" t="s">
        <v>53</v>
      </c>
      <c r="F22">
        <v>4.09</v>
      </c>
      <c r="G22">
        <v>92757</v>
      </c>
      <c r="H22">
        <v>92756.577999999994</v>
      </c>
      <c r="I22" cm="1">
        <f t="array" ref="I22">TREND($Y$8:$Y$13,$W$8:$W$13,H22)</f>
        <v>29.522661906428979</v>
      </c>
      <c r="J22">
        <f t="shared" si="0"/>
        <v>8.8567985719286924</v>
      </c>
      <c r="K22">
        <v>0.3002747261995129</v>
      </c>
      <c r="L22" s="2">
        <f t="shared" si="1"/>
        <v>29.49565114595735</v>
      </c>
    </row>
    <row r="23" spans="1:12" x14ac:dyDescent="0.3">
      <c r="A23">
        <v>16</v>
      </c>
      <c r="B23" t="s">
        <v>236</v>
      </c>
      <c r="C23" t="s">
        <v>121</v>
      </c>
      <c r="D23" t="s">
        <v>21</v>
      </c>
      <c r="E23" t="s">
        <v>54</v>
      </c>
      <c r="F23">
        <v>4.09</v>
      </c>
      <c r="G23">
        <v>335094</v>
      </c>
      <c r="H23">
        <v>335094.15600000002</v>
      </c>
      <c r="I23" cm="1">
        <f t="array" ref="I23">TREND($Y$8:$Y$13,$W$8:$W$13,H23)</f>
        <v>132.97753076701633</v>
      </c>
      <c r="J23">
        <f t="shared" si="0"/>
        <v>39.893259230104903</v>
      </c>
      <c r="K23">
        <v>0.17147614944028067</v>
      </c>
      <c r="L23" s="2">
        <f t="shared" si="1"/>
        <v>232.64611061259205</v>
      </c>
    </row>
    <row r="24" spans="1:12" x14ac:dyDescent="0.3">
      <c r="A24">
        <v>17</v>
      </c>
      <c r="B24" t="s">
        <v>237</v>
      </c>
      <c r="C24" t="s">
        <v>122</v>
      </c>
      <c r="D24" t="s">
        <v>21</v>
      </c>
      <c r="E24" t="s">
        <v>55</v>
      </c>
      <c r="F24">
        <v>4.09</v>
      </c>
      <c r="G24">
        <v>362638</v>
      </c>
      <c r="H24">
        <v>362638.06300000002</v>
      </c>
      <c r="I24" cm="1">
        <f t="array" ref="I24">TREND($Y$8:$Y$13,$W$8:$W$13,H24)</f>
        <v>144.73613341589325</v>
      </c>
      <c r="J24">
        <f t="shared" si="0"/>
        <v>43.420840024767969</v>
      </c>
      <c r="K24">
        <v>0.18113604269722305</v>
      </c>
      <c r="L24" s="2">
        <f t="shared" si="1"/>
        <v>239.71397066097902</v>
      </c>
    </row>
    <row r="25" spans="1:12" x14ac:dyDescent="0.3">
      <c r="A25">
        <v>18</v>
      </c>
      <c r="B25" t="s">
        <v>238</v>
      </c>
      <c r="C25" t="s">
        <v>123</v>
      </c>
      <c r="D25" t="s">
        <v>21</v>
      </c>
      <c r="E25" t="s">
        <v>56</v>
      </c>
      <c r="F25">
        <v>4.09</v>
      </c>
      <c r="G25">
        <v>257297</v>
      </c>
      <c r="H25">
        <v>257297</v>
      </c>
      <c r="I25" cm="1">
        <f t="array" ref="I25">TREND($Y$8:$Y$13,$W$8:$W$13,H25)</f>
        <v>99.765617707017626</v>
      </c>
      <c r="J25">
        <f t="shared" si="0"/>
        <v>29.929685312105285</v>
      </c>
      <c r="K25">
        <v>8.2927127918308433E-2</v>
      </c>
      <c r="L25" s="2">
        <f t="shared" si="1"/>
        <v>360.91549368005411</v>
      </c>
    </row>
    <row r="26" spans="1:12" x14ac:dyDescent="0.3">
      <c r="A26">
        <v>19</v>
      </c>
      <c r="B26" t="s">
        <v>239</v>
      </c>
      <c r="C26" t="s">
        <v>124</v>
      </c>
      <c r="D26" t="s">
        <v>21</v>
      </c>
      <c r="E26" t="s">
        <v>57</v>
      </c>
      <c r="F26">
        <v>4.09</v>
      </c>
      <c r="G26">
        <v>425627</v>
      </c>
      <c r="H26">
        <v>425627.25</v>
      </c>
      <c r="I26" cm="1">
        <f t="array" ref="I26">TREND($Y$8:$Y$13,$W$8:$W$13,H26)</f>
        <v>171.62646604404227</v>
      </c>
      <c r="J26">
        <f t="shared" si="0"/>
        <v>51.487939813212677</v>
      </c>
      <c r="K26">
        <v>0.11593176321286171</v>
      </c>
      <c r="L26" s="2">
        <f t="shared" si="1"/>
        <v>444.12280453870039</v>
      </c>
    </row>
    <row r="27" spans="1:12" x14ac:dyDescent="0.3">
      <c r="A27">
        <v>20</v>
      </c>
      <c r="B27" t="s">
        <v>240</v>
      </c>
      <c r="C27" t="s">
        <v>125</v>
      </c>
      <c r="D27" t="s">
        <v>21</v>
      </c>
      <c r="E27" t="s">
        <v>58</v>
      </c>
      <c r="F27">
        <v>4.09</v>
      </c>
      <c r="G27">
        <v>537406</v>
      </c>
      <c r="H27">
        <v>537405.81299999997</v>
      </c>
      <c r="I27" cm="1">
        <f t="array" ref="I27">TREND($Y$8:$Y$13,$W$8:$W$13,H27)</f>
        <v>219.34517591985815</v>
      </c>
      <c r="J27">
        <f t="shared" si="0"/>
        <v>65.803552775957456</v>
      </c>
      <c r="K27">
        <v>0.17469611385926145</v>
      </c>
      <c r="L27" s="2">
        <f t="shared" si="1"/>
        <v>376.67439373591367</v>
      </c>
    </row>
    <row r="28" spans="1:12" x14ac:dyDescent="0.3">
      <c r="A28">
        <v>21</v>
      </c>
      <c r="B28" t="s">
        <v>241</v>
      </c>
      <c r="C28" t="s">
        <v>126</v>
      </c>
      <c r="D28" t="s">
        <v>21</v>
      </c>
      <c r="E28" t="s">
        <v>59</v>
      </c>
      <c r="F28">
        <v>4.09</v>
      </c>
      <c r="G28">
        <v>317361</v>
      </c>
      <c r="H28">
        <v>317360.93800000002</v>
      </c>
      <c r="I28" cm="1">
        <f t="array" ref="I28">TREND($Y$8:$Y$13,$W$8:$W$13,H28)</f>
        <v>125.40714998741555</v>
      </c>
      <c r="J28">
        <f t="shared" si="0"/>
        <v>37.622144996224662</v>
      </c>
      <c r="K28">
        <v>0.17952606048773259</v>
      </c>
      <c r="L28" s="2">
        <f t="shared" si="1"/>
        <v>209.56369729282545</v>
      </c>
    </row>
    <row r="29" spans="1:12" x14ac:dyDescent="0.3">
      <c r="A29">
        <v>22</v>
      </c>
      <c r="B29" t="s">
        <v>242</v>
      </c>
      <c r="C29" t="s">
        <v>127</v>
      </c>
      <c r="D29" t="s">
        <v>21</v>
      </c>
      <c r="E29" t="s">
        <v>60</v>
      </c>
      <c r="F29">
        <v>4.09</v>
      </c>
      <c r="G29">
        <v>325682</v>
      </c>
      <c r="H29">
        <v>325681.59399999998</v>
      </c>
      <c r="I29" cm="1">
        <f t="array" ref="I29">TREND($Y$8:$Y$13,$W$8:$W$13,H29)</f>
        <v>128.95927088595013</v>
      </c>
      <c r="J29">
        <f t="shared" si="0"/>
        <v>38.687781265785034</v>
      </c>
      <c r="K29">
        <v>0.19723586479212707</v>
      </c>
      <c r="L29" s="2">
        <f t="shared" si="1"/>
        <v>196.1498295787091</v>
      </c>
    </row>
    <row r="30" spans="1:12" x14ac:dyDescent="0.3">
      <c r="A30">
        <v>23</v>
      </c>
      <c r="B30" t="s">
        <v>243</v>
      </c>
      <c r="C30" t="s">
        <v>128</v>
      </c>
      <c r="D30" t="s">
        <v>21</v>
      </c>
      <c r="E30" t="s">
        <v>75</v>
      </c>
      <c r="F30">
        <v>4.09</v>
      </c>
      <c r="G30">
        <v>433734</v>
      </c>
      <c r="H30">
        <v>433733.56300000002</v>
      </c>
      <c r="I30" cm="1">
        <f t="array" ref="I30">TREND($Y$8:$Y$13,$W$8:$W$13,H30)</f>
        <v>175.08708306959446</v>
      </c>
      <c r="J30">
        <f t="shared" si="0"/>
        <v>52.526124920878331</v>
      </c>
      <c r="K30">
        <v>0.28417490410460888</v>
      </c>
      <c r="L30" s="2">
        <f t="shared" si="1"/>
        <v>184.83731026981434</v>
      </c>
    </row>
    <row r="31" spans="1:12" x14ac:dyDescent="0.3">
      <c r="A31">
        <v>24</v>
      </c>
      <c r="B31" t="s">
        <v>244</v>
      </c>
      <c r="C31" t="s">
        <v>129</v>
      </c>
      <c r="D31" t="s">
        <v>21</v>
      </c>
      <c r="E31" t="s">
        <v>76</v>
      </c>
      <c r="F31">
        <v>4.09</v>
      </c>
      <c r="G31">
        <v>413493</v>
      </c>
      <c r="H31">
        <v>413492.65600000002</v>
      </c>
      <c r="I31" cm="1">
        <f t="array" ref="I31">TREND($Y$8:$Y$13,$W$8:$W$13,H31)</f>
        <v>166.44615995487905</v>
      </c>
      <c r="J31">
        <f t="shared" si="0"/>
        <v>49.933847986463711</v>
      </c>
      <c r="K31">
        <v>0.17872106938298743</v>
      </c>
      <c r="L31" s="2">
        <f t="shared" si="1"/>
        <v>279.39541856399023</v>
      </c>
    </row>
    <row r="32" spans="1:12" x14ac:dyDescent="0.3">
      <c r="A32">
        <v>25</v>
      </c>
      <c r="B32" t="s">
        <v>245</v>
      </c>
      <c r="C32" t="s">
        <v>130</v>
      </c>
      <c r="D32" t="s">
        <v>21</v>
      </c>
      <c r="E32" t="s">
        <v>77</v>
      </c>
      <c r="F32">
        <v>4.09</v>
      </c>
      <c r="G32">
        <v>417407</v>
      </c>
      <c r="H32">
        <v>417407.40600000002</v>
      </c>
      <c r="I32" cm="1">
        <f t="array" ref="I32">TREND($Y$8:$Y$13,$W$8:$W$13,H32)</f>
        <v>168.11738218633994</v>
      </c>
      <c r="J32">
        <f t="shared" si="0"/>
        <v>50.435214655901987</v>
      </c>
      <c r="K32">
        <v>0.19884584700161748</v>
      </c>
      <c r="L32" s="2">
        <f t="shared" si="1"/>
        <v>253.63976877772927</v>
      </c>
    </row>
    <row r="33" spans="1:12" x14ac:dyDescent="0.3">
      <c r="A33">
        <v>26</v>
      </c>
      <c r="B33" t="s">
        <v>246</v>
      </c>
      <c r="C33" t="s">
        <v>131</v>
      </c>
      <c r="D33" t="s">
        <v>21</v>
      </c>
      <c r="E33" t="s">
        <v>78</v>
      </c>
      <c r="F33">
        <v>4.09</v>
      </c>
      <c r="G33">
        <v>370542</v>
      </c>
      <c r="H33">
        <v>370541.59399999998</v>
      </c>
      <c r="I33" cm="1">
        <f t="array" ref="I33">TREND($Y$8:$Y$13,$W$8:$W$13,H33)</f>
        <v>148.11018200500882</v>
      </c>
      <c r="J33">
        <f t="shared" si="0"/>
        <v>44.433054601502647</v>
      </c>
      <c r="K33">
        <v>0.17469611385926145</v>
      </c>
      <c r="L33" s="2">
        <f t="shared" si="1"/>
        <v>254.34483698531938</v>
      </c>
    </row>
    <row r="34" spans="1:12" x14ac:dyDescent="0.3">
      <c r="A34">
        <v>27</v>
      </c>
      <c r="B34" t="s">
        <v>247</v>
      </c>
      <c r="C34" t="s">
        <v>132</v>
      </c>
      <c r="D34" t="s">
        <v>21</v>
      </c>
      <c r="E34" t="s">
        <v>79</v>
      </c>
      <c r="F34">
        <v>4.09</v>
      </c>
      <c r="G34">
        <v>473527</v>
      </c>
      <c r="H34">
        <v>473526.96899999998</v>
      </c>
      <c r="I34" cm="1">
        <f t="array" ref="I34">TREND($Y$8:$Y$13,$W$8:$W$13,H34)</f>
        <v>192.07504520580969</v>
      </c>
      <c r="J34">
        <f t="shared" si="0"/>
        <v>57.622513561742906</v>
      </c>
      <c r="K34">
        <v>0.24875529549582001</v>
      </c>
      <c r="L34" s="2">
        <f t="shared" si="1"/>
        <v>231.64336440311547</v>
      </c>
    </row>
    <row r="35" spans="1:12" x14ac:dyDescent="0.3">
      <c r="A35">
        <v>28</v>
      </c>
      <c r="B35" t="s">
        <v>248</v>
      </c>
      <c r="C35" t="s">
        <v>133</v>
      </c>
      <c r="D35" t="s">
        <v>21</v>
      </c>
      <c r="E35" t="s">
        <v>80</v>
      </c>
      <c r="F35">
        <v>4.09</v>
      </c>
      <c r="G35">
        <v>244603</v>
      </c>
      <c r="H35">
        <v>244603.46900000001</v>
      </c>
      <c r="I35" cm="1">
        <f t="array" ref="I35">TREND($Y$8:$Y$13,$W$8:$W$13,H35)</f>
        <v>94.346699205724363</v>
      </c>
      <c r="J35">
        <f t="shared" si="0"/>
        <v>28.304009761717307</v>
      </c>
      <c r="K35">
        <v>0.18274602490671343</v>
      </c>
      <c r="L35" s="2">
        <f t="shared" si="1"/>
        <v>154.88167130401706</v>
      </c>
    </row>
    <row r="36" spans="1:12" x14ac:dyDescent="0.3">
      <c r="A36">
        <v>29</v>
      </c>
      <c r="B36" t="s">
        <v>249</v>
      </c>
      <c r="C36" t="s">
        <v>134</v>
      </c>
      <c r="D36" t="s">
        <v>21</v>
      </c>
      <c r="E36" t="s">
        <v>81</v>
      </c>
      <c r="F36">
        <v>4.09</v>
      </c>
      <c r="G36">
        <v>636424</v>
      </c>
      <c r="H36">
        <v>636423.875</v>
      </c>
      <c r="I36" cm="1">
        <f t="array" ref="I36">TREND($Y$8:$Y$13,$W$8:$W$13,H36)</f>
        <v>261.61637753696562</v>
      </c>
      <c r="J36">
        <f t="shared" si="0"/>
        <v>78.484913261089673</v>
      </c>
      <c r="K36">
        <v>0.18113604269722305</v>
      </c>
      <c r="L36" s="2">
        <f t="shared" si="1"/>
        <v>433.29263515092185</v>
      </c>
    </row>
    <row r="37" spans="1:12" x14ac:dyDescent="0.3">
      <c r="A37">
        <v>30</v>
      </c>
      <c r="B37" t="s">
        <v>250</v>
      </c>
      <c r="C37" t="s">
        <v>135</v>
      </c>
      <c r="D37" t="s">
        <v>21</v>
      </c>
      <c r="E37" t="s">
        <v>82</v>
      </c>
      <c r="F37">
        <v>4.09</v>
      </c>
      <c r="G37">
        <v>441216</v>
      </c>
      <c r="H37">
        <v>441216.34399999998</v>
      </c>
      <c r="I37" cm="1">
        <f t="array" ref="I37">TREND($Y$8:$Y$13,$W$8:$W$13,H37)</f>
        <v>178.28151182247854</v>
      </c>
      <c r="J37">
        <f t="shared" si="0"/>
        <v>53.484453546743566</v>
      </c>
      <c r="K37">
        <v>0.12156670094607813</v>
      </c>
      <c r="L37" s="2">
        <f t="shared" si="1"/>
        <v>439.95973511255369</v>
      </c>
    </row>
    <row r="38" spans="1:12" x14ac:dyDescent="0.3">
      <c r="A38">
        <v>31</v>
      </c>
      <c r="B38" t="s">
        <v>251</v>
      </c>
      <c r="C38" t="s">
        <v>136</v>
      </c>
      <c r="D38" t="s">
        <v>21</v>
      </c>
      <c r="E38" t="s">
        <v>83</v>
      </c>
      <c r="F38">
        <v>4.09</v>
      </c>
      <c r="G38">
        <v>640716</v>
      </c>
      <c r="H38">
        <v>640715.875</v>
      </c>
      <c r="I38" cm="1">
        <f t="array" ref="I38">TREND($Y$8:$Y$13,$W$8:$W$13,H38)</f>
        <v>263.44864928290855</v>
      </c>
      <c r="J38">
        <f t="shared" si="0"/>
        <v>79.034594784872553</v>
      </c>
      <c r="K38">
        <v>8.8562065651524843E-2</v>
      </c>
      <c r="L38" s="2">
        <f t="shared" si="1"/>
        <v>892.42040825762683</v>
      </c>
    </row>
    <row r="39" spans="1:12" x14ac:dyDescent="0.3">
      <c r="A39">
        <v>32</v>
      </c>
      <c r="B39" t="s">
        <v>252</v>
      </c>
      <c r="C39" t="s">
        <v>137</v>
      </c>
      <c r="D39" t="s">
        <v>21</v>
      </c>
      <c r="E39" t="s">
        <v>84</v>
      </c>
      <c r="F39">
        <v>4.09</v>
      </c>
      <c r="G39">
        <v>444501</v>
      </c>
      <c r="H39">
        <v>444500.71899999998</v>
      </c>
      <c r="I39" cm="1">
        <f t="array" ref="I39">TREND($Y$8:$Y$13,$W$8:$W$13,H39)</f>
        <v>179.68362447755339</v>
      </c>
      <c r="J39">
        <f t="shared" si="0"/>
        <v>53.905087343266018</v>
      </c>
      <c r="K39">
        <v>0.13766652304098212</v>
      </c>
      <c r="L39" s="2">
        <f t="shared" si="1"/>
        <v>391.56278630803325</v>
      </c>
    </row>
    <row r="40" spans="1:12" x14ac:dyDescent="0.3">
      <c r="A40">
        <v>33</v>
      </c>
      <c r="B40" t="s">
        <v>253</v>
      </c>
      <c r="C40" t="s">
        <v>138</v>
      </c>
      <c r="D40" t="s">
        <v>21</v>
      </c>
      <c r="E40" t="s">
        <v>85</v>
      </c>
      <c r="F40">
        <v>4.09</v>
      </c>
      <c r="G40">
        <v>478925</v>
      </c>
      <c r="H40">
        <v>478925</v>
      </c>
      <c r="I40" cm="1">
        <f t="array" ref="I40">TREND($Y$8:$Y$13,$W$8:$W$13,H40)</f>
        <v>194.37948595255341</v>
      </c>
      <c r="J40">
        <f t="shared" si="0"/>
        <v>58.313845785766027</v>
      </c>
      <c r="K40">
        <v>8.2122136813563229E-2</v>
      </c>
      <c r="L40" s="2">
        <f t="shared" si="1"/>
        <v>710.08680543898072</v>
      </c>
    </row>
    <row r="41" spans="1:12" x14ac:dyDescent="0.3">
      <c r="A41">
        <v>34</v>
      </c>
      <c r="B41" t="s">
        <v>172</v>
      </c>
      <c r="C41" t="s">
        <v>139</v>
      </c>
      <c r="D41" t="s">
        <v>21</v>
      </c>
      <c r="E41" t="s">
        <v>86</v>
      </c>
      <c r="F41">
        <v>4.0999999999999996</v>
      </c>
      <c r="G41">
        <v>501698</v>
      </c>
      <c r="H41">
        <v>501698.06300000002</v>
      </c>
      <c r="I41" cm="1">
        <f t="array" ref="I41">TREND($Y$8:$Y$13,$W$8:$W$13,H41)</f>
        <v>204.10139646128556</v>
      </c>
      <c r="J41">
        <f t="shared" si="0"/>
        <v>61.230418938385668</v>
      </c>
      <c r="K41">
        <v>0.10224691443219328</v>
      </c>
      <c r="L41" s="2">
        <f t="shared" si="1"/>
        <v>598.84857434002697</v>
      </c>
    </row>
    <row r="42" spans="1:12" x14ac:dyDescent="0.3">
      <c r="A42">
        <v>35</v>
      </c>
      <c r="B42" t="s">
        <v>173</v>
      </c>
      <c r="C42" t="s">
        <v>140</v>
      </c>
      <c r="D42" t="s">
        <v>21</v>
      </c>
      <c r="E42" t="s">
        <v>87</v>
      </c>
      <c r="F42">
        <v>4.09</v>
      </c>
      <c r="G42">
        <v>1228308</v>
      </c>
      <c r="H42">
        <v>1228308.25</v>
      </c>
      <c r="I42" cm="1">
        <f t="array" ref="I42">TREND($Y$8:$Y$13,$W$8:$W$13,H42)</f>
        <v>514.29415413938636</v>
      </c>
      <c r="J42">
        <f t="shared" si="0"/>
        <v>154.2882462418159</v>
      </c>
      <c r="K42">
        <v>0.12639664757454935</v>
      </c>
      <c r="L42" s="2">
        <f t="shared" si="1"/>
        <v>1220.6672344756291</v>
      </c>
    </row>
    <row r="43" spans="1:12" x14ac:dyDescent="0.3">
      <c r="A43">
        <v>36</v>
      </c>
      <c r="B43" t="s">
        <v>174</v>
      </c>
      <c r="C43" t="s">
        <v>141</v>
      </c>
      <c r="D43" t="s">
        <v>21</v>
      </c>
      <c r="E43" t="s">
        <v>88</v>
      </c>
      <c r="F43">
        <v>4.0999999999999996</v>
      </c>
      <c r="G43">
        <v>481743</v>
      </c>
      <c r="H43">
        <v>481743</v>
      </c>
      <c r="I43" cm="1">
        <f t="array" ref="I43">TREND($Y$8:$Y$13,$W$8:$W$13,H43)</f>
        <v>195.58250127875732</v>
      </c>
      <c r="J43">
        <f t="shared" si="0"/>
        <v>58.674750383627192</v>
      </c>
      <c r="K43">
        <v>0.15054638071690538</v>
      </c>
      <c r="L43" s="2">
        <f t="shared" si="1"/>
        <v>389.74534030121919</v>
      </c>
    </row>
    <row r="44" spans="1:12" x14ac:dyDescent="0.3">
      <c r="A44">
        <v>37</v>
      </c>
      <c r="B44" t="s">
        <v>175</v>
      </c>
      <c r="C44" t="s">
        <v>142</v>
      </c>
      <c r="D44" t="s">
        <v>21</v>
      </c>
      <c r="E44" t="s">
        <v>89</v>
      </c>
      <c r="F44">
        <v>4.0999999999999996</v>
      </c>
      <c r="G44">
        <v>509353</v>
      </c>
      <c r="H44">
        <v>509352.71899999998</v>
      </c>
      <c r="I44" cm="1">
        <f t="array" ref="I44">TREND($Y$8:$Y$13,$W$8:$W$13,H44)</f>
        <v>207.36919933027727</v>
      </c>
      <c r="J44">
        <f t="shared" si="0"/>
        <v>62.210759799083185</v>
      </c>
      <c r="K44">
        <v>0.14893639850741497</v>
      </c>
      <c r="L44" s="2">
        <f t="shared" si="1"/>
        <v>417.70017552818661</v>
      </c>
    </row>
    <row r="45" spans="1:12" x14ac:dyDescent="0.3">
      <c r="A45">
        <v>38</v>
      </c>
      <c r="B45" t="s">
        <v>176</v>
      </c>
      <c r="C45" t="s">
        <v>143</v>
      </c>
      <c r="D45" t="s">
        <v>21</v>
      </c>
      <c r="E45" t="s">
        <v>90</v>
      </c>
      <c r="F45">
        <v>4.0999999999999996</v>
      </c>
      <c r="G45">
        <v>446717</v>
      </c>
      <c r="H45">
        <v>446717</v>
      </c>
      <c r="I45" cm="1">
        <f t="array" ref="I45">TREND($Y$8:$Y$13,$W$8:$W$13,H45)</f>
        <v>180.62976358691273</v>
      </c>
      <c r="J45">
        <f t="shared" si="0"/>
        <v>54.188929076073819</v>
      </c>
      <c r="K45">
        <v>4.0262599366812736E-2</v>
      </c>
      <c r="L45" s="2">
        <f t="shared" si="1"/>
        <v>1345.8874967903871</v>
      </c>
    </row>
    <row r="46" spans="1:12" x14ac:dyDescent="0.3">
      <c r="A46">
        <v>39</v>
      </c>
      <c r="B46" t="s">
        <v>177</v>
      </c>
      <c r="C46" t="s">
        <v>144</v>
      </c>
      <c r="D46" t="s">
        <v>21</v>
      </c>
      <c r="E46" t="s">
        <v>91</v>
      </c>
      <c r="F46">
        <v>4.0999999999999996</v>
      </c>
      <c r="G46">
        <v>707354</v>
      </c>
      <c r="H46">
        <v>707354.18799999997</v>
      </c>
      <c r="I46" cm="1">
        <f t="array" ref="I46">TREND($Y$8:$Y$13,$W$8:$W$13,H46)</f>
        <v>291.89680820816517</v>
      </c>
      <c r="J46">
        <f t="shared" si="0"/>
        <v>87.569042462449545</v>
      </c>
      <c r="K46">
        <v>0.11351678989862611</v>
      </c>
      <c r="L46" s="2">
        <f t="shared" si="1"/>
        <v>771.41929877202585</v>
      </c>
    </row>
    <row r="47" spans="1:12" x14ac:dyDescent="0.3">
      <c r="A47">
        <v>40</v>
      </c>
      <c r="B47" t="s">
        <v>178</v>
      </c>
      <c r="C47" t="s">
        <v>145</v>
      </c>
      <c r="D47" t="s">
        <v>21</v>
      </c>
      <c r="E47" t="s">
        <v>92</v>
      </c>
      <c r="F47">
        <v>4.0999999999999996</v>
      </c>
      <c r="G47">
        <v>1002485</v>
      </c>
      <c r="H47">
        <v>1002484.938</v>
      </c>
      <c r="I47" cm="1">
        <f t="array" ref="I47">TREND($Y$8:$Y$13,$W$8:$W$13,H47)</f>
        <v>417.88929063685725</v>
      </c>
      <c r="J47">
        <f t="shared" si="0"/>
        <v>125.36678719105718</v>
      </c>
      <c r="K47">
        <v>0.10144192332744809</v>
      </c>
      <c r="L47" s="2">
        <f t="shared" si="1"/>
        <v>1235.8478928517666</v>
      </c>
    </row>
    <row r="48" spans="1:12" x14ac:dyDescent="0.3">
      <c r="A48">
        <v>41</v>
      </c>
      <c r="B48" t="s">
        <v>179</v>
      </c>
      <c r="C48" t="s">
        <v>146</v>
      </c>
      <c r="D48" t="s">
        <v>21</v>
      </c>
      <c r="E48" t="s">
        <v>93</v>
      </c>
      <c r="F48">
        <v>4.0999999999999996</v>
      </c>
      <c r="G48">
        <v>993191</v>
      </c>
      <c r="H48">
        <v>993190.5</v>
      </c>
      <c r="I48" cm="1">
        <f t="array" ref="I48">TREND($Y$8:$Y$13,$W$8:$W$13,H48)</f>
        <v>413.92145835777563</v>
      </c>
      <c r="J48">
        <f t="shared" si="0"/>
        <v>124.17643750733268</v>
      </c>
      <c r="K48">
        <v>8.3732119023053622E-2</v>
      </c>
      <c r="L48" s="2">
        <f t="shared" si="1"/>
        <v>1483.0203625103968</v>
      </c>
    </row>
    <row r="49" spans="1:12" x14ac:dyDescent="0.3">
      <c r="A49">
        <v>42</v>
      </c>
      <c r="B49" t="s">
        <v>180</v>
      </c>
      <c r="C49" t="s">
        <v>147</v>
      </c>
      <c r="D49" t="s">
        <v>21</v>
      </c>
      <c r="E49" t="s">
        <v>94</v>
      </c>
      <c r="F49">
        <v>4.0999999999999996</v>
      </c>
      <c r="G49">
        <v>725850</v>
      </c>
      <c r="H49">
        <v>725850.375</v>
      </c>
      <c r="I49" cm="1">
        <f t="array" ref="I49">TREND($Y$8:$Y$13,$W$8:$W$13,H49)</f>
        <v>299.79290346626794</v>
      </c>
      <c r="J49">
        <f t="shared" si="0"/>
        <v>89.937871039880378</v>
      </c>
      <c r="K49">
        <v>0.22299558014397355</v>
      </c>
      <c r="L49" s="2">
        <f t="shared" si="1"/>
        <v>403.31683247629132</v>
      </c>
    </row>
    <row r="50" spans="1:12" x14ac:dyDescent="0.3">
      <c r="A50">
        <v>43</v>
      </c>
      <c r="B50" t="s">
        <v>181</v>
      </c>
      <c r="C50" t="s">
        <v>148</v>
      </c>
      <c r="D50" t="s">
        <v>21</v>
      </c>
      <c r="E50" t="s">
        <v>95</v>
      </c>
      <c r="F50">
        <v>4.0999999999999996</v>
      </c>
      <c r="G50">
        <v>1045034</v>
      </c>
      <c r="H50">
        <v>1045033.875</v>
      </c>
      <c r="I50" cm="1">
        <f t="array" ref="I50">TREND($Y$8:$Y$13,$W$8:$W$13,H50)</f>
        <v>436.05359983653238</v>
      </c>
      <c r="J50">
        <f t="shared" si="0"/>
        <v>130.8160799509597</v>
      </c>
      <c r="K50">
        <v>0.1175417454223521</v>
      </c>
      <c r="L50" s="2">
        <f t="shared" si="1"/>
        <v>1112.9329369826025</v>
      </c>
    </row>
    <row r="51" spans="1:12" x14ac:dyDescent="0.3">
      <c r="A51">
        <v>44</v>
      </c>
      <c r="B51" t="s">
        <v>182</v>
      </c>
      <c r="C51" t="s">
        <v>149</v>
      </c>
      <c r="D51" t="s">
        <v>21</v>
      </c>
      <c r="E51" t="s">
        <v>96</v>
      </c>
      <c r="F51">
        <v>4.1100000000000003</v>
      </c>
      <c r="G51">
        <v>720263</v>
      </c>
      <c r="H51">
        <v>720263.31299999997</v>
      </c>
      <c r="I51" cm="1">
        <f t="array" ref="I51">TREND($Y$8:$Y$13,$W$8:$W$13,H51)</f>
        <v>297.40776463928017</v>
      </c>
      <c r="J51">
        <f t="shared" si="0"/>
        <v>89.222329391784058</v>
      </c>
      <c r="K51">
        <v>0.11351678989862611</v>
      </c>
      <c r="L51" s="2">
        <f t="shared" si="1"/>
        <v>785.98354896630065</v>
      </c>
    </row>
    <row r="52" spans="1:12" x14ac:dyDescent="0.3">
      <c r="A52">
        <v>45</v>
      </c>
      <c r="B52" t="s">
        <v>183</v>
      </c>
      <c r="C52" t="s">
        <v>150</v>
      </c>
      <c r="D52" t="s">
        <v>21</v>
      </c>
      <c r="E52" t="s">
        <v>97</v>
      </c>
      <c r="F52">
        <v>4.0999999999999996</v>
      </c>
      <c r="G52">
        <v>386901</v>
      </c>
      <c r="H52">
        <v>386901.15600000002</v>
      </c>
      <c r="I52" cm="1">
        <f t="array" ref="I52">TREND($Y$8:$Y$13,$W$8:$W$13,H52)</f>
        <v>155.09414361465505</v>
      </c>
      <c r="J52">
        <f t="shared" si="0"/>
        <v>46.528243084396522</v>
      </c>
      <c r="K52">
        <v>8.4537110127798853E-2</v>
      </c>
      <c r="L52" s="2">
        <f t="shared" si="1"/>
        <v>550.38837989679939</v>
      </c>
    </row>
    <row r="53" spans="1:12" x14ac:dyDescent="0.3">
      <c r="A53">
        <v>46</v>
      </c>
      <c r="B53" t="s">
        <v>184</v>
      </c>
      <c r="C53" t="s">
        <v>151</v>
      </c>
      <c r="D53" t="s">
        <v>21</v>
      </c>
      <c r="E53" t="s">
        <v>98</v>
      </c>
      <c r="F53">
        <v>4.0999999999999996</v>
      </c>
      <c r="G53">
        <v>1225295</v>
      </c>
      <c r="H53">
        <v>1225295.25</v>
      </c>
      <c r="I53" cm="1">
        <f t="array" ref="I53">TREND($Y$8:$Y$13,$W$8:$W$13,H53)</f>
        <v>513.00789254327128</v>
      </c>
      <c r="J53">
        <f t="shared" si="0"/>
        <v>153.90236776298138</v>
      </c>
      <c r="K53">
        <v>0.1078818521654097</v>
      </c>
      <c r="L53" s="2">
        <f t="shared" si="1"/>
        <v>1426.582550019727</v>
      </c>
    </row>
    <row r="54" spans="1:12" x14ac:dyDescent="0.3">
      <c r="A54">
        <v>47</v>
      </c>
      <c r="B54" t="s">
        <v>185</v>
      </c>
      <c r="C54" t="s">
        <v>152</v>
      </c>
      <c r="D54" t="s">
        <v>21</v>
      </c>
      <c r="E54" t="s">
        <v>99</v>
      </c>
      <c r="F54">
        <v>4.0999999999999996</v>
      </c>
      <c r="G54">
        <v>880612</v>
      </c>
      <c r="H54">
        <v>880611.56299999997</v>
      </c>
      <c r="I54" cm="1">
        <f t="array" ref="I54">TREND($Y$8:$Y$13,$W$8:$W$13,H54)</f>
        <v>365.86106566127302</v>
      </c>
      <c r="J54">
        <f t="shared" si="0"/>
        <v>109.7583196983819</v>
      </c>
      <c r="K54">
        <v>0.14813140740266978</v>
      </c>
      <c r="L54" s="2">
        <f t="shared" si="1"/>
        <v>740.95238560734629</v>
      </c>
    </row>
    <row r="55" spans="1:12" x14ac:dyDescent="0.3">
      <c r="A55">
        <v>48</v>
      </c>
      <c r="B55" t="s">
        <v>186</v>
      </c>
      <c r="C55" t="s">
        <v>153</v>
      </c>
      <c r="D55" t="s">
        <v>21</v>
      </c>
      <c r="E55" t="s">
        <v>100</v>
      </c>
      <c r="F55">
        <v>4.0999999999999996</v>
      </c>
      <c r="G55">
        <v>474033</v>
      </c>
      <c r="H55">
        <v>474033.375</v>
      </c>
      <c r="I55" cm="1">
        <f t="array" ref="I55">TREND($Y$8:$Y$13,$W$8:$W$13,H55)</f>
        <v>192.29123192663354</v>
      </c>
      <c r="J55">
        <f t="shared" si="0"/>
        <v>57.687369577990069</v>
      </c>
      <c r="K55">
        <v>6.6022314718659172E-2</v>
      </c>
      <c r="L55" s="2">
        <f t="shared" si="1"/>
        <v>873.75563586059047</v>
      </c>
    </row>
    <row r="56" spans="1:12" x14ac:dyDescent="0.3">
      <c r="A56">
        <v>49</v>
      </c>
      <c r="B56" t="s">
        <v>187</v>
      </c>
      <c r="C56" t="s">
        <v>154</v>
      </c>
      <c r="D56" t="s">
        <v>21</v>
      </c>
      <c r="E56" t="s">
        <v>20</v>
      </c>
      <c r="F56">
        <v>4.0999999999999996</v>
      </c>
      <c r="G56">
        <v>712633</v>
      </c>
      <c r="H56">
        <v>712632.68799999997</v>
      </c>
      <c r="I56" cm="1">
        <f t="array" ref="I56">TREND($Y$8:$Y$13,$W$8:$W$13,H56)</f>
        <v>294.15022069906911</v>
      </c>
      <c r="J56">
        <f t="shared" si="0"/>
        <v>88.245066209720733</v>
      </c>
      <c r="K56">
        <v>0.22621554456295434</v>
      </c>
      <c r="L56" s="2">
        <f t="shared" si="1"/>
        <v>390.09284874834361</v>
      </c>
    </row>
    <row r="57" spans="1:12" x14ac:dyDescent="0.3">
      <c r="A57">
        <v>50</v>
      </c>
      <c r="B57" t="s">
        <v>188</v>
      </c>
      <c r="C57" t="s">
        <v>155</v>
      </c>
      <c r="D57" t="s">
        <v>21</v>
      </c>
      <c r="E57" t="s">
        <v>22</v>
      </c>
      <c r="F57">
        <v>4.0999999999999996</v>
      </c>
      <c r="G57">
        <v>413455</v>
      </c>
      <c r="H57">
        <v>413455.125</v>
      </c>
      <c r="I57" cm="1">
        <f t="array" ref="I57">TREND($Y$8:$Y$13,$W$8:$W$13,H57)</f>
        <v>166.43013782279681</v>
      </c>
      <c r="J57">
        <f t="shared" si="0"/>
        <v>49.929041346839043</v>
      </c>
      <c r="K57">
        <v>0.21897062462024752</v>
      </c>
      <c r="L57" s="2">
        <f t="shared" si="1"/>
        <v>228.01707504570118</v>
      </c>
    </row>
    <row r="58" spans="1:12" x14ac:dyDescent="0.3">
      <c r="A58">
        <v>51</v>
      </c>
      <c r="B58" t="s">
        <v>189</v>
      </c>
      <c r="C58" t="s">
        <v>156</v>
      </c>
      <c r="D58" t="s">
        <v>21</v>
      </c>
      <c r="E58" t="s">
        <v>23</v>
      </c>
      <c r="F58">
        <v>4.0999999999999996</v>
      </c>
      <c r="G58">
        <v>623226</v>
      </c>
      <c r="H58">
        <v>623226.06299999997</v>
      </c>
      <c r="I58" cm="1">
        <f t="array" ref="I58">TREND($Y$8:$Y$13,$W$8:$W$13,H58)</f>
        <v>255.98217948573858</v>
      </c>
      <c r="J58">
        <f t="shared" si="0"/>
        <v>76.794653845721569</v>
      </c>
      <c r="K58">
        <v>0.11271179879388092</v>
      </c>
      <c r="L58" s="2">
        <f t="shared" si="1"/>
        <v>681.3364232271548</v>
      </c>
    </row>
    <row r="59" spans="1:12" x14ac:dyDescent="0.3">
      <c r="A59">
        <v>52</v>
      </c>
      <c r="B59" t="s">
        <v>190</v>
      </c>
      <c r="C59" t="s">
        <v>157</v>
      </c>
      <c r="D59" t="s">
        <v>21</v>
      </c>
      <c r="E59" t="s">
        <v>24</v>
      </c>
      <c r="F59">
        <v>4.0999999999999996</v>
      </c>
      <c r="G59">
        <v>712985</v>
      </c>
      <c r="H59">
        <v>712985.06299999997</v>
      </c>
      <c r="I59" cm="1">
        <f t="array" ref="I59">TREND($Y$8:$Y$13,$W$8:$W$13,H59)</f>
        <v>294.30065097783813</v>
      </c>
      <c r="J59">
        <f t="shared" si="0"/>
        <v>88.290195293351445</v>
      </c>
      <c r="K59">
        <v>9.1782030070505644E-2</v>
      </c>
      <c r="L59" s="2">
        <f t="shared" si="1"/>
        <v>961.95513681194655</v>
      </c>
    </row>
    <row r="60" spans="1:12" x14ac:dyDescent="0.3">
      <c r="A60">
        <v>53</v>
      </c>
      <c r="B60" t="s">
        <v>191</v>
      </c>
      <c r="C60" t="s">
        <v>158</v>
      </c>
      <c r="D60" t="s">
        <v>21</v>
      </c>
      <c r="E60" t="s">
        <v>25</v>
      </c>
      <c r="F60">
        <v>4.0999999999999996</v>
      </c>
      <c r="G60">
        <v>799537</v>
      </c>
      <c r="H60">
        <v>799536.56299999997</v>
      </c>
      <c r="I60" cm="1">
        <f t="array" ref="I60">TREND($Y$8:$Y$13,$W$8:$W$13,H60)</f>
        <v>331.24982805588553</v>
      </c>
      <c r="J60">
        <f t="shared" si="0"/>
        <v>99.374948416765648</v>
      </c>
      <c r="K60">
        <v>0.16584121170706426</v>
      </c>
      <c r="L60" s="2">
        <f t="shared" si="1"/>
        <v>599.21745260941441</v>
      </c>
    </row>
    <row r="61" spans="1:12" x14ac:dyDescent="0.3">
      <c r="A61">
        <v>54</v>
      </c>
      <c r="B61" t="s">
        <v>192</v>
      </c>
      <c r="C61" t="s">
        <v>159</v>
      </c>
      <c r="D61" t="s">
        <v>21</v>
      </c>
      <c r="E61" t="s">
        <v>26</v>
      </c>
      <c r="F61">
        <v>4.0999999999999996</v>
      </c>
      <c r="G61">
        <v>525353</v>
      </c>
      <c r="H61">
        <v>525353.31299999997</v>
      </c>
      <c r="I61" cm="1">
        <f t="array" ref="I61">TREND($Y$8:$Y$13,$W$8:$W$13,H61)</f>
        <v>214.19991608342357</v>
      </c>
      <c r="J61">
        <f t="shared" si="0"/>
        <v>64.259974825027072</v>
      </c>
      <c r="K61">
        <v>0.20850574025855992</v>
      </c>
      <c r="L61" s="2">
        <f t="shared" si="1"/>
        <v>308.19283318215008</v>
      </c>
    </row>
    <row r="62" spans="1:12" x14ac:dyDescent="0.3">
      <c r="A62">
        <v>55</v>
      </c>
      <c r="B62" t="s">
        <v>193</v>
      </c>
      <c r="C62" t="s">
        <v>160</v>
      </c>
      <c r="D62" t="s">
        <v>21</v>
      </c>
      <c r="E62" t="s">
        <v>27</v>
      </c>
      <c r="F62">
        <v>4.0999999999999996</v>
      </c>
      <c r="G62">
        <v>449113</v>
      </c>
      <c r="H62">
        <v>449112.84399999998</v>
      </c>
      <c r="I62" cm="1">
        <f t="array" ref="I62">TREND($Y$8:$Y$13,$W$8:$W$13,H62)</f>
        <v>181.65255884993388</v>
      </c>
      <c r="J62">
        <f t="shared" si="0"/>
        <v>54.49576765498017</v>
      </c>
      <c r="K62">
        <v>0.15457133624063138</v>
      </c>
      <c r="L62" s="2">
        <f t="shared" si="1"/>
        <v>352.56062980618231</v>
      </c>
    </row>
    <row r="63" spans="1:12" x14ac:dyDescent="0.3">
      <c r="A63">
        <v>56</v>
      </c>
      <c r="B63" t="s">
        <v>194</v>
      </c>
      <c r="C63" t="s">
        <v>161</v>
      </c>
      <c r="D63" t="s">
        <v>21</v>
      </c>
      <c r="E63" t="s">
        <v>28</v>
      </c>
      <c r="F63">
        <v>4.0999999999999996</v>
      </c>
      <c r="G63">
        <v>687932</v>
      </c>
      <c r="H63">
        <v>687931.68799999997</v>
      </c>
      <c r="I63" cm="1">
        <f t="array" ref="I63">TREND($Y$8:$Y$13,$W$8:$W$13,H63)</f>
        <v>283.60526627303551</v>
      </c>
      <c r="J63">
        <f t="shared" si="0"/>
        <v>85.081579881910642</v>
      </c>
      <c r="K63">
        <v>0.22863051787718996</v>
      </c>
      <c r="L63" s="2">
        <f t="shared" si="1"/>
        <v>372.13570905530923</v>
      </c>
    </row>
    <row r="64" spans="1:12" x14ac:dyDescent="0.3">
      <c r="A64">
        <v>57</v>
      </c>
      <c r="B64" t="s">
        <v>195</v>
      </c>
      <c r="C64" t="s">
        <v>162</v>
      </c>
      <c r="D64" t="s">
        <v>21</v>
      </c>
      <c r="E64" t="s">
        <v>29</v>
      </c>
      <c r="F64">
        <v>4.09</v>
      </c>
      <c r="G64">
        <v>1137391</v>
      </c>
      <c r="H64">
        <v>1137390.5</v>
      </c>
      <c r="I64" cm="1">
        <f t="array" ref="I64">TREND($Y$8:$Y$13,$W$8:$W$13,H64)</f>
        <v>475.48100769723754</v>
      </c>
      <c r="J64">
        <f t="shared" si="0"/>
        <v>142.64430230917125</v>
      </c>
      <c r="K64">
        <v>0.19079593595416544</v>
      </c>
      <c r="L64" s="2">
        <f t="shared" si="1"/>
        <v>747.62757181284212</v>
      </c>
    </row>
    <row r="65" spans="1:12" x14ac:dyDescent="0.3">
      <c r="A65">
        <v>58</v>
      </c>
      <c r="B65" t="s">
        <v>196</v>
      </c>
      <c r="C65" t="s">
        <v>163</v>
      </c>
      <c r="D65" t="s">
        <v>21</v>
      </c>
      <c r="E65" t="s">
        <v>30</v>
      </c>
      <c r="F65">
        <v>4.09</v>
      </c>
      <c r="G65">
        <v>651129</v>
      </c>
      <c r="H65">
        <v>651128.68799999997</v>
      </c>
      <c r="I65" cm="1">
        <f t="array" ref="I65">TREND($Y$8:$Y$13,$W$8:$W$13,H65)</f>
        <v>267.89392026512832</v>
      </c>
      <c r="J65">
        <f t="shared" si="0"/>
        <v>80.3681760795385</v>
      </c>
      <c r="K65">
        <v>0.13122659420302052</v>
      </c>
      <c r="L65" s="2">
        <f t="shared" si="1"/>
        <v>612.43817663362495</v>
      </c>
    </row>
    <row r="66" spans="1:12" x14ac:dyDescent="0.3">
      <c r="A66">
        <v>59</v>
      </c>
      <c r="B66" t="s">
        <v>197</v>
      </c>
      <c r="C66" t="s">
        <v>164</v>
      </c>
      <c r="D66" t="s">
        <v>21</v>
      </c>
      <c r="E66" t="s">
        <v>31</v>
      </c>
      <c r="F66">
        <v>4.09</v>
      </c>
      <c r="G66">
        <v>573959</v>
      </c>
      <c r="H66">
        <v>573959.06299999997</v>
      </c>
      <c r="I66" cm="1">
        <f t="array" ref="I66">TREND($Y$8:$Y$13,$W$8:$W$13,H66)</f>
        <v>234.94990266668677</v>
      </c>
      <c r="J66">
        <f t="shared" si="0"/>
        <v>70.484970800006025</v>
      </c>
      <c r="K66">
        <v>0.13927650525047255</v>
      </c>
      <c r="L66" s="2">
        <f t="shared" si="1"/>
        <v>506.07940422720276</v>
      </c>
    </row>
    <row r="67" spans="1:12" x14ac:dyDescent="0.3">
      <c r="A67">
        <v>60</v>
      </c>
      <c r="B67" t="s">
        <v>198</v>
      </c>
      <c r="C67" t="s">
        <v>165</v>
      </c>
      <c r="D67" t="s">
        <v>21</v>
      </c>
      <c r="E67" t="s">
        <v>32</v>
      </c>
      <c r="F67">
        <v>4.09</v>
      </c>
      <c r="G67">
        <v>751828</v>
      </c>
      <c r="H67">
        <v>751827.5</v>
      </c>
      <c r="I67" cm="1">
        <f t="array" ref="I67">TREND($Y$8:$Y$13,$W$8:$W$13,H67)</f>
        <v>310.88264069327812</v>
      </c>
      <c r="J67">
        <f t="shared" si="0"/>
        <v>93.264792207983447</v>
      </c>
      <c r="K67">
        <v>9.7416967803722054E-2</v>
      </c>
      <c r="L67" s="2">
        <f t="shared" si="1"/>
        <v>957.37728560691289</v>
      </c>
    </row>
    <row r="68" spans="1:12" x14ac:dyDescent="0.3">
      <c r="A68">
        <v>61</v>
      </c>
      <c r="B68" t="s">
        <v>199</v>
      </c>
      <c r="C68" t="s">
        <v>166</v>
      </c>
      <c r="D68" t="s">
        <v>21</v>
      </c>
      <c r="E68" t="s">
        <v>33</v>
      </c>
      <c r="F68">
        <v>4.0999999999999996</v>
      </c>
      <c r="G68">
        <v>477060</v>
      </c>
      <c r="H68">
        <v>477060.21899999998</v>
      </c>
      <c r="I68" cm="1">
        <f t="array" ref="I68">TREND($Y$8:$Y$13,$W$8:$W$13,H68)</f>
        <v>193.58340358100838</v>
      </c>
      <c r="J68">
        <f t="shared" si="0"/>
        <v>58.075021074302519</v>
      </c>
      <c r="K68">
        <v>7.4877216870856411E-2</v>
      </c>
      <c r="L68" s="2">
        <f t="shared" si="1"/>
        <v>775.60336109269019</v>
      </c>
    </row>
    <row r="69" spans="1:12" x14ac:dyDescent="0.3">
      <c r="A69">
        <v>62</v>
      </c>
      <c r="B69" t="s">
        <v>200</v>
      </c>
      <c r="C69" t="s">
        <v>167</v>
      </c>
      <c r="D69" t="s">
        <v>21</v>
      </c>
      <c r="E69" t="s">
        <v>34</v>
      </c>
      <c r="F69">
        <v>4.0999999999999996</v>
      </c>
      <c r="G69">
        <v>684237</v>
      </c>
      <c r="H69">
        <v>684236.93799999997</v>
      </c>
      <c r="I69" cm="1">
        <f t="array" ref="I69">TREND($Y$8:$Y$13,$W$8:$W$13,H69)</f>
        <v>282.0279629101924</v>
      </c>
      <c r="J69">
        <f t="shared" si="0"/>
        <v>84.60838887305772</v>
      </c>
      <c r="K69">
        <v>0.14491144298368897</v>
      </c>
      <c r="L69" s="2">
        <f t="shared" si="1"/>
        <v>583.86271733268939</v>
      </c>
    </row>
    <row r="70" spans="1:12" x14ac:dyDescent="0.3">
      <c r="A70">
        <v>63</v>
      </c>
      <c r="B70" t="s">
        <v>201</v>
      </c>
      <c r="C70" t="s">
        <v>168</v>
      </c>
      <c r="D70" t="s">
        <v>21</v>
      </c>
      <c r="E70" t="s">
        <v>35</v>
      </c>
      <c r="F70">
        <v>4.0999999999999996</v>
      </c>
      <c r="G70">
        <v>959134</v>
      </c>
      <c r="H70">
        <v>959133.68799999997</v>
      </c>
      <c r="I70" cm="1">
        <f t="array" ref="I70">TREND($Y$8:$Y$13,$W$8:$W$13,H70)</f>
        <v>399.38247084973972</v>
      </c>
      <c r="J70">
        <f t="shared" si="0"/>
        <v>119.81474125492193</v>
      </c>
      <c r="K70">
        <v>0.14571643408843418</v>
      </c>
      <c r="L70" s="2">
        <f t="shared" si="1"/>
        <v>822.24590523679217</v>
      </c>
    </row>
    <row r="71" spans="1:12" x14ac:dyDescent="0.3">
      <c r="A71">
        <v>64</v>
      </c>
      <c r="B71" t="s">
        <v>202</v>
      </c>
      <c r="C71" t="s">
        <v>169</v>
      </c>
      <c r="D71" t="s">
        <v>21</v>
      </c>
      <c r="E71" t="s">
        <v>36</v>
      </c>
      <c r="F71">
        <v>4.0999999999999996</v>
      </c>
      <c r="G71">
        <v>848400</v>
      </c>
      <c r="H71">
        <v>848399.875</v>
      </c>
      <c r="I71" cm="1">
        <f t="array" ref="I71">TREND($Y$8:$Y$13,$W$8:$W$13,H71)</f>
        <v>352.10976887387113</v>
      </c>
      <c r="J71">
        <f t="shared" si="0"/>
        <v>105.63293066216133</v>
      </c>
      <c r="K71">
        <v>0.26405012648597881</v>
      </c>
      <c r="L71" s="2">
        <f t="shared" si="1"/>
        <v>400.04877887369804</v>
      </c>
    </row>
    <row r="72" spans="1:12" x14ac:dyDescent="0.3">
      <c r="A72">
        <v>65</v>
      </c>
      <c r="B72" t="s">
        <v>203</v>
      </c>
      <c r="C72" t="s">
        <v>170</v>
      </c>
      <c r="D72" t="s">
        <v>21</v>
      </c>
      <c r="E72" t="s">
        <v>37</v>
      </c>
      <c r="F72">
        <v>4.1100000000000003</v>
      </c>
      <c r="G72">
        <v>662530</v>
      </c>
      <c r="H72">
        <v>662530.31299999997</v>
      </c>
      <c r="I72" cm="1">
        <f t="array" ref="I72">TREND($Y$8:$Y$13,$W$8:$W$13,H72)</f>
        <v>272.76131899423751</v>
      </c>
      <c r="J72">
        <f t="shared" si="0"/>
        <v>81.828395698271265</v>
      </c>
      <c r="K72">
        <v>0.17469611385926145</v>
      </c>
      <c r="L72" s="2">
        <f t="shared" si="1"/>
        <v>468.40421283895182</v>
      </c>
    </row>
    <row r="73" spans="1:12" x14ac:dyDescent="0.3">
      <c r="A73">
        <v>66</v>
      </c>
      <c r="B73" t="s">
        <v>204</v>
      </c>
      <c r="C73" t="s">
        <v>171</v>
      </c>
      <c r="D73" t="s">
        <v>21</v>
      </c>
      <c r="E73" t="s">
        <v>38</v>
      </c>
      <c r="F73">
        <v>4.0999999999999996</v>
      </c>
      <c r="G73">
        <v>638195</v>
      </c>
      <c r="H73">
        <v>638195</v>
      </c>
      <c r="I73" cm="1">
        <f t="array" ref="I73">TREND($Y$8:$Y$13,$W$8:$W$13,H73)</f>
        <v>262.37247779233218</v>
      </c>
      <c r="J73">
        <f t="shared" ref="J73" si="2">I73/(2/0.2)*3</f>
        <v>78.711743337699659</v>
      </c>
      <c r="K73">
        <v>0.1175417454223521</v>
      </c>
      <c r="L73" s="2">
        <f t="shared" ref="L73" si="3">J73/K73</f>
        <v>669.64926422414339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B388-ACF3-4BE1-9CAC-48BE3C66F391}">
  <dimension ref="A1:AB73"/>
  <sheetViews>
    <sheetView workbookViewId="0">
      <selection activeCell="N26" sqref="N26"/>
    </sheetView>
  </sheetViews>
  <sheetFormatPr defaultRowHeight="16.5" x14ac:dyDescent="0.3"/>
  <cols>
    <col min="12" max="12" width="16.75" customWidth="1"/>
  </cols>
  <sheetData>
    <row r="1" spans="1:28" x14ac:dyDescent="0.3">
      <c r="A1" t="s">
        <v>0</v>
      </c>
      <c r="Q1" t="s">
        <v>0</v>
      </c>
    </row>
    <row r="3" spans="1:28" x14ac:dyDescent="0.3">
      <c r="A3" t="s">
        <v>259</v>
      </c>
      <c r="Q3" t="s">
        <v>220</v>
      </c>
    </row>
    <row r="5" spans="1:28" x14ac:dyDescent="0.3">
      <c r="A5" t="s">
        <v>105</v>
      </c>
      <c r="Q5" t="s">
        <v>73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5</v>
      </c>
      <c r="G7" s="3" t="s">
        <v>6</v>
      </c>
      <c r="H7" s="3" t="s">
        <v>7</v>
      </c>
      <c r="I7" s="3" t="s">
        <v>9</v>
      </c>
      <c r="J7" s="3" t="s">
        <v>260</v>
      </c>
      <c r="K7" s="3" t="s">
        <v>261</v>
      </c>
      <c r="L7" s="4" t="s">
        <v>262</v>
      </c>
      <c r="R7" t="s">
        <v>1</v>
      </c>
      <c r="S7" t="s">
        <v>2</v>
      </c>
      <c r="T7" t="s">
        <v>3</v>
      </c>
      <c r="U7" t="s">
        <v>4</v>
      </c>
      <c r="V7" t="s">
        <v>5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B7" t="s">
        <v>11</v>
      </c>
    </row>
    <row r="8" spans="1:28" x14ac:dyDescent="0.3">
      <c r="A8">
        <v>1</v>
      </c>
      <c r="B8" t="s">
        <v>221</v>
      </c>
      <c r="C8" t="s">
        <v>106</v>
      </c>
      <c r="D8" t="s">
        <v>21</v>
      </c>
      <c r="E8" t="s">
        <v>39</v>
      </c>
      <c r="F8">
        <v>4.2300000000000004</v>
      </c>
      <c r="G8">
        <v>68169</v>
      </c>
      <c r="H8">
        <v>68169.358999999997</v>
      </c>
      <c r="I8" cm="1">
        <f t="array" ref="I8">TREND($Y$8:$Y$11,$W$8:$W$11,H8)</f>
        <v>30.74318713950575</v>
      </c>
      <c r="J8">
        <f>I8/(2/0.2)*3</f>
        <v>9.222956141851725</v>
      </c>
      <c r="K8">
        <v>0.14813140740266978</v>
      </c>
      <c r="L8" s="2">
        <f>J8/K8</f>
        <v>62.261989564310987</v>
      </c>
      <c r="Q8">
        <v>1</v>
      </c>
      <c r="R8" t="s">
        <v>206</v>
      </c>
      <c r="S8" t="s">
        <v>207</v>
      </c>
      <c r="T8" t="s">
        <v>12</v>
      </c>
      <c r="U8" t="s">
        <v>208</v>
      </c>
      <c r="V8">
        <v>4.25</v>
      </c>
      <c r="W8">
        <v>16737</v>
      </c>
      <c r="X8">
        <v>16737.27</v>
      </c>
      <c r="Y8">
        <v>5</v>
      </c>
      <c r="Z8">
        <v>4.1660000000000004</v>
      </c>
      <c r="AA8">
        <v>-16.7</v>
      </c>
      <c r="AB8">
        <v>62</v>
      </c>
    </row>
    <row r="9" spans="1:28" x14ac:dyDescent="0.3">
      <c r="A9">
        <v>2</v>
      </c>
      <c r="B9" t="s">
        <v>222</v>
      </c>
      <c r="C9" t="s">
        <v>107</v>
      </c>
      <c r="D9" t="s">
        <v>21</v>
      </c>
      <c r="E9" t="s">
        <v>40</v>
      </c>
      <c r="F9">
        <v>4.2300000000000004</v>
      </c>
      <c r="G9">
        <v>30560</v>
      </c>
      <c r="H9">
        <v>30560.057000000001</v>
      </c>
      <c r="I9" cm="1">
        <f t="array" ref="I9">TREND($Y$8:$Y$11,$W$8:$W$11,H9)</f>
        <v>11.917450779530812</v>
      </c>
      <c r="J9">
        <f t="shared" ref="J9:J72" si="0">I9/(2/0.2)*3</f>
        <v>3.5752352338592432</v>
      </c>
      <c r="K9">
        <v>0.11673675431760691</v>
      </c>
      <c r="L9" s="2">
        <f t="shared" ref="L9:L72" si="1">J9/K9</f>
        <v>30.626474538876277</v>
      </c>
      <c r="Q9">
        <v>2</v>
      </c>
      <c r="R9" t="s">
        <v>209</v>
      </c>
      <c r="S9" t="s">
        <v>62</v>
      </c>
      <c r="T9" t="s">
        <v>12</v>
      </c>
      <c r="U9" t="s">
        <v>13</v>
      </c>
      <c r="V9">
        <v>4.24</v>
      </c>
      <c r="W9">
        <v>26667</v>
      </c>
      <c r="X9">
        <v>26666.945</v>
      </c>
      <c r="Y9">
        <v>10</v>
      </c>
      <c r="Z9">
        <v>9.6859999999999999</v>
      </c>
      <c r="AA9">
        <v>-3.1</v>
      </c>
      <c r="AB9">
        <v>68</v>
      </c>
    </row>
    <row r="10" spans="1:28" x14ac:dyDescent="0.3">
      <c r="A10">
        <v>3</v>
      </c>
      <c r="B10" t="s">
        <v>223</v>
      </c>
      <c r="C10" t="s">
        <v>108</v>
      </c>
      <c r="D10" t="s">
        <v>21</v>
      </c>
      <c r="E10" t="s">
        <v>41</v>
      </c>
      <c r="F10">
        <v>4.2300000000000004</v>
      </c>
      <c r="G10">
        <v>51043</v>
      </c>
      <c r="H10">
        <v>51043.324000000001</v>
      </c>
      <c r="I10" cm="1">
        <f t="array" ref="I10">TREND($Y$8:$Y$11,$W$8:$W$11,H10)</f>
        <v>22.170568062403404</v>
      </c>
      <c r="J10">
        <f t="shared" si="0"/>
        <v>6.6511704187210219</v>
      </c>
      <c r="K10">
        <v>8.6147092337289247E-2</v>
      </c>
      <c r="L10" s="2">
        <f t="shared" si="1"/>
        <v>77.207137678888628</v>
      </c>
      <c r="Q10">
        <v>3</v>
      </c>
      <c r="R10" t="s">
        <v>210</v>
      </c>
      <c r="S10" t="s">
        <v>63</v>
      </c>
      <c r="T10" t="s">
        <v>12</v>
      </c>
      <c r="U10" t="s">
        <v>14</v>
      </c>
      <c r="V10">
        <v>4.24</v>
      </c>
      <c r="W10">
        <v>46796</v>
      </c>
      <c r="X10">
        <v>46796.163999999997</v>
      </c>
      <c r="Y10">
        <v>20</v>
      </c>
      <c r="Z10">
        <v>20.888999999999999</v>
      </c>
      <c r="AA10">
        <v>4.4000000000000004</v>
      </c>
      <c r="AB10">
        <v>130</v>
      </c>
    </row>
    <row r="11" spans="1:28" x14ac:dyDescent="0.3">
      <c r="A11">
        <v>4</v>
      </c>
      <c r="B11" t="s">
        <v>224</v>
      </c>
      <c r="C11" t="s">
        <v>109</v>
      </c>
      <c r="D11" t="s">
        <v>21</v>
      </c>
      <c r="E11" t="s">
        <v>42</v>
      </c>
      <c r="F11">
        <v>4.2300000000000004</v>
      </c>
      <c r="G11">
        <v>54288</v>
      </c>
      <c r="H11">
        <v>54287.542999999998</v>
      </c>
      <c r="I11" cm="1">
        <f t="array" ref="I11">TREND($Y$8:$Y$11,$W$8:$W$11,H11)</f>
        <v>23.794496408322228</v>
      </c>
      <c r="J11">
        <f t="shared" si="0"/>
        <v>7.138348922496669</v>
      </c>
      <c r="K11">
        <v>8.9367056756270047E-2</v>
      </c>
      <c r="L11" s="2">
        <f t="shared" si="1"/>
        <v>79.876737374992913</v>
      </c>
      <c r="Q11">
        <v>4</v>
      </c>
      <c r="R11" t="s">
        <v>211</v>
      </c>
      <c r="S11" t="s">
        <v>64</v>
      </c>
      <c r="T11" t="s">
        <v>12</v>
      </c>
      <c r="U11" t="s">
        <v>15</v>
      </c>
      <c r="V11">
        <v>4.24</v>
      </c>
      <c r="W11">
        <v>106617</v>
      </c>
      <c r="X11">
        <v>106617.367</v>
      </c>
      <c r="Y11">
        <v>50</v>
      </c>
      <c r="Z11">
        <v>54.286000000000001</v>
      </c>
      <c r="AA11">
        <v>8.6</v>
      </c>
      <c r="AB11">
        <v>388</v>
      </c>
    </row>
    <row r="12" spans="1:28" x14ac:dyDescent="0.3">
      <c r="A12">
        <v>5</v>
      </c>
      <c r="B12" t="s">
        <v>225</v>
      </c>
      <c r="C12" t="s">
        <v>110</v>
      </c>
      <c r="D12" t="s">
        <v>21</v>
      </c>
      <c r="E12" t="s">
        <v>43</v>
      </c>
      <c r="F12">
        <v>4.2300000000000004</v>
      </c>
      <c r="G12">
        <v>50044</v>
      </c>
      <c r="H12">
        <v>50044.394999999997</v>
      </c>
      <c r="I12" cm="1">
        <f t="array" ref="I12">TREND($Y$8:$Y$11,$W$8:$W$11,H12)</f>
        <v>21.67054352070004</v>
      </c>
      <c r="J12">
        <f t="shared" si="0"/>
        <v>6.5011630562100127</v>
      </c>
      <c r="K12">
        <v>9.3392012279996037E-2</v>
      </c>
      <c r="L12" s="2">
        <f t="shared" si="1"/>
        <v>69.611553466896652</v>
      </c>
      <c r="Q12">
        <v>5</v>
      </c>
      <c r="R12" t="s">
        <v>212</v>
      </c>
      <c r="S12" t="s">
        <v>65</v>
      </c>
      <c r="T12" t="s">
        <v>12</v>
      </c>
      <c r="U12" t="s">
        <v>16</v>
      </c>
      <c r="V12">
        <v>4.25</v>
      </c>
      <c r="W12">
        <v>214249</v>
      </c>
      <c r="X12">
        <v>214249.25</v>
      </c>
      <c r="Y12">
        <v>100</v>
      </c>
      <c r="Z12">
        <v>114.765</v>
      </c>
      <c r="AA12">
        <v>14.8</v>
      </c>
      <c r="AB12">
        <v>698</v>
      </c>
    </row>
    <row r="13" spans="1:28" x14ac:dyDescent="0.3">
      <c r="A13">
        <v>6</v>
      </c>
      <c r="B13" t="s">
        <v>226</v>
      </c>
      <c r="C13" t="s">
        <v>111</v>
      </c>
      <c r="D13" t="s">
        <v>21</v>
      </c>
      <c r="E13" t="s">
        <v>44</v>
      </c>
      <c r="F13">
        <v>4.2300000000000004</v>
      </c>
      <c r="G13">
        <v>40305</v>
      </c>
      <c r="H13">
        <v>40305.453000000001</v>
      </c>
      <c r="I13" cm="1">
        <f t="array" ref="I13">TREND($Y$8:$Y$11,$W$8:$W$11,H13)</f>
        <v>16.795612459307648</v>
      </c>
      <c r="J13">
        <f t="shared" si="0"/>
        <v>5.0386837377922937</v>
      </c>
      <c r="K13">
        <v>0.18918595374467503</v>
      </c>
      <c r="L13" s="2">
        <f t="shared" si="1"/>
        <v>26.633498090415795</v>
      </c>
      <c r="Q13">
        <v>6</v>
      </c>
      <c r="R13" t="s">
        <v>213</v>
      </c>
      <c r="S13" t="s">
        <v>66</v>
      </c>
      <c r="T13" t="s">
        <v>12</v>
      </c>
      <c r="U13" t="s">
        <v>17</v>
      </c>
      <c r="V13">
        <v>4.24</v>
      </c>
      <c r="W13">
        <v>345962</v>
      </c>
      <c r="X13">
        <v>345962.25</v>
      </c>
      <c r="Y13">
        <v>200</v>
      </c>
      <c r="Z13">
        <v>189.476</v>
      </c>
      <c r="AA13">
        <v>-5.3</v>
      </c>
      <c r="AB13">
        <v>916</v>
      </c>
    </row>
    <row r="14" spans="1:28" x14ac:dyDescent="0.3">
      <c r="A14">
        <v>7</v>
      </c>
      <c r="B14" t="s">
        <v>227</v>
      </c>
      <c r="C14" t="s">
        <v>112</v>
      </c>
      <c r="D14" t="s">
        <v>21</v>
      </c>
      <c r="E14" t="s">
        <v>45</v>
      </c>
      <c r="F14">
        <v>4.24</v>
      </c>
      <c r="G14">
        <v>62738</v>
      </c>
      <c r="H14">
        <v>62737.644999999997</v>
      </c>
      <c r="I14" cm="1">
        <f t="array" ref="I14">TREND($Y$8:$Y$11,$W$8:$W$11,H14)</f>
        <v>28.024284891684587</v>
      </c>
      <c r="J14">
        <f t="shared" si="0"/>
        <v>8.4072854675053748</v>
      </c>
      <c r="K14">
        <v>9.2587021175250833E-2</v>
      </c>
      <c r="L14" s="2">
        <f t="shared" si="1"/>
        <v>90.804146853281651</v>
      </c>
      <c r="Q14">
        <v>7</v>
      </c>
      <c r="R14" t="s">
        <v>214</v>
      </c>
      <c r="S14" t="s">
        <v>67</v>
      </c>
      <c r="T14" t="s">
        <v>12</v>
      </c>
      <c r="U14" t="s">
        <v>18</v>
      </c>
      <c r="V14">
        <v>4.25</v>
      </c>
      <c r="W14">
        <v>847425</v>
      </c>
      <c r="X14">
        <v>847425.06299999997</v>
      </c>
      <c r="Y14">
        <v>500</v>
      </c>
      <c r="Z14">
        <v>481.40800000000002</v>
      </c>
      <c r="AA14">
        <v>-3.7</v>
      </c>
      <c r="AB14">
        <v>2393</v>
      </c>
    </row>
    <row r="15" spans="1:28" x14ac:dyDescent="0.3">
      <c r="A15">
        <v>8</v>
      </c>
      <c r="B15" t="s">
        <v>228</v>
      </c>
      <c r="C15" t="s">
        <v>113</v>
      </c>
      <c r="D15" t="s">
        <v>21</v>
      </c>
      <c r="E15" t="s">
        <v>46</v>
      </c>
      <c r="F15">
        <v>4.2300000000000004</v>
      </c>
      <c r="G15">
        <v>18542</v>
      </c>
      <c r="H15">
        <v>18541.535</v>
      </c>
      <c r="I15">
        <f>$Y$8*H15/$X$8</f>
        <v>5.5389962042794316</v>
      </c>
      <c r="J15">
        <f t="shared" si="0"/>
        <v>1.6616988612838295</v>
      </c>
      <c r="K15">
        <v>0.14974138961216016</v>
      </c>
      <c r="L15" s="2">
        <f t="shared" si="1"/>
        <v>11.0971246199046</v>
      </c>
      <c r="Q15">
        <v>8</v>
      </c>
      <c r="R15" t="s">
        <v>215</v>
      </c>
      <c r="S15" t="s">
        <v>68</v>
      </c>
      <c r="T15" t="s">
        <v>12</v>
      </c>
      <c r="U15" t="s">
        <v>19</v>
      </c>
      <c r="V15">
        <v>4.24</v>
      </c>
      <c r="W15">
        <v>1702652</v>
      </c>
      <c r="X15">
        <v>1702652</v>
      </c>
      <c r="Y15">
        <v>1000</v>
      </c>
      <c r="Z15">
        <v>1010.486</v>
      </c>
      <c r="AA15">
        <v>1</v>
      </c>
      <c r="AB15">
        <v>5483</v>
      </c>
    </row>
    <row r="16" spans="1:28" x14ac:dyDescent="0.3">
      <c r="A16">
        <v>9</v>
      </c>
      <c r="B16" t="s">
        <v>229</v>
      </c>
      <c r="C16" t="s">
        <v>114</v>
      </c>
      <c r="D16" t="s">
        <v>21</v>
      </c>
      <c r="E16" t="s">
        <v>47</v>
      </c>
      <c r="F16">
        <v>4.24</v>
      </c>
      <c r="G16">
        <v>61042</v>
      </c>
      <c r="H16">
        <v>61041.559000000001</v>
      </c>
      <c r="I16" cm="1">
        <f t="array" ref="I16">TREND($Y$8:$Y$11,$W$8:$W$11,H16)</f>
        <v>27.175290994381086</v>
      </c>
      <c r="J16">
        <f t="shared" si="0"/>
        <v>8.1525872983143266</v>
      </c>
      <c r="K16">
        <v>0.19965083810636269</v>
      </c>
      <c r="L16" s="2">
        <f t="shared" si="1"/>
        <v>40.834225268671744</v>
      </c>
    </row>
    <row r="17" spans="1:12" x14ac:dyDescent="0.3">
      <c r="A17">
        <v>10</v>
      </c>
      <c r="B17" t="s">
        <v>230</v>
      </c>
      <c r="C17" t="s">
        <v>115</v>
      </c>
      <c r="D17" t="s">
        <v>21</v>
      </c>
      <c r="E17" t="s">
        <v>48</v>
      </c>
      <c r="F17">
        <v>4.24</v>
      </c>
      <c r="G17">
        <v>87488</v>
      </c>
      <c r="H17">
        <v>87487.593999999997</v>
      </c>
      <c r="I17" cm="1">
        <f t="array" ref="I17">TREND($Y$8:$Y$11,$W$8:$W$11,H17)</f>
        <v>40.413135256331756</v>
      </c>
      <c r="J17">
        <f t="shared" si="0"/>
        <v>12.123940576899528</v>
      </c>
      <c r="K17">
        <v>0.22058060682973793</v>
      </c>
      <c r="L17" s="2">
        <f t="shared" si="1"/>
        <v>54.963764725961482</v>
      </c>
    </row>
    <row r="18" spans="1:12" x14ac:dyDescent="0.3">
      <c r="A18">
        <v>11</v>
      </c>
      <c r="B18" t="s">
        <v>231</v>
      </c>
      <c r="C18" t="s">
        <v>116</v>
      </c>
      <c r="D18" t="s">
        <v>21</v>
      </c>
      <c r="E18" t="s">
        <v>49</v>
      </c>
      <c r="F18">
        <v>4.24</v>
      </c>
      <c r="G18">
        <v>83666</v>
      </c>
      <c r="H18">
        <v>83665.75</v>
      </c>
      <c r="I18" cm="1">
        <f t="array" ref="I18">TREND($Y$8:$Y$11,$W$8:$W$11,H18)</f>
        <v>38.500070569490397</v>
      </c>
      <c r="J18">
        <f t="shared" si="0"/>
        <v>11.550021170847121</v>
      </c>
      <c r="K18">
        <v>0.12720163867929454</v>
      </c>
      <c r="L18" s="2">
        <f t="shared" si="1"/>
        <v>90.800883469492561</v>
      </c>
    </row>
    <row r="19" spans="1:12" x14ac:dyDescent="0.3">
      <c r="A19">
        <v>12</v>
      </c>
      <c r="B19" t="s">
        <v>232</v>
      </c>
      <c r="C19" t="s">
        <v>117</v>
      </c>
      <c r="D19" t="s">
        <v>21</v>
      </c>
      <c r="E19" t="s">
        <v>50</v>
      </c>
      <c r="F19">
        <v>4.2300000000000004</v>
      </c>
      <c r="G19">
        <v>63824</v>
      </c>
      <c r="H19">
        <v>63823.574000000001</v>
      </c>
      <c r="I19" cm="1">
        <f t="array" ref="I19">TREND($Y$8:$Y$11,$W$8:$W$11,H19)</f>
        <v>28.5678582092551</v>
      </c>
      <c r="J19">
        <f t="shared" si="0"/>
        <v>8.5703574627765313</v>
      </c>
      <c r="K19">
        <v>0.1594012828691026</v>
      </c>
      <c r="L19" s="2">
        <f t="shared" si="1"/>
        <v>53.765925270591147</v>
      </c>
    </row>
    <row r="20" spans="1:12" x14ac:dyDescent="0.3">
      <c r="A20">
        <v>13</v>
      </c>
      <c r="B20" t="s">
        <v>233</v>
      </c>
      <c r="C20" t="s">
        <v>118</v>
      </c>
      <c r="D20" t="s">
        <v>21</v>
      </c>
      <c r="E20" t="s">
        <v>51</v>
      </c>
      <c r="F20">
        <v>4.24</v>
      </c>
      <c r="G20">
        <v>54209</v>
      </c>
      <c r="H20">
        <v>54209.188000000002</v>
      </c>
      <c r="I20" cm="1">
        <f t="array" ref="I20">TREND($Y$8:$Y$11,$W$8:$W$11,H20)</f>
        <v>23.755274979206479</v>
      </c>
      <c r="J20">
        <f t="shared" si="0"/>
        <v>7.1265824937619433</v>
      </c>
      <c r="K20">
        <v>0.14491144298368897</v>
      </c>
      <c r="L20" s="2">
        <f t="shared" si="1"/>
        <v>49.178880197639749</v>
      </c>
    </row>
    <row r="21" spans="1:12" x14ac:dyDescent="0.3">
      <c r="A21">
        <v>14</v>
      </c>
      <c r="B21" t="s">
        <v>234</v>
      </c>
      <c r="C21" t="s">
        <v>119</v>
      </c>
      <c r="D21" t="s">
        <v>21</v>
      </c>
      <c r="E21" t="s">
        <v>52</v>
      </c>
      <c r="F21">
        <v>4.24</v>
      </c>
      <c r="G21">
        <v>65148</v>
      </c>
      <c r="H21">
        <v>65148.004000000001</v>
      </c>
      <c r="I21" cm="1">
        <f t="array" ref="I21">TREND($Y$8:$Y$11,$W$8:$W$11,H21)</f>
        <v>29.230815740539292</v>
      </c>
      <c r="J21">
        <f t="shared" si="0"/>
        <v>8.7692447221617869</v>
      </c>
      <c r="K21">
        <v>0.24553533107683917</v>
      </c>
      <c r="L21" s="2">
        <f t="shared" si="1"/>
        <v>35.714797881440091</v>
      </c>
    </row>
    <row r="22" spans="1:12" x14ac:dyDescent="0.3">
      <c r="A22">
        <v>15</v>
      </c>
      <c r="B22" t="s">
        <v>235</v>
      </c>
      <c r="C22" t="s">
        <v>120</v>
      </c>
      <c r="D22" t="s">
        <v>21</v>
      </c>
      <c r="E22" t="s">
        <v>53</v>
      </c>
      <c r="F22">
        <v>4.24</v>
      </c>
      <c r="G22">
        <v>10678</v>
      </c>
      <c r="H22">
        <v>10677.508</v>
      </c>
      <c r="I22">
        <f>$Y$8*H22/$X$8</f>
        <v>3.1897400233132402</v>
      </c>
      <c r="J22">
        <f t="shared" si="0"/>
        <v>0.95692200699397201</v>
      </c>
      <c r="K22">
        <v>0.3002747261995129</v>
      </c>
      <c r="L22" s="2">
        <f t="shared" si="1"/>
        <v>3.1868216786189323</v>
      </c>
    </row>
    <row r="23" spans="1:12" x14ac:dyDescent="0.3">
      <c r="A23">
        <v>16</v>
      </c>
      <c r="B23" t="s">
        <v>236</v>
      </c>
      <c r="C23" t="s">
        <v>121</v>
      </c>
      <c r="D23" t="s">
        <v>21</v>
      </c>
      <c r="E23" t="s">
        <v>54</v>
      </c>
      <c r="F23">
        <v>4.24</v>
      </c>
      <c r="G23">
        <v>51745</v>
      </c>
      <c r="H23">
        <v>51744.684000000001</v>
      </c>
      <c r="I23" cm="1">
        <f t="array" ref="I23">TREND($Y$8:$Y$11,$W$8:$W$11,H23)</f>
        <v>22.521641274382507</v>
      </c>
      <c r="J23">
        <f t="shared" si="0"/>
        <v>6.756492382314752</v>
      </c>
      <c r="K23">
        <v>0.17147614944028067</v>
      </c>
      <c r="L23" s="2">
        <f t="shared" si="1"/>
        <v>39.401936679641906</v>
      </c>
    </row>
    <row r="24" spans="1:12" x14ac:dyDescent="0.3">
      <c r="A24">
        <v>17</v>
      </c>
      <c r="B24" t="s">
        <v>237</v>
      </c>
      <c r="C24" t="s">
        <v>122</v>
      </c>
      <c r="D24" t="s">
        <v>21</v>
      </c>
      <c r="E24" t="s">
        <v>55</v>
      </c>
      <c r="F24">
        <v>4.2300000000000004</v>
      </c>
      <c r="G24">
        <v>64285</v>
      </c>
      <c r="H24">
        <v>64284.641000000003</v>
      </c>
      <c r="I24" cm="1">
        <f t="array" ref="I24">TREND($Y$8:$Y$11,$W$8:$W$11,H24)</f>
        <v>28.798650202849785</v>
      </c>
      <c r="J24">
        <f t="shared" si="0"/>
        <v>8.639595060854937</v>
      </c>
      <c r="K24">
        <v>0.18113604269722305</v>
      </c>
      <c r="L24" s="2">
        <f t="shared" si="1"/>
        <v>47.696719726268967</v>
      </c>
    </row>
    <row r="25" spans="1:12" x14ac:dyDescent="0.3">
      <c r="A25">
        <v>18</v>
      </c>
      <c r="B25" t="s">
        <v>238</v>
      </c>
      <c r="C25" t="s">
        <v>123</v>
      </c>
      <c r="D25" t="s">
        <v>21</v>
      </c>
      <c r="E25" t="s">
        <v>56</v>
      </c>
      <c r="F25">
        <v>4.2300000000000004</v>
      </c>
      <c r="G25">
        <v>53986</v>
      </c>
      <c r="H25">
        <v>53986.309000000001</v>
      </c>
      <c r="I25" cm="1">
        <f t="array" ref="I25">TREND($Y$8:$Y$11,$W$8:$W$11,H25)</f>
        <v>23.643710523844483</v>
      </c>
      <c r="J25">
        <f t="shared" si="0"/>
        <v>7.0931131571533443</v>
      </c>
      <c r="K25">
        <v>8.2927127918308433E-2</v>
      </c>
      <c r="L25" s="2">
        <f t="shared" si="1"/>
        <v>85.534291795813488</v>
      </c>
    </row>
    <row r="26" spans="1:12" x14ac:dyDescent="0.3">
      <c r="A26">
        <v>19</v>
      </c>
      <c r="B26" t="s">
        <v>239</v>
      </c>
      <c r="C26" t="s">
        <v>124</v>
      </c>
      <c r="D26" t="s">
        <v>21</v>
      </c>
      <c r="E26" t="s">
        <v>57</v>
      </c>
      <c r="F26">
        <v>4.2300000000000004</v>
      </c>
      <c r="G26">
        <v>60662</v>
      </c>
      <c r="H26">
        <v>60662.421999999999</v>
      </c>
      <c r="I26" cm="1">
        <f t="array" ref="I26">TREND($Y$8:$Y$11,$W$8:$W$11,H26)</f>
        <v>26.985509934197839</v>
      </c>
      <c r="J26">
        <f t="shared" si="0"/>
        <v>8.0956529802593522</v>
      </c>
      <c r="K26">
        <v>0.11593176321286171</v>
      </c>
      <c r="L26" s="2">
        <f t="shared" si="1"/>
        <v>69.831189968145026</v>
      </c>
    </row>
    <row r="27" spans="1:12" x14ac:dyDescent="0.3">
      <c r="A27">
        <v>20</v>
      </c>
      <c r="B27" t="s">
        <v>240</v>
      </c>
      <c r="C27" t="s">
        <v>125</v>
      </c>
      <c r="D27" t="s">
        <v>21</v>
      </c>
      <c r="E27" t="s">
        <v>58</v>
      </c>
      <c r="F27">
        <v>4.24</v>
      </c>
      <c r="G27">
        <v>80067</v>
      </c>
      <c r="H27">
        <v>80066.906000000003</v>
      </c>
      <c r="I27" cm="1">
        <f t="array" ref="I27">TREND($Y$8:$Y$11,$W$8:$W$11,H27)</f>
        <v>36.698630905848738</v>
      </c>
      <c r="J27">
        <f t="shared" si="0"/>
        <v>11.009589271754621</v>
      </c>
      <c r="K27">
        <v>0.17469611385926145</v>
      </c>
      <c r="L27" s="2">
        <f t="shared" si="1"/>
        <v>63.021374823621763</v>
      </c>
    </row>
    <row r="28" spans="1:12" x14ac:dyDescent="0.3">
      <c r="A28">
        <v>21</v>
      </c>
      <c r="B28" t="s">
        <v>241</v>
      </c>
      <c r="C28" t="s">
        <v>126</v>
      </c>
      <c r="D28" t="s">
        <v>21</v>
      </c>
      <c r="E28" t="s">
        <v>59</v>
      </c>
      <c r="F28">
        <v>4.2300000000000004</v>
      </c>
      <c r="G28">
        <v>64559</v>
      </c>
      <c r="H28">
        <v>64558.934000000001</v>
      </c>
      <c r="I28" cm="1">
        <f t="array" ref="I28">TREND($Y$8:$Y$11,$W$8:$W$11,H28)</f>
        <v>28.935950483067337</v>
      </c>
      <c r="J28">
        <f t="shared" si="0"/>
        <v>8.6807851449202005</v>
      </c>
      <c r="K28">
        <v>0.17952606048773259</v>
      </c>
      <c r="L28" s="2">
        <f t="shared" si="1"/>
        <v>48.353899825665579</v>
      </c>
    </row>
    <row r="29" spans="1:12" x14ac:dyDescent="0.3">
      <c r="A29">
        <v>22</v>
      </c>
      <c r="B29" t="s">
        <v>242</v>
      </c>
      <c r="C29" t="s">
        <v>127</v>
      </c>
      <c r="D29" t="s">
        <v>21</v>
      </c>
      <c r="E29" t="s">
        <v>60</v>
      </c>
      <c r="F29">
        <v>4.2300000000000004</v>
      </c>
      <c r="G29">
        <v>65221</v>
      </c>
      <c r="H29">
        <v>65221.336000000003</v>
      </c>
      <c r="I29" cm="1">
        <f t="array" ref="I29">TREND($Y$8:$Y$11,$W$8:$W$11,H29)</f>
        <v>29.267522853549515</v>
      </c>
      <c r="J29">
        <f t="shared" si="0"/>
        <v>8.780256856064856</v>
      </c>
      <c r="K29">
        <v>0.19723586479212707</v>
      </c>
      <c r="L29" s="2">
        <f t="shared" si="1"/>
        <v>44.516532859369356</v>
      </c>
    </row>
    <row r="30" spans="1:12" x14ac:dyDescent="0.3">
      <c r="A30">
        <v>23</v>
      </c>
      <c r="B30" t="s">
        <v>243</v>
      </c>
      <c r="C30" t="s">
        <v>128</v>
      </c>
      <c r="D30" t="s">
        <v>21</v>
      </c>
      <c r="E30" t="s">
        <v>75</v>
      </c>
      <c r="F30">
        <v>4.2300000000000004</v>
      </c>
      <c r="G30">
        <v>70298</v>
      </c>
      <c r="H30">
        <v>70298.266000000003</v>
      </c>
      <c r="I30" cm="1">
        <f t="array" ref="I30">TREND($Y$8:$Y$11,$W$8:$W$11,H30)</f>
        <v>31.808834194505742</v>
      </c>
      <c r="J30">
        <f t="shared" si="0"/>
        <v>9.5426502583517241</v>
      </c>
      <c r="K30">
        <v>0.28417490410460888</v>
      </c>
      <c r="L30" s="2">
        <f t="shared" si="1"/>
        <v>33.580200505104898</v>
      </c>
    </row>
    <row r="31" spans="1:12" x14ac:dyDescent="0.3">
      <c r="A31">
        <v>24</v>
      </c>
      <c r="B31" t="s">
        <v>244</v>
      </c>
      <c r="C31" t="s">
        <v>129</v>
      </c>
      <c r="D31" t="s">
        <v>21</v>
      </c>
      <c r="E31" t="s">
        <v>76</v>
      </c>
      <c r="F31">
        <v>4.24</v>
      </c>
      <c r="G31">
        <v>77844</v>
      </c>
      <c r="H31">
        <v>77843.554999999993</v>
      </c>
      <c r="I31" cm="1">
        <f t="array" ref="I31">TREND($Y$8:$Y$11,$W$8:$W$11,H31)</f>
        <v>35.585708901561425</v>
      </c>
      <c r="J31">
        <f t="shared" si="0"/>
        <v>10.675712670468428</v>
      </c>
      <c r="K31">
        <v>0.17872106938298743</v>
      </c>
      <c r="L31" s="2">
        <f t="shared" si="1"/>
        <v>59.733934601695353</v>
      </c>
    </row>
    <row r="32" spans="1:12" x14ac:dyDescent="0.3">
      <c r="A32">
        <v>25</v>
      </c>
      <c r="B32" t="s">
        <v>245</v>
      </c>
      <c r="C32" t="s">
        <v>130</v>
      </c>
      <c r="D32" t="s">
        <v>21</v>
      </c>
      <c r="E32" t="s">
        <v>77</v>
      </c>
      <c r="F32">
        <v>4.2300000000000004</v>
      </c>
      <c r="G32">
        <v>65490</v>
      </c>
      <c r="H32">
        <v>65489.891000000003</v>
      </c>
      <c r="I32" cm="1">
        <f t="array" ref="I32">TREND($Y$8:$Y$11,$W$8:$W$11,H32)</f>
        <v>29.401950916802406</v>
      </c>
      <c r="J32">
        <f t="shared" si="0"/>
        <v>8.8205852750407203</v>
      </c>
      <c r="K32">
        <v>0.19884584700161748</v>
      </c>
      <c r="L32" s="2">
        <f t="shared" si="1"/>
        <v>44.358911227192849</v>
      </c>
    </row>
    <row r="33" spans="1:12" x14ac:dyDescent="0.3">
      <c r="A33">
        <v>26</v>
      </c>
      <c r="B33" t="s">
        <v>246</v>
      </c>
      <c r="C33" t="s">
        <v>131</v>
      </c>
      <c r="D33" t="s">
        <v>21</v>
      </c>
      <c r="E33" t="s">
        <v>78</v>
      </c>
      <c r="F33">
        <v>4.24</v>
      </c>
      <c r="G33">
        <v>55182</v>
      </c>
      <c r="H33">
        <v>55181.968999999997</v>
      </c>
      <c r="I33" cm="1">
        <f t="array" ref="I33">TREND($Y$8:$Y$11,$W$8:$W$11,H33)</f>
        <v>24.242210861238874</v>
      </c>
      <c r="J33">
        <f t="shared" si="0"/>
        <v>7.2726632583716615</v>
      </c>
      <c r="K33">
        <v>0.17469611385926145</v>
      </c>
      <c r="L33" s="2">
        <f t="shared" si="1"/>
        <v>41.630366570321414</v>
      </c>
    </row>
    <row r="34" spans="1:12" x14ac:dyDescent="0.3">
      <c r="A34">
        <v>27</v>
      </c>
      <c r="B34" t="s">
        <v>247</v>
      </c>
      <c r="C34" t="s">
        <v>132</v>
      </c>
      <c r="D34" t="s">
        <v>21</v>
      </c>
      <c r="E34" t="s">
        <v>79</v>
      </c>
      <c r="F34">
        <v>4.24</v>
      </c>
      <c r="G34">
        <v>88255</v>
      </c>
      <c r="H34">
        <v>88254.733999999997</v>
      </c>
      <c r="I34" cm="1">
        <f t="array" ref="I34">TREND($Y$8:$Y$11,$W$8:$W$11,H34)</f>
        <v>40.797135347351556</v>
      </c>
      <c r="J34">
        <f t="shared" si="0"/>
        <v>12.239140604205467</v>
      </c>
      <c r="K34">
        <v>0.24875529549582001</v>
      </c>
      <c r="L34" s="2">
        <f t="shared" si="1"/>
        <v>49.201527870232326</v>
      </c>
    </row>
    <row r="35" spans="1:12" x14ac:dyDescent="0.3">
      <c r="A35">
        <v>28</v>
      </c>
      <c r="B35" t="s">
        <v>248</v>
      </c>
      <c r="C35" t="s">
        <v>133</v>
      </c>
      <c r="D35" t="s">
        <v>21</v>
      </c>
      <c r="E35" t="s">
        <v>80</v>
      </c>
      <c r="F35">
        <v>4.24</v>
      </c>
      <c r="G35">
        <v>35482</v>
      </c>
      <c r="H35">
        <v>35482</v>
      </c>
      <c r="I35" cm="1">
        <f t="array" ref="I35">TREND($Y$8:$Y$11,$W$8:$W$11,H35)</f>
        <v>14.381181728241963</v>
      </c>
      <c r="J35">
        <f t="shared" si="0"/>
        <v>4.3143545184725891</v>
      </c>
      <c r="K35">
        <v>0.18274602490671343</v>
      </c>
      <c r="L35" s="2">
        <f t="shared" si="1"/>
        <v>23.608472581961454</v>
      </c>
    </row>
    <row r="36" spans="1:12" x14ac:dyDescent="0.3">
      <c r="A36">
        <v>29</v>
      </c>
      <c r="B36" t="s">
        <v>249</v>
      </c>
      <c r="C36" t="s">
        <v>134</v>
      </c>
      <c r="D36" t="s">
        <v>21</v>
      </c>
      <c r="E36" t="s">
        <v>81</v>
      </c>
      <c r="F36">
        <v>4.24</v>
      </c>
      <c r="G36">
        <v>102775</v>
      </c>
      <c r="H36">
        <v>102774.898</v>
      </c>
      <c r="I36" cm="1">
        <f t="array" ref="I36">TREND($Y$8:$Y$11,$W$8:$W$11,H36)</f>
        <v>48.065357963330953</v>
      </c>
      <c r="J36">
        <f t="shared" si="0"/>
        <v>14.419607388999287</v>
      </c>
      <c r="K36">
        <v>0.18113604269722305</v>
      </c>
      <c r="L36" s="2">
        <f t="shared" si="1"/>
        <v>79.606505553962563</v>
      </c>
    </row>
    <row r="37" spans="1:12" x14ac:dyDescent="0.3">
      <c r="A37">
        <v>30</v>
      </c>
      <c r="B37" t="s">
        <v>250</v>
      </c>
      <c r="C37" t="s">
        <v>135</v>
      </c>
      <c r="D37" t="s">
        <v>21</v>
      </c>
      <c r="E37" t="s">
        <v>82</v>
      </c>
      <c r="F37">
        <v>4.2300000000000004</v>
      </c>
      <c r="G37">
        <v>81272</v>
      </c>
      <c r="H37">
        <v>81272.483999999997</v>
      </c>
      <c r="I37" cm="1">
        <f t="array" ref="I37">TREND($Y$8:$Y$11,$W$8:$W$11,H37)</f>
        <v>37.302095803691984</v>
      </c>
      <c r="J37">
        <f t="shared" si="0"/>
        <v>11.190628741107595</v>
      </c>
      <c r="K37">
        <v>0.12156670094607813</v>
      </c>
      <c r="L37" s="2">
        <f t="shared" si="1"/>
        <v>92.053404871711422</v>
      </c>
    </row>
    <row r="38" spans="1:12" x14ac:dyDescent="0.3">
      <c r="A38">
        <v>31</v>
      </c>
      <c r="B38" t="s">
        <v>251</v>
      </c>
      <c r="C38" t="s">
        <v>136</v>
      </c>
      <c r="D38" t="s">
        <v>21</v>
      </c>
      <c r="E38" t="s">
        <v>83</v>
      </c>
      <c r="F38">
        <v>4.24</v>
      </c>
      <c r="G38">
        <v>115405</v>
      </c>
      <c r="H38">
        <v>115404.906</v>
      </c>
      <c r="I38" cm="1">
        <f t="array" ref="I38">TREND($Y$8:$Y$11,$W$8:$W$11,H38)</f>
        <v>54.387442878184579</v>
      </c>
      <c r="J38">
        <f t="shared" si="0"/>
        <v>16.316232863455372</v>
      </c>
      <c r="K38">
        <v>8.8562065651524843E-2</v>
      </c>
      <c r="L38" s="2">
        <f t="shared" si="1"/>
        <v>184.2350078831347</v>
      </c>
    </row>
    <row r="39" spans="1:12" x14ac:dyDescent="0.3">
      <c r="A39">
        <v>32</v>
      </c>
      <c r="B39" t="s">
        <v>252</v>
      </c>
      <c r="C39" t="s">
        <v>137</v>
      </c>
      <c r="D39" t="s">
        <v>21</v>
      </c>
      <c r="E39" t="s">
        <v>84</v>
      </c>
      <c r="F39">
        <v>4.24</v>
      </c>
      <c r="G39">
        <v>83142</v>
      </c>
      <c r="H39">
        <v>83141.5</v>
      </c>
      <c r="I39" cm="1">
        <f t="array" ref="I39">TREND($Y$8:$Y$11,$W$8:$W$11,H39)</f>
        <v>38.237651652842679</v>
      </c>
      <c r="J39">
        <f t="shared" si="0"/>
        <v>11.471295495852804</v>
      </c>
      <c r="K39">
        <v>0.13766652304098212</v>
      </c>
      <c r="L39" s="2">
        <f t="shared" si="1"/>
        <v>83.326688598345001</v>
      </c>
    </row>
    <row r="40" spans="1:12" x14ac:dyDescent="0.3">
      <c r="A40">
        <v>33</v>
      </c>
      <c r="B40" t="s">
        <v>253</v>
      </c>
      <c r="C40" t="s">
        <v>138</v>
      </c>
      <c r="D40" t="s">
        <v>21</v>
      </c>
      <c r="E40" t="s">
        <v>85</v>
      </c>
      <c r="F40">
        <v>4.24</v>
      </c>
      <c r="G40">
        <v>109828</v>
      </c>
      <c r="H40">
        <v>109828.492</v>
      </c>
      <c r="I40" cm="1">
        <f t="array" ref="I40">TREND($Y$8:$Y$11,$W$8:$W$11,H40)</f>
        <v>51.596109505444154</v>
      </c>
      <c r="J40">
        <f t="shared" si="0"/>
        <v>15.478832851633246</v>
      </c>
      <c r="K40">
        <v>8.2122136813563229E-2</v>
      </c>
      <c r="L40" s="2">
        <f t="shared" si="1"/>
        <v>188.48551014659878</v>
      </c>
    </row>
    <row r="41" spans="1:12" x14ac:dyDescent="0.3">
      <c r="A41">
        <v>34</v>
      </c>
      <c r="B41" t="s">
        <v>172</v>
      </c>
      <c r="C41" t="s">
        <v>139</v>
      </c>
      <c r="D41" t="s">
        <v>21</v>
      </c>
      <c r="E41" t="s">
        <v>86</v>
      </c>
      <c r="F41">
        <v>4.24</v>
      </c>
      <c r="G41">
        <v>108214</v>
      </c>
      <c r="H41">
        <v>108213.664</v>
      </c>
      <c r="I41" cm="1">
        <f t="array" ref="I41">TREND($Y$8:$Y$11,$W$8:$W$11,H41)</f>
        <v>50.787790164800569</v>
      </c>
      <c r="J41">
        <f t="shared" si="0"/>
        <v>15.236337049440172</v>
      </c>
      <c r="K41">
        <v>0.10224691443219328</v>
      </c>
      <c r="L41" s="2">
        <f t="shared" si="1"/>
        <v>149.01512807552152</v>
      </c>
    </row>
    <row r="42" spans="1:12" x14ac:dyDescent="0.3">
      <c r="A42">
        <v>35</v>
      </c>
      <c r="B42" t="s">
        <v>173</v>
      </c>
      <c r="C42" t="s">
        <v>140</v>
      </c>
      <c r="D42" t="s">
        <v>21</v>
      </c>
      <c r="E42" t="s">
        <v>87</v>
      </c>
      <c r="F42">
        <v>4.24</v>
      </c>
      <c r="G42">
        <v>301822</v>
      </c>
      <c r="H42">
        <v>301821.53100000002</v>
      </c>
      <c r="I42" cm="1">
        <f t="array" ref="I42">TREND($Y$8:$Y$13,$W$8:$W$13,H42)</f>
        <v>165.16314087586957</v>
      </c>
      <c r="J42">
        <f t="shared" si="0"/>
        <v>49.548942262760868</v>
      </c>
      <c r="K42">
        <v>0.12639664757454935</v>
      </c>
      <c r="L42" s="2">
        <f t="shared" si="1"/>
        <v>392.01152256460489</v>
      </c>
    </row>
    <row r="43" spans="1:12" x14ac:dyDescent="0.3">
      <c r="A43">
        <v>36</v>
      </c>
      <c r="B43" t="s">
        <v>174</v>
      </c>
      <c r="C43" t="s">
        <v>141</v>
      </c>
      <c r="D43" t="s">
        <v>21</v>
      </c>
      <c r="E43" t="s">
        <v>88</v>
      </c>
      <c r="F43">
        <v>4.24</v>
      </c>
      <c r="G43">
        <v>140789</v>
      </c>
      <c r="H43">
        <v>140789.29699999999</v>
      </c>
      <c r="I43" cm="1">
        <f t="array" ref="I43">TREND($Y$8:$Y$11,$W$8:$W$11,H43)</f>
        <v>67.093869937759379</v>
      </c>
      <c r="J43">
        <f t="shared" si="0"/>
        <v>20.128160981327817</v>
      </c>
      <c r="K43">
        <v>0.15054638071690538</v>
      </c>
      <c r="L43" s="2">
        <f t="shared" si="1"/>
        <v>133.70072987126656</v>
      </c>
    </row>
    <row r="44" spans="1:12" x14ac:dyDescent="0.3">
      <c r="A44">
        <v>37</v>
      </c>
      <c r="B44" t="s">
        <v>175</v>
      </c>
      <c r="C44" t="s">
        <v>142</v>
      </c>
      <c r="D44" t="s">
        <v>21</v>
      </c>
      <c r="E44" t="s">
        <v>89</v>
      </c>
      <c r="F44">
        <v>4.24</v>
      </c>
      <c r="G44">
        <v>108382</v>
      </c>
      <c r="H44">
        <v>108381.69500000001</v>
      </c>
      <c r="I44" cm="1">
        <f t="array" ref="I44">TREND($Y$8:$Y$11,$W$8:$W$11,H44)</f>
        <v>50.87189987006186</v>
      </c>
      <c r="J44">
        <f t="shared" si="0"/>
        <v>15.261569961018557</v>
      </c>
      <c r="K44">
        <v>0.14893639850741497</v>
      </c>
      <c r="L44" s="2">
        <f t="shared" si="1"/>
        <v>102.47038409659639</v>
      </c>
    </row>
    <row r="45" spans="1:12" x14ac:dyDescent="0.3">
      <c r="A45">
        <v>38</v>
      </c>
      <c r="B45" t="s">
        <v>176</v>
      </c>
      <c r="C45" t="s">
        <v>143</v>
      </c>
      <c r="D45" t="s">
        <v>21</v>
      </c>
      <c r="E45" t="s">
        <v>90</v>
      </c>
      <c r="F45">
        <v>4.24</v>
      </c>
      <c r="G45">
        <v>106527</v>
      </c>
      <c r="H45">
        <v>106526.727</v>
      </c>
      <c r="I45" cm="1">
        <f t="array" ref="I45">TREND($Y$8:$Y$11,$W$8:$W$11,H45)</f>
        <v>49.9433758968121</v>
      </c>
      <c r="J45">
        <f t="shared" si="0"/>
        <v>14.983012769043631</v>
      </c>
      <c r="K45">
        <v>4.0262599366812736E-2</v>
      </c>
      <c r="L45" s="2">
        <f t="shared" si="1"/>
        <v>372.13227672015842</v>
      </c>
    </row>
    <row r="46" spans="1:12" x14ac:dyDescent="0.3">
      <c r="A46">
        <v>39</v>
      </c>
      <c r="B46" t="s">
        <v>177</v>
      </c>
      <c r="C46" t="s">
        <v>144</v>
      </c>
      <c r="D46" t="s">
        <v>21</v>
      </c>
      <c r="E46" t="s">
        <v>91</v>
      </c>
      <c r="F46">
        <v>4.24</v>
      </c>
      <c r="G46">
        <v>144182</v>
      </c>
      <c r="H46">
        <v>144182.20300000001</v>
      </c>
      <c r="I46" cm="1">
        <f t="array" ref="I46">TREND($Y$8:$Y$11,$W$8:$W$11,H46)</f>
        <v>68.792225143877729</v>
      </c>
      <c r="J46">
        <f t="shared" si="0"/>
        <v>20.637667543163317</v>
      </c>
      <c r="K46">
        <v>0.11351678989862611</v>
      </c>
      <c r="L46" s="2">
        <f t="shared" si="1"/>
        <v>181.80277614961955</v>
      </c>
    </row>
    <row r="47" spans="1:12" x14ac:dyDescent="0.3">
      <c r="A47">
        <v>40</v>
      </c>
      <c r="B47" t="s">
        <v>178</v>
      </c>
      <c r="C47" t="s">
        <v>145</v>
      </c>
      <c r="D47" t="s">
        <v>21</v>
      </c>
      <c r="E47" t="s">
        <v>92</v>
      </c>
      <c r="F47">
        <v>4.24</v>
      </c>
      <c r="G47">
        <v>216745</v>
      </c>
      <c r="H47">
        <v>216744.641</v>
      </c>
      <c r="I47" cm="1">
        <f t="array" ref="I47">TREND($Y$8:$Y$13,$W$8:$W$13,H47)</f>
        <v>116.24508646530631</v>
      </c>
      <c r="J47">
        <f t="shared" si="0"/>
        <v>34.8735259395919</v>
      </c>
      <c r="K47">
        <v>0.10144192332744809</v>
      </c>
      <c r="L47" s="2">
        <f t="shared" si="1"/>
        <v>343.77824074788464</v>
      </c>
    </row>
    <row r="48" spans="1:12" x14ac:dyDescent="0.3">
      <c r="A48">
        <v>41</v>
      </c>
      <c r="B48" t="s">
        <v>179</v>
      </c>
      <c r="C48" t="s">
        <v>146</v>
      </c>
      <c r="D48" t="s">
        <v>21</v>
      </c>
      <c r="E48" t="s">
        <v>93</v>
      </c>
      <c r="F48">
        <v>4.24</v>
      </c>
      <c r="G48">
        <v>150310</v>
      </c>
      <c r="H48">
        <v>150310.43799999999</v>
      </c>
      <c r="I48" cm="1">
        <f t="array" ref="I48">TREND($Y$8:$Y$11,$W$8:$W$11,H48)</f>
        <v>71.859778390730625</v>
      </c>
      <c r="J48">
        <f t="shared" si="0"/>
        <v>21.55793351721919</v>
      </c>
      <c r="K48">
        <v>8.3732119023053622E-2</v>
      </c>
      <c r="L48" s="2">
        <f t="shared" si="1"/>
        <v>257.46313086001959</v>
      </c>
    </row>
    <row r="49" spans="1:12" x14ac:dyDescent="0.3">
      <c r="A49">
        <v>42</v>
      </c>
      <c r="B49" t="s">
        <v>180</v>
      </c>
      <c r="C49" t="s">
        <v>147</v>
      </c>
      <c r="D49" t="s">
        <v>21</v>
      </c>
      <c r="E49" t="s">
        <v>94</v>
      </c>
      <c r="F49">
        <v>4.24</v>
      </c>
      <c r="G49">
        <v>203844</v>
      </c>
      <c r="H49">
        <v>203844.109</v>
      </c>
      <c r="I49" cm="1">
        <f t="array" ref="I49">TREND($Y$8:$Y$11,$W$8:$W$11,H49)</f>
        <v>98.656627123196756</v>
      </c>
      <c r="J49">
        <f t="shared" si="0"/>
        <v>29.596988136959027</v>
      </c>
      <c r="K49">
        <v>0.22299558014397355</v>
      </c>
      <c r="L49" s="2">
        <f t="shared" si="1"/>
        <v>132.7245504949031</v>
      </c>
    </row>
    <row r="50" spans="1:12" x14ac:dyDescent="0.3">
      <c r="A50">
        <v>43</v>
      </c>
      <c r="B50" t="s">
        <v>181</v>
      </c>
      <c r="C50" t="s">
        <v>148</v>
      </c>
      <c r="D50" t="s">
        <v>21</v>
      </c>
      <c r="E50" t="s">
        <v>95</v>
      </c>
      <c r="F50">
        <v>4.24</v>
      </c>
      <c r="G50">
        <v>287180</v>
      </c>
      <c r="H50">
        <v>287180.40600000002</v>
      </c>
      <c r="I50" cm="1">
        <f t="array" ref="I50">TREND($Y$8:$Y$13,$W$8:$W$13,H50)</f>
        <v>156.7446931707189</v>
      </c>
      <c r="J50">
        <f t="shared" si="0"/>
        <v>47.023407951215674</v>
      </c>
      <c r="K50">
        <v>0.1175417454223521</v>
      </c>
      <c r="L50" s="2">
        <f t="shared" si="1"/>
        <v>400.05708424909568</v>
      </c>
    </row>
    <row r="51" spans="1:12" x14ac:dyDescent="0.3">
      <c r="A51">
        <v>44</v>
      </c>
      <c r="B51" t="s">
        <v>182</v>
      </c>
      <c r="C51" t="s">
        <v>149</v>
      </c>
      <c r="D51" t="s">
        <v>21</v>
      </c>
      <c r="E51" t="s">
        <v>96</v>
      </c>
      <c r="F51">
        <v>4.25</v>
      </c>
      <c r="G51">
        <v>170729</v>
      </c>
      <c r="H51">
        <v>170728.56299999999</v>
      </c>
      <c r="I51" cm="1">
        <f t="array" ref="I51">TREND($Y$8:$Y$11,$W$8:$W$11,H51)</f>
        <v>82.080288152252209</v>
      </c>
      <c r="J51">
        <f t="shared" si="0"/>
        <v>24.624086445675665</v>
      </c>
      <c r="K51">
        <v>0.11351678989862611</v>
      </c>
      <c r="L51" s="2">
        <f t="shared" si="1"/>
        <v>216.92021477761759</v>
      </c>
    </row>
    <row r="52" spans="1:12" x14ac:dyDescent="0.3">
      <c r="A52">
        <v>45</v>
      </c>
      <c r="B52" t="s">
        <v>183</v>
      </c>
      <c r="C52" t="s">
        <v>150</v>
      </c>
      <c r="D52" t="s">
        <v>21</v>
      </c>
      <c r="E52" t="s">
        <v>97</v>
      </c>
      <c r="F52">
        <v>4.24</v>
      </c>
      <c r="G52">
        <v>114803</v>
      </c>
      <c r="H52">
        <v>114803.05499999999</v>
      </c>
      <c r="I52" cm="1">
        <f t="array" ref="I52">TREND($Y$8:$Y$11,$W$8:$W$11,H52)</f>
        <v>54.08617995514529</v>
      </c>
      <c r="J52">
        <f t="shared" si="0"/>
        <v>16.225853986543587</v>
      </c>
      <c r="K52">
        <v>8.4537110127798853E-2</v>
      </c>
      <c r="L52" s="2">
        <f t="shared" si="1"/>
        <v>191.93764681586791</v>
      </c>
    </row>
    <row r="53" spans="1:12" x14ac:dyDescent="0.3">
      <c r="A53">
        <v>46</v>
      </c>
      <c r="B53" t="s">
        <v>184</v>
      </c>
      <c r="C53" t="s">
        <v>151</v>
      </c>
      <c r="D53" t="s">
        <v>21</v>
      </c>
      <c r="E53" t="s">
        <v>98</v>
      </c>
      <c r="F53">
        <v>4.24</v>
      </c>
      <c r="G53">
        <v>312515</v>
      </c>
      <c r="H53">
        <v>312514.75</v>
      </c>
      <c r="I53" cm="1">
        <f t="array" ref="I53">TREND($Y$8:$Y$13,$W$8:$W$13,H53)</f>
        <v>171.31159633617224</v>
      </c>
      <c r="J53">
        <f t="shared" si="0"/>
        <v>51.393478900851669</v>
      </c>
      <c r="K53">
        <v>0.1078818521654097</v>
      </c>
      <c r="L53" s="2">
        <f t="shared" si="1"/>
        <v>476.38669404797287</v>
      </c>
    </row>
    <row r="54" spans="1:12" x14ac:dyDescent="0.3">
      <c r="A54">
        <v>47</v>
      </c>
      <c r="B54" t="s">
        <v>185</v>
      </c>
      <c r="C54" t="s">
        <v>152</v>
      </c>
      <c r="D54" t="s">
        <v>21</v>
      </c>
      <c r="E54" t="s">
        <v>99</v>
      </c>
      <c r="F54">
        <v>4.24</v>
      </c>
      <c r="G54">
        <v>184842</v>
      </c>
      <c r="H54">
        <v>184841.625</v>
      </c>
      <c r="I54" cm="1">
        <f t="array" ref="I54">TREND($Y$8:$Y$11,$W$8:$W$11,H54)</f>
        <v>89.144731529690603</v>
      </c>
      <c r="J54">
        <f t="shared" si="0"/>
        <v>26.743419458907184</v>
      </c>
      <c r="K54">
        <v>0.14813140740266978</v>
      </c>
      <c r="L54" s="2">
        <f t="shared" si="1"/>
        <v>180.53848220188573</v>
      </c>
    </row>
    <row r="55" spans="1:12" x14ac:dyDescent="0.3">
      <c r="A55">
        <v>48</v>
      </c>
      <c r="B55" t="s">
        <v>186</v>
      </c>
      <c r="C55" t="s">
        <v>153</v>
      </c>
      <c r="D55" t="s">
        <v>21</v>
      </c>
      <c r="E55" t="s">
        <v>100</v>
      </c>
      <c r="F55">
        <v>4.25</v>
      </c>
      <c r="G55">
        <v>122909</v>
      </c>
      <c r="H55">
        <v>122908.742</v>
      </c>
      <c r="I55" cm="1">
        <f t="array" ref="I55">TREND($Y$8:$Y$11,$W$8:$W$11,H55)</f>
        <v>58.143567844941181</v>
      </c>
      <c r="J55">
        <f t="shared" si="0"/>
        <v>17.443070353482355</v>
      </c>
      <c r="K55">
        <v>6.6022314718659172E-2</v>
      </c>
      <c r="L55" s="2">
        <f t="shared" si="1"/>
        <v>264.1996183837615</v>
      </c>
    </row>
    <row r="56" spans="1:12" x14ac:dyDescent="0.3">
      <c r="A56">
        <v>49</v>
      </c>
      <c r="B56" t="s">
        <v>187</v>
      </c>
      <c r="C56" t="s">
        <v>154</v>
      </c>
      <c r="D56" t="s">
        <v>21</v>
      </c>
      <c r="E56" t="s">
        <v>20</v>
      </c>
      <c r="F56">
        <v>4.24</v>
      </c>
      <c r="G56">
        <v>142107</v>
      </c>
      <c r="H56">
        <v>142107.28099999999</v>
      </c>
      <c r="I56" cm="1">
        <f t="array" ref="I56">TREND($Y$8:$Y$11,$W$8:$W$11,H56)</f>
        <v>67.753600855144256</v>
      </c>
      <c r="J56">
        <f t="shared" si="0"/>
        <v>20.326080256543278</v>
      </c>
      <c r="K56">
        <v>0.22621554456295434</v>
      </c>
      <c r="L56" s="2">
        <f t="shared" si="1"/>
        <v>89.852712358087572</v>
      </c>
    </row>
    <row r="57" spans="1:12" x14ac:dyDescent="0.3">
      <c r="A57">
        <v>50</v>
      </c>
      <c r="B57" t="s">
        <v>188</v>
      </c>
      <c r="C57" t="s">
        <v>155</v>
      </c>
      <c r="D57" t="s">
        <v>21</v>
      </c>
      <c r="E57" t="s">
        <v>22</v>
      </c>
      <c r="F57">
        <v>4.24</v>
      </c>
      <c r="G57">
        <v>93304</v>
      </c>
      <c r="H57">
        <v>93304.141000000003</v>
      </c>
      <c r="I57" cm="1">
        <f t="array" ref="I57">TREND($Y$8:$Y$11,$W$8:$W$11,H57)</f>
        <v>43.32466975775386</v>
      </c>
      <c r="J57">
        <f t="shared" si="0"/>
        <v>12.997400927326158</v>
      </c>
      <c r="K57">
        <v>0.21897062462024752</v>
      </c>
      <c r="L57" s="2">
        <f t="shared" si="1"/>
        <v>59.356824459294749</v>
      </c>
    </row>
    <row r="58" spans="1:12" x14ac:dyDescent="0.3">
      <c r="A58">
        <v>51</v>
      </c>
      <c r="B58" t="s">
        <v>189</v>
      </c>
      <c r="C58" t="s">
        <v>156</v>
      </c>
      <c r="D58" t="s">
        <v>21</v>
      </c>
      <c r="E58" t="s">
        <v>23</v>
      </c>
      <c r="F58">
        <v>4.24</v>
      </c>
      <c r="G58">
        <v>176421</v>
      </c>
      <c r="H58">
        <v>176421.28099999999</v>
      </c>
      <c r="I58" cm="1">
        <f t="array" ref="I58">TREND($Y$8:$Y$11,$W$8:$W$11,H58)</f>
        <v>84.929838729917364</v>
      </c>
      <c r="J58">
        <f t="shared" si="0"/>
        <v>25.478951618975209</v>
      </c>
      <c r="K58">
        <v>0.11271179879388092</v>
      </c>
      <c r="L58" s="2">
        <f t="shared" si="1"/>
        <v>226.05398806179332</v>
      </c>
    </row>
    <row r="59" spans="1:12" x14ac:dyDescent="0.3">
      <c r="A59">
        <v>52</v>
      </c>
      <c r="B59" t="s">
        <v>190</v>
      </c>
      <c r="C59" t="s">
        <v>157</v>
      </c>
      <c r="D59" t="s">
        <v>21</v>
      </c>
      <c r="E59" t="s">
        <v>24</v>
      </c>
      <c r="F59">
        <v>4.24</v>
      </c>
      <c r="G59">
        <v>119981</v>
      </c>
      <c r="H59">
        <v>119981.156</v>
      </c>
      <c r="I59" cm="1">
        <f t="array" ref="I59">TREND($Y$8:$Y$11,$W$8:$W$11,H59)</f>
        <v>56.678133516828588</v>
      </c>
      <c r="J59">
        <f t="shared" si="0"/>
        <v>17.003440055048575</v>
      </c>
      <c r="K59">
        <v>9.1782030070505644E-2</v>
      </c>
      <c r="L59" s="2">
        <f t="shared" si="1"/>
        <v>185.25892314635857</v>
      </c>
    </row>
    <row r="60" spans="1:12" x14ac:dyDescent="0.3">
      <c r="A60">
        <v>53</v>
      </c>
      <c r="B60" t="s">
        <v>191</v>
      </c>
      <c r="C60" t="s">
        <v>158</v>
      </c>
      <c r="D60" t="s">
        <v>21</v>
      </c>
      <c r="E60" t="s">
        <v>25</v>
      </c>
      <c r="F60">
        <v>4.24</v>
      </c>
      <c r="G60">
        <v>181329</v>
      </c>
      <c r="H60">
        <v>181328.5</v>
      </c>
      <c r="I60" cm="1">
        <f t="array" ref="I60">TREND($Y$8:$Y$11,$W$8:$W$11,H60)</f>
        <v>87.386199423733487</v>
      </c>
      <c r="J60">
        <f t="shared" si="0"/>
        <v>26.215859827120049</v>
      </c>
      <c r="K60">
        <v>0.16584121170706426</v>
      </c>
      <c r="L60" s="2">
        <f t="shared" si="1"/>
        <v>158.07807695849911</v>
      </c>
    </row>
    <row r="61" spans="1:12" x14ac:dyDescent="0.3">
      <c r="A61">
        <v>54</v>
      </c>
      <c r="B61" t="s">
        <v>192</v>
      </c>
      <c r="C61" t="s">
        <v>159</v>
      </c>
      <c r="D61" t="s">
        <v>21</v>
      </c>
      <c r="E61" t="s">
        <v>26</v>
      </c>
      <c r="F61">
        <v>4.24</v>
      </c>
      <c r="G61">
        <v>137047</v>
      </c>
      <c r="H61">
        <v>137047.15599999999</v>
      </c>
      <c r="I61" cm="1">
        <f t="array" ref="I61">TREND($Y$8:$Y$11,$W$8:$W$11,H61)</f>
        <v>65.220701435779389</v>
      </c>
      <c r="J61">
        <f t="shared" si="0"/>
        <v>19.566210430733818</v>
      </c>
      <c r="K61">
        <v>0.20850574025855992</v>
      </c>
      <c r="L61" s="2">
        <f t="shared" si="1"/>
        <v>93.840152345304816</v>
      </c>
    </row>
    <row r="62" spans="1:12" x14ac:dyDescent="0.3">
      <c r="A62">
        <v>55</v>
      </c>
      <c r="B62" t="s">
        <v>193</v>
      </c>
      <c r="C62" t="s">
        <v>160</v>
      </c>
      <c r="D62" t="s">
        <v>21</v>
      </c>
      <c r="E62" t="s">
        <v>27</v>
      </c>
      <c r="F62">
        <v>4.24</v>
      </c>
      <c r="G62">
        <v>144782</v>
      </c>
      <c r="H62">
        <v>144781.79699999999</v>
      </c>
      <c r="I62" cm="1">
        <f t="array" ref="I62">TREND($Y$8:$Y$11,$W$8:$W$11,H62)</f>
        <v>69.092358301547677</v>
      </c>
      <c r="J62">
        <f t="shared" si="0"/>
        <v>20.727707490464304</v>
      </c>
      <c r="K62">
        <v>0.15457133624063138</v>
      </c>
      <c r="L62" s="2">
        <f t="shared" si="1"/>
        <v>134.0980028677252</v>
      </c>
    </row>
    <row r="63" spans="1:12" x14ac:dyDescent="0.3">
      <c r="A63">
        <v>56</v>
      </c>
      <c r="B63" t="s">
        <v>194</v>
      </c>
      <c r="C63" t="s">
        <v>161</v>
      </c>
      <c r="D63" t="s">
        <v>21</v>
      </c>
      <c r="E63" t="s">
        <v>28</v>
      </c>
      <c r="F63">
        <v>4.24</v>
      </c>
      <c r="G63">
        <v>169956</v>
      </c>
      <c r="H63">
        <v>169956.07800000001</v>
      </c>
      <c r="I63" cm="1">
        <f t="array" ref="I63">TREND($Y$8:$Y$11,$W$8:$W$11,H63)</f>
        <v>81.693612564600116</v>
      </c>
      <c r="J63">
        <f t="shared" si="0"/>
        <v>24.508083769380033</v>
      </c>
      <c r="K63">
        <v>0.22863051787718996</v>
      </c>
      <c r="L63" s="2">
        <f t="shared" si="1"/>
        <v>107.19515485918058</v>
      </c>
    </row>
    <row r="64" spans="1:12" x14ac:dyDescent="0.3">
      <c r="A64">
        <v>57</v>
      </c>
      <c r="B64" t="s">
        <v>195</v>
      </c>
      <c r="C64" t="s">
        <v>162</v>
      </c>
      <c r="D64" t="s">
        <v>21</v>
      </c>
      <c r="E64" t="s">
        <v>29</v>
      </c>
      <c r="F64">
        <v>4.24</v>
      </c>
      <c r="G64">
        <v>242679</v>
      </c>
      <c r="H64">
        <v>242679.17199999999</v>
      </c>
      <c r="I64" cm="1">
        <f t="array" ref="I64">TREND($Y$8:$Y$13,$W$8:$W$13,H64)</f>
        <v>131.15708899114429</v>
      </c>
      <c r="J64">
        <f t="shared" si="0"/>
        <v>39.347126697343285</v>
      </c>
      <c r="K64">
        <v>0.19079593595416544</v>
      </c>
      <c r="L64" s="2">
        <f t="shared" si="1"/>
        <v>206.22623066140974</v>
      </c>
    </row>
    <row r="65" spans="1:12" x14ac:dyDescent="0.3">
      <c r="A65">
        <v>58</v>
      </c>
      <c r="B65" t="s">
        <v>196</v>
      </c>
      <c r="C65" t="s">
        <v>163</v>
      </c>
      <c r="D65" t="s">
        <v>21</v>
      </c>
      <c r="E65" t="s">
        <v>30</v>
      </c>
      <c r="F65">
        <v>4.24</v>
      </c>
      <c r="G65">
        <v>138486</v>
      </c>
      <c r="H65">
        <v>138485.81299999999</v>
      </c>
      <c r="I65" cm="1">
        <f t="array" ref="I65">TREND($Y$8:$Y$11,$W$8:$W$11,H65)</f>
        <v>65.94083650753457</v>
      </c>
      <c r="J65">
        <f t="shared" si="0"/>
        <v>19.78225095226037</v>
      </c>
      <c r="K65">
        <v>0.13122659420302052</v>
      </c>
      <c r="L65" s="2">
        <f t="shared" si="1"/>
        <v>150.74879503201365</v>
      </c>
    </row>
    <row r="66" spans="1:12" x14ac:dyDescent="0.3">
      <c r="A66">
        <v>59</v>
      </c>
      <c r="B66" t="s">
        <v>197</v>
      </c>
      <c r="C66" t="s">
        <v>164</v>
      </c>
      <c r="D66" t="s">
        <v>21</v>
      </c>
      <c r="E66" t="s">
        <v>31</v>
      </c>
      <c r="F66">
        <v>4.24</v>
      </c>
      <c r="G66">
        <v>133240</v>
      </c>
      <c r="H66">
        <v>133239.984</v>
      </c>
      <c r="I66" cm="1">
        <f t="array" ref="I66">TREND($Y$8:$Y$11,$W$8:$W$11,H66)</f>
        <v>63.314980974679671</v>
      </c>
      <c r="J66">
        <f t="shared" si="0"/>
        <v>18.9944942924039</v>
      </c>
      <c r="K66">
        <v>0.13927650525047255</v>
      </c>
      <c r="L66" s="2">
        <f t="shared" si="1"/>
        <v>136.37974515690581</v>
      </c>
    </row>
    <row r="67" spans="1:12" x14ac:dyDescent="0.3">
      <c r="A67">
        <v>60</v>
      </c>
      <c r="B67" t="s">
        <v>198</v>
      </c>
      <c r="C67" t="s">
        <v>165</v>
      </c>
      <c r="D67" t="s">
        <v>21</v>
      </c>
      <c r="E67" t="s">
        <v>32</v>
      </c>
      <c r="F67">
        <v>4.24</v>
      </c>
      <c r="G67">
        <v>203954</v>
      </c>
      <c r="H67">
        <v>203954.45300000001</v>
      </c>
      <c r="I67" cm="1">
        <f t="array" ref="I67">TREND($Y$8:$Y$11,$W$8:$W$11,H67)</f>
        <v>98.711860986694276</v>
      </c>
      <c r="J67">
        <f t="shared" si="0"/>
        <v>29.613558296008286</v>
      </c>
      <c r="K67">
        <v>9.7416967803722054E-2</v>
      </c>
      <c r="L67" s="2">
        <f t="shared" si="1"/>
        <v>303.98768267633176</v>
      </c>
    </row>
    <row r="68" spans="1:12" x14ac:dyDescent="0.3">
      <c r="A68">
        <v>61</v>
      </c>
      <c r="B68" t="s">
        <v>199</v>
      </c>
      <c r="C68" t="s">
        <v>166</v>
      </c>
      <c r="D68" t="s">
        <v>21</v>
      </c>
      <c r="E68" t="s">
        <v>33</v>
      </c>
      <c r="F68">
        <v>4.24</v>
      </c>
      <c r="G68">
        <v>93684</v>
      </c>
      <c r="H68">
        <v>93683.883000000002</v>
      </c>
      <c r="I68" cm="1">
        <f t="array" ref="I68">TREND($Y$8:$Y$11,$W$8:$W$11,H68)</f>
        <v>43.514753657125603</v>
      </c>
      <c r="J68">
        <f t="shared" si="0"/>
        <v>13.054426097137682</v>
      </c>
      <c r="K68">
        <v>7.4877216870856411E-2</v>
      </c>
      <c r="L68" s="2">
        <f t="shared" si="1"/>
        <v>174.34443536614279</v>
      </c>
    </row>
    <row r="69" spans="1:12" x14ac:dyDescent="0.3">
      <c r="A69">
        <v>62</v>
      </c>
      <c r="B69" t="s">
        <v>200</v>
      </c>
      <c r="C69" t="s">
        <v>167</v>
      </c>
      <c r="D69" t="s">
        <v>21</v>
      </c>
      <c r="E69" t="s">
        <v>34</v>
      </c>
      <c r="F69">
        <v>4.24</v>
      </c>
      <c r="G69">
        <v>147653</v>
      </c>
      <c r="H69">
        <v>147652.93799999999</v>
      </c>
      <c r="I69" cm="1">
        <f t="array" ref="I69">TREND($Y$8:$Y$11,$W$8:$W$11,H69)</f>
        <v>70.529538484214044</v>
      </c>
      <c r="J69">
        <f t="shared" si="0"/>
        <v>21.158861545264216</v>
      </c>
      <c r="K69">
        <v>0.14491144298368897</v>
      </c>
      <c r="L69" s="2">
        <f t="shared" si="1"/>
        <v>146.01235837287072</v>
      </c>
    </row>
    <row r="70" spans="1:12" x14ac:dyDescent="0.3">
      <c r="A70">
        <v>63</v>
      </c>
      <c r="B70" t="s">
        <v>201</v>
      </c>
      <c r="C70" t="s">
        <v>168</v>
      </c>
      <c r="D70" t="s">
        <v>21</v>
      </c>
      <c r="E70" t="s">
        <v>35</v>
      </c>
      <c r="F70">
        <v>4.24</v>
      </c>
      <c r="G70">
        <v>219307</v>
      </c>
      <c r="H70">
        <v>219307.42199999999</v>
      </c>
      <c r="I70" cm="1">
        <f t="array" ref="I70">TREND($Y$8:$Y$13,$W$8:$W$13,H70)</f>
        <v>117.71865067763656</v>
      </c>
      <c r="J70">
        <f t="shared" si="0"/>
        <v>35.315595203290968</v>
      </c>
      <c r="K70">
        <v>0.14571643408843418</v>
      </c>
      <c r="L70" s="2">
        <f t="shared" si="1"/>
        <v>242.35835459614805</v>
      </c>
    </row>
    <row r="71" spans="1:12" x14ac:dyDescent="0.3">
      <c r="A71">
        <v>64</v>
      </c>
      <c r="B71" t="s">
        <v>202</v>
      </c>
      <c r="C71" t="s">
        <v>169</v>
      </c>
      <c r="D71" t="s">
        <v>21</v>
      </c>
      <c r="E71" t="s">
        <v>36</v>
      </c>
      <c r="F71">
        <v>4.24</v>
      </c>
      <c r="G71">
        <v>185827</v>
      </c>
      <c r="H71">
        <v>185826.78099999999</v>
      </c>
      <c r="I71" cm="1">
        <f t="array" ref="I71">TREND($Y$8:$Y$11,$W$8:$W$11,H71)</f>
        <v>89.637861849669619</v>
      </c>
      <c r="J71">
        <f t="shared" si="0"/>
        <v>26.891358554900883</v>
      </c>
      <c r="K71">
        <v>0.26405012648597881</v>
      </c>
      <c r="L71" s="2">
        <f t="shared" si="1"/>
        <v>101.84186962064882</v>
      </c>
    </row>
    <row r="72" spans="1:12" x14ac:dyDescent="0.3">
      <c r="A72">
        <v>65</v>
      </c>
      <c r="B72" t="s">
        <v>203</v>
      </c>
      <c r="C72" t="s">
        <v>170</v>
      </c>
      <c r="D72" t="s">
        <v>21</v>
      </c>
      <c r="E72" t="s">
        <v>37</v>
      </c>
      <c r="F72">
        <v>4.25</v>
      </c>
      <c r="G72">
        <v>168386</v>
      </c>
      <c r="H72">
        <v>168385.859</v>
      </c>
      <c r="I72" cm="1">
        <f t="array" ref="I72">TREND($Y$8:$Y$11,$W$8:$W$11,H72)</f>
        <v>80.907622733642242</v>
      </c>
      <c r="J72">
        <f t="shared" si="0"/>
        <v>24.27228682009267</v>
      </c>
      <c r="K72">
        <v>0.17469611385926145</v>
      </c>
      <c r="L72" s="2">
        <f t="shared" si="1"/>
        <v>138.94005014700494</v>
      </c>
    </row>
    <row r="73" spans="1:12" x14ac:dyDescent="0.3">
      <c r="A73">
        <v>66</v>
      </c>
      <c r="B73" t="s">
        <v>204</v>
      </c>
      <c r="C73" t="s">
        <v>171</v>
      </c>
      <c r="D73" t="s">
        <v>21</v>
      </c>
      <c r="E73" t="s">
        <v>38</v>
      </c>
      <c r="F73">
        <v>4.24</v>
      </c>
      <c r="G73">
        <v>173439</v>
      </c>
      <c r="H73">
        <v>173439.32800000001</v>
      </c>
      <c r="I73" cm="1">
        <f t="array" ref="I73">TREND($Y$8:$Y$11,$W$8:$W$11,H73)</f>
        <v>83.437190421372961</v>
      </c>
      <c r="J73">
        <f t="shared" ref="J73" si="2">I73/(2/0.2)*3</f>
        <v>25.031157126411891</v>
      </c>
      <c r="K73">
        <v>0.1175417454223521</v>
      </c>
      <c r="L73" s="2">
        <f t="shared" ref="L73" si="3">J73/K73</f>
        <v>212.95546562176443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C20FA</vt:lpstr>
      <vt:lpstr>C22FA</vt:lpstr>
      <vt:lpstr>C24FA</vt:lpstr>
      <vt:lpstr>C26FA</vt:lpstr>
      <vt:lpstr>C28FA</vt:lpstr>
      <vt:lpstr>C30FA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주경미/분석인증 Lab/KYUNGMI JOO</cp:lastModifiedBy>
  <dcterms:created xsi:type="dcterms:W3CDTF">2025-07-01T22:33:33Z</dcterms:created>
  <dcterms:modified xsi:type="dcterms:W3CDTF">2026-03-30T04:31:36Z</dcterms:modified>
</cp:coreProperties>
</file>