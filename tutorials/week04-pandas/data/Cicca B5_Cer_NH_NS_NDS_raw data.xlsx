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Cicca B5\"/>
    </mc:Choice>
  </mc:AlternateContent>
  <xr:revisionPtr revIDLastSave="0" documentId="8_{CD3BB734-15EF-4F89-BC6C-44BFD306B003}" xr6:coauthVersionLast="47" xr6:coauthVersionMax="47" xr10:uidLastSave="{00000000-0000-0000-0000-000000000000}"/>
  <bookViews>
    <workbookView xWindow="-120" yWindow="-120" windowWidth="29040" windowHeight="15720" xr2:uid="{D3508B74-A4BD-49A1-8A37-9E85356ACA09}"/>
  </bookViews>
  <sheets>
    <sheet name="NH_C18" sheetId="6" r:id="rId1"/>
    <sheet name="NH_C20" sheetId="7" r:id="rId2"/>
    <sheet name="NH_C22" sheetId="8" r:id="rId3"/>
    <sheet name="NH_C24" sheetId="9" r:id="rId4"/>
    <sheet name="NH_C25" sheetId="10" r:id="rId5"/>
    <sheet name="NH_C26" sheetId="11" r:id="rId6"/>
    <sheet name="NH_C28" sheetId="12" r:id="rId7"/>
    <sheet name="NH_C30" sheetId="13" r:id="rId8"/>
    <sheet name="NS_C16" sheetId="14" r:id="rId9"/>
    <sheet name="NS_C18" sheetId="3" r:id="rId10"/>
    <sheet name="NS_C20" sheetId="18" r:id="rId11"/>
    <sheet name="NS_C22" sheetId="15" r:id="rId12"/>
    <sheet name="NS_C24_1" sheetId="4" r:id="rId13"/>
    <sheet name="NS_C24" sheetId="20" r:id="rId14"/>
    <sheet name="NS_C25" sheetId="16" r:id="rId15"/>
    <sheet name="NS_C26" sheetId="17" r:id="rId16"/>
    <sheet name="NS_C28" sheetId="19" r:id="rId17"/>
    <sheet name="NDS_C16" sheetId="22" r:id="rId18"/>
    <sheet name="NDS_C18" sheetId="5" r:id="rId19"/>
    <sheet name="NDS_C20" sheetId="23" r:id="rId20"/>
    <sheet name="NDS_C22" sheetId="24" r:id="rId21"/>
    <sheet name="NDS_C24" sheetId="25" r:id="rId22"/>
    <sheet name="NDS_C25" sheetId="26" r:id="rId23"/>
    <sheet name="NDS_C26" sheetId="27" r:id="rId24"/>
    <sheet name="NDS_C28" sheetId="28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28" l="1"/>
  <c r="I72" i="28"/>
  <c r="I71" i="28"/>
  <c r="J71" i="28" s="1"/>
  <c r="L71" i="28" s="1"/>
  <c r="I70" i="28"/>
  <c r="I69" i="28"/>
  <c r="I68" i="28"/>
  <c r="J68" i="28" s="1"/>
  <c r="L68" i="28" s="1"/>
  <c r="I67" i="28"/>
  <c r="J67" i="28" s="1"/>
  <c r="L67" i="28" s="1"/>
  <c r="I66" i="28"/>
  <c r="J66" i="28" s="1"/>
  <c r="L66" i="28" s="1"/>
  <c r="I65" i="28"/>
  <c r="J65" i="28" s="1"/>
  <c r="L65" i="28" s="1"/>
  <c r="I64" i="28"/>
  <c r="J64" i="28" s="1"/>
  <c r="L64" i="28" s="1"/>
  <c r="I63" i="28"/>
  <c r="J63" i="28" s="1"/>
  <c r="L63" i="28" s="1"/>
  <c r="I62" i="28"/>
  <c r="J62" i="28" s="1"/>
  <c r="L62" i="28" s="1"/>
  <c r="I61" i="28"/>
  <c r="I60" i="28"/>
  <c r="I59" i="28"/>
  <c r="I58" i="28"/>
  <c r="J58" i="28" s="1"/>
  <c r="L58" i="28" s="1"/>
  <c r="I57" i="28"/>
  <c r="I56" i="28"/>
  <c r="J56" i="28" s="1"/>
  <c r="L56" i="28" s="1"/>
  <c r="I55" i="28"/>
  <c r="J55" i="28" s="1"/>
  <c r="L55" i="28" s="1"/>
  <c r="I54" i="28"/>
  <c r="I53" i="28"/>
  <c r="J53" i="28" s="1"/>
  <c r="L53" i="28" s="1"/>
  <c r="I52" i="28"/>
  <c r="J52" i="28" s="1"/>
  <c r="L52" i="28" s="1"/>
  <c r="I51" i="28"/>
  <c r="I50" i="28"/>
  <c r="J50" i="28" s="1"/>
  <c r="L50" i="28" s="1"/>
  <c r="I49" i="28"/>
  <c r="I48" i="28"/>
  <c r="I47" i="28"/>
  <c r="J47" i="28" s="1"/>
  <c r="L47" i="28" s="1"/>
  <c r="I46" i="28"/>
  <c r="I45" i="28"/>
  <c r="I44" i="28"/>
  <c r="J44" i="28" s="1"/>
  <c r="L44" i="28" s="1"/>
  <c r="I43" i="28"/>
  <c r="J43" i="28" s="1"/>
  <c r="L43" i="28" s="1"/>
  <c r="I42" i="28"/>
  <c r="I41" i="28"/>
  <c r="J41" i="28" s="1"/>
  <c r="L41" i="28" s="1"/>
  <c r="I40" i="28"/>
  <c r="J40" i="28" s="1"/>
  <c r="L40" i="28" s="1"/>
  <c r="I39" i="28"/>
  <c r="J39" i="28" s="1"/>
  <c r="L39" i="28" s="1"/>
  <c r="I38" i="28"/>
  <c r="J38" i="28" s="1"/>
  <c r="L38" i="28" s="1"/>
  <c r="I37" i="28"/>
  <c r="I36" i="28"/>
  <c r="I35" i="28"/>
  <c r="I34" i="28"/>
  <c r="I33" i="28"/>
  <c r="I32" i="28"/>
  <c r="J32" i="28" s="1"/>
  <c r="L32" i="28" s="1"/>
  <c r="I31" i="28"/>
  <c r="J31" i="28" s="1"/>
  <c r="L31" i="28" s="1"/>
  <c r="I30" i="28"/>
  <c r="J30" i="28" s="1"/>
  <c r="L30" i="28" s="1"/>
  <c r="I29" i="28"/>
  <c r="J29" i="28" s="1"/>
  <c r="L29" i="28" s="1"/>
  <c r="I28" i="28"/>
  <c r="J28" i="28" s="1"/>
  <c r="L28" i="28" s="1"/>
  <c r="I27" i="28"/>
  <c r="J27" i="28" s="1"/>
  <c r="L27" i="28" s="1"/>
  <c r="I26" i="28"/>
  <c r="J26" i="28" s="1"/>
  <c r="L26" i="28" s="1"/>
  <c r="I25" i="28"/>
  <c r="I24" i="28"/>
  <c r="I23" i="28"/>
  <c r="I22" i="28"/>
  <c r="J22" i="28" s="1"/>
  <c r="L22" i="28" s="1"/>
  <c r="I21" i="28"/>
  <c r="I20" i="28"/>
  <c r="J20" i="28" s="1"/>
  <c r="L20" i="28" s="1"/>
  <c r="I19" i="28"/>
  <c r="J19" i="28" s="1"/>
  <c r="L19" i="28" s="1"/>
  <c r="I18" i="28"/>
  <c r="I17" i="28"/>
  <c r="J17" i="28" s="1"/>
  <c r="L17" i="28" s="1"/>
  <c r="I16" i="28"/>
  <c r="J16" i="28" s="1"/>
  <c r="L16" i="28" s="1"/>
  <c r="I15" i="28"/>
  <c r="I14" i="28"/>
  <c r="J14" i="28" s="1"/>
  <c r="L14" i="28" s="1"/>
  <c r="I13" i="28"/>
  <c r="I12" i="28"/>
  <c r="I11" i="28"/>
  <c r="J11" i="28" s="1"/>
  <c r="L11" i="28" s="1"/>
  <c r="I10" i="28"/>
  <c r="I9" i="28"/>
  <c r="I8" i="28"/>
  <c r="J8" i="28" s="1"/>
  <c r="L8" i="28" s="1"/>
  <c r="I73" i="24"/>
  <c r="J73" i="24" s="1"/>
  <c r="L73" i="24" s="1"/>
  <c r="I72" i="24"/>
  <c r="I71" i="24"/>
  <c r="I70" i="24"/>
  <c r="I69" i="24"/>
  <c r="I68" i="24"/>
  <c r="J68" i="24" s="1"/>
  <c r="L68" i="24" s="1"/>
  <c r="I67" i="24"/>
  <c r="J67" i="24" s="1"/>
  <c r="L67" i="24" s="1"/>
  <c r="I66" i="24"/>
  <c r="J66" i="24" s="1"/>
  <c r="L66" i="24" s="1"/>
  <c r="I65" i="24"/>
  <c r="I64" i="24"/>
  <c r="J64" i="24" s="1"/>
  <c r="L64" i="24" s="1"/>
  <c r="I63" i="24"/>
  <c r="J63" i="24" s="1"/>
  <c r="L63" i="24" s="1"/>
  <c r="I62" i="24"/>
  <c r="J62" i="24" s="1"/>
  <c r="L62" i="24" s="1"/>
  <c r="I61" i="24"/>
  <c r="J61" i="24" s="1"/>
  <c r="L61" i="24" s="1"/>
  <c r="I60" i="24"/>
  <c r="I59" i="24"/>
  <c r="J59" i="24" s="1"/>
  <c r="L59" i="24" s="1"/>
  <c r="I58" i="24"/>
  <c r="J58" i="24" s="1"/>
  <c r="L58" i="24" s="1"/>
  <c r="I57" i="24"/>
  <c r="J57" i="24" s="1"/>
  <c r="L57" i="24" s="1"/>
  <c r="I56" i="24"/>
  <c r="J56" i="24" s="1"/>
  <c r="L56" i="24" s="1"/>
  <c r="I55" i="24"/>
  <c r="J55" i="24" s="1"/>
  <c r="L55" i="24" s="1"/>
  <c r="I54" i="24"/>
  <c r="J54" i="24" s="1"/>
  <c r="L54" i="24" s="1"/>
  <c r="I53" i="24"/>
  <c r="I52" i="24"/>
  <c r="I51" i="24"/>
  <c r="J51" i="24" s="1"/>
  <c r="L51" i="24" s="1"/>
  <c r="I50" i="24"/>
  <c r="J50" i="24" s="1"/>
  <c r="L50" i="24" s="1"/>
  <c r="I49" i="24"/>
  <c r="I48" i="24"/>
  <c r="J48" i="24" s="1"/>
  <c r="L48" i="24" s="1"/>
  <c r="I47" i="24"/>
  <c r="J47" i="24" s="1"/>
  <c r="L47" i="24" s="1"/>
  <c r="I46" i="24"/>
  <c r="J46" i="24" s="1"/>
  <c r="L46" i="24" s="1"/>
  <c r="I45" i="24"/>
  <c r="J45" i="24" s="1"/>
  <c r="L45" i="24" s="1"/>
  <c r="I44" i="24"/>
  <c r="J44" i="24" s="1"/>
  <c r="L44" i="24" s="1"/>
  <c r="I43" i="24"/>
  <c r="J43" i="24" s="1"/>
  <c r="L43" i="24" s="1"/>
  <c r="I42" i="24"/>
  <c r="J42" i="24" s="1"/>
  <c r="L42" i="24" s="1"/>
  <c r="I41" i="24"/>
  <c r="I40" i="24"/>
  <c r="I39" i="24"/>
  <c r="J39" i="24" s="1"/>
  <c r="L39" i="24" s="1"/>
  <c r="I38" i="24"/>
  <c r="J38" i="24" s="1"/>
  <c r="L38" i="24" s="1"/>
  <c r="I37" i="24"/>
  <c r="J37" i="24" s="1"/>
  <c r="L37" i="24" s="1"/>
  <c r="I36" i="24"/>
  <c r="I35" i="24"/>
  <c r="I34" i="24"/>
  <c r="I33" i="24"/>
  <c r="I32" i="24"/>
  <c r="J32" i="24" s="1"/>
  <c r="L32" i="24" s="1"/>
  <c r="I31" i="24"/>
  <c r="J31" i="24" s="1"/>
  <c r="L31" i="24" s="1"/>
  <c r="I30" i="24"/>
  <c r="J30" i="24" s="1"/>
  <c r="L30" i="24" s="1"/>
  <c r="I29" i="24"/>
  <c r="I28" i="24"/>
  <c r="J28" i="24" s="1"/>
  <c r="L28" i="24" s="1"/>
  <c r="I27" i="24"/>
  <c r="J27" i="24" s="1"/>
  <c r="L27" i="24" s="1"/>
  <c r="I26" i="24"/>
  <c r="J26" i="24" s="1"/>
  <c r="L26" i="24" s="1"/>
  <c r="I25" i="24"/>
  <c r="J25" i="24" s="1"/>
  <c r="L25" i="24" s="1"/>
  <c r="I24" i="24"/>
  <c r="I23" i="24"/>
  <c r="J23" i="24" s="1"/>
  <c r="L23" i="24" s="1"/>
  <c r="I22" i="24"/>
  <c r="J22" i="24" s="1"/>
  <c r="L22" i="24" s="1"/>
  <c r="I21" i="24"/>
  <c r="J21" i="24" s="1"/>
  <c r="L21" i="24" s="1"/>
  <c r="I20" i="24"/>
  <c r="J20" i="24" s="1"/>
  <c r="L20" i="24" s="1"/>
  <c r="I19" i="24"/>
  <c r="J19" i="24" s="1"/>
  <c r="L19" i="24" s="1"/>
  <c r="I18" i="24"/>
  <c r="J18" i="24" s="1"/>
  <c r="L18" i="24" s="1"/>
  <c r="I17" i="24"/>
  <c r="I16" i="24"/>
  <c r="I15" i="24"/>
  <c r="J15" i="24" s="1"/>
  <c r="L15" i="24" s="1"/>
  <c r="I14" i="24"/>
  <c r="J14" i="24" s="1"/>
  <c r="L14" i="24" s="1"/>
  <c r="I13" i="24"/>
  <c r="I12" i="24"/>
  <c r="J12" i="24" s="1"/>
  <c r="L12" i="24" s="1"/>
  <c r="I11" i="24"/>
  <c r="J11" i="24" s="1"/>
  <c r="L11" i="24" s="1"/>
  <c r="I10" i="24"/>
  <c r="J10" i="24" s="1"/>
  <c r="L10" i="24" s="1"/>
  <c r="I9" i="24"/>
  <c r="J9" i="24" s="1"/>
  <c r="L9" i="24" s="1"/>
  <c r="I8" i="24"/>
  <c r="J8" i="24" s="1"/>
  <c r="L8" i="24" s="1"/>
  <c r="I73" i="23"/>
  <c r="I72" i="23"/>
  <c r="I71" i="23"/>
  <c r="I70" i="23"/>
  <c r="I69" i="23"/>
  <c r="J69" i="23" s="1"/>
  <c r="L69" i="23" s="1"/>
  <c r="I68" i="23"/>
  <c r="J68" i="23" s="1"/>
  <c r="L68" i="23" s="1"/>
  <c r="I67" i="23"/>
  <c r="J67" i="23" s="1"/>
  <c r="L67" i="23" s="1"/>
  <c r="I66" i="23"/>
  <c r="J66" i="23" s="1"/>
  <c r="L66" i="23" s="1"/>
  <c r="I65" i="23"/>
  <c r="J65" i="23" s="1"/>
  <c r="L65" i="23" s="1"/>
  <c r="I64" i="23"/>
  <c r="I63" i="23"/>
  <c r="I62" i="23"/>
  <c r="J62" i="23" s="1"/>
  <c r="L62" i="23" s="1"/>
  <c r="I61" i="23"/>
  <c r="I60" i="23"/>
  <c r="I59" i="23"/>
  <c r="I58" i="23"/>
  <c r="I57" i="23"/>
  <c r="J57" i="23" s="1"/>
  <c r="L57" i="23" s="1"/>
  <c r="I56" i="23"/>
  <c r="J56" i="23" s="1"/>
  <c r="L56" i="23" s="1"/>
  <c r="I55" i="23"/>
  <c r="J55" i="23" s="1"/>
  <c r="L55" i="23" s="1"/>
  <c r="I54" i="23"/>
  <c r="J54" i="23" s="1"/>
  <c r="L54" i="23" s="1"/>
  <c r="I53" i="23"/>
  <c r="J53" i="23" s="1"/>
  <c r="L53" i="23" s="1"/>
  <c r="I52" i="23"/>
  <c r="J52" i="23" s="1"/>
  <c r="L52" i="23" s="1"/>
  <c r="I51" i="23"/>
  <c r="J51" i="23" s="1"/>
  <c r="L51" i="23" s="1"/>
  <c r="I50" i="23"/>
  <c r="J50" i="23" s="1"/>
  <c r="L50" i="23" s="1"/>
  <c r="I49" i="23"/>
  <c r="I48" i="23"/>
  <c r="I47" i="23"/>
  <c r="I46" i="23"/>
  <c r="I45" i="23"/>
  <c r="J45" i="23" s="1"/>
  <c r="L45" i="23" s="1"/>
  <c r="I44" i="23"/>
  <c r="J44" i="23" s="1"/>
  <c r="L44" i="23" s="1"/>
  <c r="I43" i="23"/>
  <c r="J43" i="23" s="1"/>
  <c r="L43" i="23" s="1"/>
  <c r="I42" i="23"/>
  <c r="J42" i="23" s="1"/>
  <c r="L42" i="23" s="1"/>
  <c r="I41" i="23"/>
  <c r="J41" i="23" s="1"/>
  <c r="L41" i="23" s="1"/>
  <c r="I40" i="23"/>
  <c r="J40" i="23" s="1"/>
  <c r="L40" i="23" s="1"/>
  <c r="I39" i="23"/>
  <c r="I38" i="23"/>
  <c r="J38" i="23" s="1"/>
  <c r="L38" i="23" s="1"/>
  <c r="I37" i="23"/>
  <c r="I36" i="23"/>
  <c r="I35" i="23"/>
  <c r="I34" i="23"/>
  <c r="I33" i="23"/>
  <c r="J33" i="23" s="1"/>
  <c r="L33" i="23" s="1"/>
  <c r="I32" i="23"/>
  <c r="I31" i="23"/>
  <c r="J31" i="23" s="1"/>
  <c r="L31" i="23" s="1"/>
  <c r="I30" i="23"/>
  <c r="J30" i="23" s="1"/>
  <c r="L30" i="23" s="1"/>
  <c r="I29" i="23"/>
  <c r="J29" i="23" s="1"/>
  <c r="L29" i="23" s="1"/>
  <c r="I28" i="23"/>
  <c r="J28" i="23" s="1"/>
  <c r="L28" i="23" s="1"/>
  <c r="I27" i="23"/>
  <c r="J27" i="23" s="1"/>
  <c r="L27" i="23" s="1"/>
  <c r="I26" i="23"/>
  <c r="J26" i="23" s="1"/>
  <c r="L26" i="23" s="1"/>
  <c r="I25" i="23"/>
  <c r="I24" i="23"/>
  <c r="I23" i="23"/>
  <c r="I22" i="23"/>
  <c r="I21" i="23"/>
  <c r="J21" i="23" s="1"/>
  <c r="L21" i="23" s="1"/>
  <c r="I20" i="23"/>
  <c r="J20" i="23" s="1"/>
  <c r="L20" i="23" s="1"/>
  <c r="I19" i="23"/>
  <c r="J19" i="23" s="1"/>
  <c r="L19" i="23" s="1"/>
  <c r="I18" i="23"/>
  <c r="J18" i="23" s="1"/>
  <c r="L18" i="23" s="1"/>
  <c r="I17" i="23"/>
  <c r="J17" i="23" s="1"/>
  <c r="L17" i="23" s="1"/>
  <c r="I16" i="23"/>
  <c r="J16" i="23" s="1"/>
  <c r="L16" i="23" s="1"/>
  <c r="I15" i="23"/>
  <c r="J15" i="23" s="1"/>
  <c r="L15" i="23" s="1"/>
  <c r="I14" i="23"/>
  <c r="J14" i="23" s="1"/>
  <c r="L14" i="23" s="1"/>
  <c r="I13" i="23"/>
  <c r="I12" i="23"/>
  <c r="I11" i="23"/>
  <c r="I10" i="23"/>
  <c r="I9" i="23"/>
  <c r="J9" i="23" s="1"/>
  <c r="L9" i="23" s="1"/>
  <c r="I8" i="23"/>
  <c r="J8" i="23"/>
  <c r="L8" i="23" s="1"/>
  <c r="J10" i="23"/>
  <c r="L10" i="23" s="1"/>
  <c r="J11" i="23"/>
  <c r="L11" i="23" s="1"/>
  <c r="J12" i="23"/>
  <c r="L12" i="23" s="1"/>
  <c r="J13" i="23"/>
  <c r="L13" i="23" s="1"/>
  <c r="J22" i="23"/>
  <c r="L22" i="23" s="1"/>
  <c r="J23" i="23"/>
  <c r="L23" i="23" s="1"/>
  <c r="J24" i="23"/>
  <c r="L24" i="23" s="1"/>
  <c r="J32" i="23"/>
  <c r="L32" i="23" s="1"/>
  <c r="J34" i="23"/>
  <c r="L34" i="23" s="1"/>
  <c r="J35" i="23"/>
  <c r="L35" i="23" s="1"/>
  <c r="J36" i="23"/>
  <c r="L36" i="23" s="1"/>
  <c r="J37" i="23"/>
  <c r="L37" i="23" s="1"/>
  <c r="J39" i="23"/>
  <c r="L39" i="23" s="1"/>
  <c r="J46" i="23"/>
  <c r="L46" i="23" s="1"/>
  <c r="J47" i="23"/>
  <c r="L47" i="23" s="1"/>
  <c r="J48" i="23"/>
  <c r="L48" i="23" s="1"/>
  <c r="J49" i="23"/>
  <c r="L49" i="23" s="1"/>
  <c r="J58" i="23"/>
  <c r="L58" i="23" s="1"/>
  <c r="J59" i="23"/>
  <c r="L59" i="23" s="1"/>
  <c r="J60" i="23"/>
  <c r="L60" i="23" s="1"/>
  <c r="J61" i="23"/>
  <c r="L61" i="23" s="1"/>
  <c r="J63" i="23"/>
  <c r="L63" i="23" s="1"/>
  <c r="J64" i="23"/>
  <c r="L64" i="23" s="1"/>
  <c r="J70" i="23"/>
  <c r="L70" i="23" s="1"/>
  <c r="J71" i="23"/>
  <c r="L71" i="23" s="1"/>
  <c r="J72" i="23"/>
  <c r="L72" i="23" s="1"/>
  <c r="J73" i="23"/>
  <c r="L73" i="23" s="1"/>
  <c r="I9" i="5"/>
  <c r="J9" i="5" s="1"/>
  <c r="L9" i="5" s="1"/>
  <c r="I10" i="5"/>
  <c r="J10" i="5" s="1"/>
  <c r="L10" i="5" s="1"/>
  <c r="I11" i="5"/>
  <c r="I12" i="5"/>
  <c r="I13" i="5"/>
  <c r="I14" i="5"/>
  <c r="I15" i="5"/>
  <c r="J15" i="5" s="1"/>
  <c r="L15" i="5" s="1"/>
  <c r="I16" i="5"/>
  <c r="J16" i="5" s="1"/>
  <c r="L16" i="5" s="1"/>
  <c r="I17" i="5"/>
  <c r="I18" i="5"/>
  <c r="I19" i="5"/>
  <c r="J19" i="5" s="1"/>
  <c r="L19" i="5" s="1"/>
  <c r="I20" i="5"/>
  <c r="J20" i="5" s="1"/>
  <c r="L20" i="5" s="1"/>
  <c r="I21" i="5"/>
  <c r="I22" i="5"/>
  <c r="J22" i="5" s="1"/>
  <c r="L22" i="5" s="1"/>
  <c r="I23" i="5"/>
  <c r="I24" i="5"/>
  <c r="I25" i="5"/>
  <c r="I26" i="5"/>
  <c r="J26" i="5" s="1"/>
  <c r="L26" i="5" s="1"/>
  <c r="I27" i="5"/>
  <c r="I28" i="5"/>
  <c r="J28" i="5" s="1"/>
  <c r="L28" i="5" s="1"/>
  <c r="I29" i="5"/>
  <c r="I30" i="5"/>
  <c r="I31" i="5"/>
  <c r="J31" i="5" s="1"/>
  <c r="L31" i="5" s="1"/>
  <c r="I32" i="5"/>
  <c r="J32" i="5" s="1"/>
  <c r="L32" i="5" s="1"/>
  <c r="I33" i="5"/>
  <c r="J33" i="5" s="1"/>
  <c r="L33" i="5" s="1"/>
  <c r="I34" i="5"/>
  <c r="J34" i="5" s="1"/>
  <c r="L34" i="5" s="1"/>
  <c r="I35" i="5"/>
  <c r="I36" i="5"/>
  <c r="I37" i="5"/>
  <c r="I38" i="5"/>
  <c r="J38" i="5" s="1"/>
  <c r="L38" i="5" s="1"/>
  <c r="I39" i="5"/>
  <c r="J39" i="5" s="1"/>
  <c r="L39" i="5" s="1"/>
  <c r="I40" i="5"/>
  <c r="J40" i="5" s="1"/>
  <c r="L40" i="5" s="1"/>
  <c r="I41" i="5"/>
  <c r="I42" i="5"/>
  <c r="I43" i="5"/>
  <c r="J43" i="5" s="1"/>
  <c r="L43" i="5" s="1"/>
  <c r="I44" i="5"/>
  <c r="J44" i="5" s="1"/>
  <c r="L44" i="5" s="1"/>
  <c r="I45" i="5"/>
  <c r="J45" i="5" s="1"/>
  <c r="L45" i="5" s="1"/>
  <c r="I46" i="5"/>
  <c r="J46" i="5" s="1"/>
  <c r="L46" i="5" s="1"/>
  <c r="I47" i="5"/>
  <c r="I48" i="5"/>
  <c r="I49" i="5"/>
  <c r="I50" i="5"/>
  <c r="I51" i="5"/>
  <c r="J51" i="5" s="1"/>
  <c r="L51" i="5" s="1"/>
  <c r="I52" i="5"/>
  <c r="J52" i="5" s="1"/>
  <c r="L52" i="5" s="1"/>
  <c r="I53" i="5"/>
  <c r="I54" i="5"/>
  <c r="I55" i="5"/>
  <c r="J55" i="5" s="1"/>
  <c r="L55" i="5" s="1"/>
  <c r="I56" i="5"/>
  <c r="J56" i="5" s="1"/>
  <c r="L56" i="5" s="1"/>
  <c r="I57" i="5"/>
  <c r="I58" i="5"/>
  <c r="J58" i="5" s="1"/>
  <c r="L58" i="5" s="1"/>
  <c r="I59" i="5"/>
  <c r="I60" i="5"/>
  <c r="I61" i="5"/>
  <c r="I62" i="5"/>
  <c r="J62" i="5" s="1"/>
  <c r="L62" i="5" s="1"/>
  <c r="I63" i="5"/>
  <c r="I64" i="5"/>
  <c r="J64" i="5" s="1"/>
  <c r="L64" i="5" s="1"/>
  <c r="I65" i="5"/>
  <c r="I66" i="5"/>
  <c r="I67" i="5"/>
  <c r="J67" i="5" s="1"/>
  <c r="L67" i="5" s="1"/>
  <c r="I68" i="5"/>
  <c r="J68" i="5" s="1"/>
  <c r="L68" i="5" s="1"/>
  <c r="I69" i="5"/>
  <c r="J69" i="5" s="1"/>
  <c r="L69" i="5" s="1"/>
  <c r="I70" i="5"/>
  <c r="J70" i="5" s="1"/>
  <c r="L70" i="5" s="1"/>
  <c r="I71" i="5"/>
  <c r="I72" i="5"/>
  <c r="I73" i="5"/>
  <c r="I8" i="5"/>
  <c r="I9" i="17" a="1"/>
  <c r="I9" i="17" s="1"/>
  <c r="J9" i="17" s="1"/>
  <c r="L9" i="17" s="1"/>
  <c r="I10" i="17" a="1"/>
  <c r="I10" i="17" s="1"/>
  <c r="J10" i="17" s="1"/>
  <c r="L10" i="17" s="1"/>
  <c r="I11" i="17" a="1"/>
  <c r="I11" i="17"/>
  <c r="I12" i="17" a="1"/>
  <c r="I12" i="17" s="1"/>
  <c r="J12" i="17" s="1"/>
  <c r="L12" i="17" s="1"/>
  <c r="I13" i="17" a="1"/>
  <c r="I13" i="17" s="1"/>
  <c r="J13" i="17" s="1"/>
  <c r="L13" i="17" s="1"/>
  <c r="I14" i="17" a="1"/>
  <c r="I14" i="17" s="1"/>
  <c r="J14" i="17" s="1"/>
  <c r="L14" i="17" s="1"/>
  <c r="I15" i="17" a="1"/>
  <c r="I15" i="17" s="1"/>
  <c r="J15" i="17" s="1"/>
  <c r="L15" i="17" s="1"/>
  <c r="I16" i="17" a="1"/>
  <c r="I16" i="17" s="1"/>
  <c r="J16" i="17" s="1"/>
  <c r="L16" i="17" s="1"/>
  <c r="I17" i="17" a="1"/>
  <c r="I17" i="17" s="1"/>
  <c r="J17" i="17" s="1"/>
  <c r="L17" i="17" s="1"/>
  <c r="I18" i="17" a="1"/>
  <c r="I18" i="17"/>
  <c r="J18" i="17" s="1"/>
  <c r="L18" i="17" s="1"/>
  <c r="I19" i="17" a="1"/>
  <c r="I19" i="17"/>
  <c r="J19" i="17" s="1"/>
  <c r="L19" i="17" s="1"/>
  <c r="I20" i="17" a="1"/>
  <c r="I20" i="17"/>
  <c r="J20" i="17" s="1"/>
  <c r="L20" i="17" s="1"/>
  <c r="I21" i="17" a="1"/>
  <c r="I21" i="17"/>
  <c r="I22" i="17" a="1"/>
  <c r="I22" i="17" s="1"/>
  <c r="J22" i="17" s="1"/>
  <c r="L22" i="17" s="1"/>
  <c r="I23" i="17" a="1"/>
  <c r="I23" i="17"/>
  <c r="I24" i="17" a="1"/>
  <c r="I24" i="17"/>
  <c r="I25" i="17" a="1"/>
  <c r="I25" i="17" s="1"/>
  <c r="J25" i="17" s="1"/>
  <c r="L25" i="17" s="1"/>
  <c r="I26" i="17" a="1"/>
  <c r="I26" i="17" s="1"/>
  <c r="J26" i="17" s="1"/>
  <c r="L26" i="17" s="1"/>
  <c r="I27" i="17" a="1"/>
  <c r="I27" i="17" s="1"/>
  <c r="J27" i="17" s="1"/>
  <c r="L27" i="17" s="1"/>
  <c r="I28" i="17" a="1"/>
  <c r="I28" i="17" s="1"/>
  <c r="J28" i="17" s="1"/>
  <c r="L28" i="17" s="1"/>
  <c r="I29" i="17" a="1"/>
  <c r="I29" i="17" s="1"/>
  <c r="J29" i="17" s="1"/>
  <c r="L29" i="17" s="1"/>
  <c r="I30" i="17" a="1"/>
  <c r="I30" i="17" s="1"/>
  <c r="J30" i="17" s="1"/>
  <c r="L30" i="17" s="1"/>
  <c r="I31" i="17" a="1"/>
  <c r="I31" i="17"/>
  <c r="J31" i="17" s="1"/>
  <c r="L31" i="17" s="1"/>
  <c r="I32" i="17" a="1"/>
  <c r="I32" i="17"/>
  <c r="J32" i="17" s="1"/>
  <c r="L32" i="17" s="1"/>
  <c r="I33" i="17" a="1"/>
  <c r="I33" i="17"/>
  <c r="I34" i="17" a="1"/>
  <c r="I34" i="17" s="1"/>
  <c r="J34" i="17" s="1"/>
  <c r="L34" i="17" s="1"/>
  <c r="I35" i="17" a="1"/>
  <c r="I35" i="17" s="1"/>
  <c r="J35" i="17" s="1"/>
  <c r="L35" i="17" s="1"/>
  <c r="I36" i="17" a="1"/>
  <c r="I36" i="17"/>
  <c r="I37" i="17" a="1"/>
  <c r="I37" i="17"/>
  <c r="I38" i="17" a="1"/>
  <c r="I38" i="17"/>
  <c r="J38" i="17" s="1"/>
  <c r="L38" i="17" s="1"/>
  <c r="I39" i="17" a="1"/>
  <c r="I39" i="17" s="1"/>
  <c r="J39" i="17" s="1"/>
  <c r="L39" i="17" s="1"/>
  <c r="I40" i="17" a="1"/>
  <c r="I40" i="17" s="1"/>
  <c r="J40" i="17" s="1"/>
  <c r="L40" i="17" s="1"/>
  <c r="I41" i="17" a="1"/>
  <c r="I41" i="17"/>
  <c r="I42" i="17" a="1"/>
  <c r="I42" i="17"/>
  <c r="J42" i="17" s="1"/>
  <c r="L42" i="17" s="1"/>
  <c r="I43" i="17" a="1"/>
  <c r="I43" i="17" s="1"/>
  <c r="J43" i="17" s="1"/>
  <c r="L43" i="17" s="1"/>
  <c r="I44" i="17" a="1"/>
  <c r="I44" i="17"/>
  <c r="J44" i="17" s="1"/>
  <c r="L44" i="17" s="1"/>
  <c r="I45" i="17" a="1"/>
  <c r="I45" i="17"/>
  <c r="J45" i="17" s="1"/>
  <c r="L45" i="17" s="1"/>
  <c r="I46" i="17" a="1"/>
  <c r="I46" i="17" s="1"/>
  <c r="J46" i="17" s="1"/>
  <c r="L46" i="17" s="1"/>
  <c r="I47" i="17" a="1"/>
  <c r="I47" i="17" s="1"/>
  <c r="J47" i="17" s="1"/>
  <c r="L47" i="17" s="1"/>
  <c r="I48" i="17" a="1"/>
  <c r="I48" i="17" s="1"/>
  <c r="J48" i="17" s="1"/>
  <c r="L48" i="17" s="1"/>
  <c r="I49" i="17" a="1"/>
  <c r="I49" i="17"/>
  <c r="I50" i="17" a="1"/>
  <c r="I50" i="17"/>
  <c r="J50" i="17" s="1"/>
  <c r="L50" i="17" s="1"/>
  <c r="I51" i="17" a="1"/>
  <c r="I51" i="17"/>
  <c r="I52" i="17" a="1"/>
  <c r="I52" i="17" s="1"/>
  <c r="J52" i="17" s="1"/>
  <c r="L52" i="17" s="1"/>
  <c r="I53" i="17" a="1"/>
  <c r="I53" i="17"/>
  <c r="I54" i="17" a="1"/>
  <c r="I54" i="17"/>
  <c r="J54" i="17" s="1"/>
  <c r="L54" i="17" s="1"/>
  <c r="I55" i="17" a="1"/>
  <c r="I55" i="17"/>
  <c r="J55" i="17" s="1"/>
  <c r="L55" i="17" s="1"/>
  <c r="I56" i="17" a="1"/>
  <c r="I56" i="17" s="1"/>
  <c r="J56" i="17" s="1"/>
  <c r="L56" i="17" s="1"/>
  <c r="I57" i="17" a="1"/>
  <c r="I57" i="17"/>
  <c r="J57" i="17" s="1"/>
  <c r="L57" i="17" s="1"/>
  <c r="I58" i="17" a="1"/>
  <c r="I58" i="17" s="1"/>
  <c r="J58" i="17" s="1"/>
  <c r="L58" i="17" s="1"/>
  <c r="I59" i="17" a="1"/>
  <c r="I59" i="17" s="1"/>
  <c r="J59" i="17" s="1"/>
  <c r="L59" i="17" s="1"/>
  <c r="I60" i="17" a="1"/>
  <c r="I60" i="17" s="1"/>
  <c r="J60" i="17" s="1"/>
  <c r="L60" i="17" s="1"/>
  <c r="I61" i="17" a="1"/>
  <c r="I61" i="17" s="1"/>
  <c r="J61" i="17" s="1"/>
  <c r="L61" i="17" s="1"/>
  <c r="I62" i="17" a="1"/>
  <c r="I62" i="17"/>
  <c r="J62" i="17" s="1"/>
  <c r="L62" i="17" s="1"/>
  <c r="I63" i="17" a="1"/>
  <c r="I63" i="17"/>
  <c r="I64" i="17" a="1"/>
  <c r="I64" i="17" s="1"/>
  <c r="J64" i="17" s="1"/>
  <c r="L64" i="17" s="1"/>
  <c r="I65" i="17" a="1"/>
  <c r="I65" i="17"/>
  <c r="J65" i="17" s="1"/>
  <c r="L65" i="17" s="1"/>
  <c r="I66" i="17" a="1"/>
  <c r="I66" i="17"/>
  <c r="J66" i="17" s="1"/>
  <c r="L66" i="17" s="1"/>
  <c r="I67" i="17" a="1"/>
  <c r="I67" i="17"/>
  <c r="J67" i="17" s="1"/>
  <c r="L67" i="17" s="1"/>
  <c r="I68" i="17" a="1"/>
  <c r="I68" i="17"/>
  <c r="J68" i="17" s="1"/>
  <c r="L68" i="17" s="1"/>
  <c r="I69" i="17" a="1"/>
  <c r="I69" i="17" s="1"/>
  <c r="J69" i="17" s="1"/>
  <c r="L69" i="17" s="1"/>
  <c r="I70" i="17" a="1"/>
  <c r="I70" i="17" s="1"/>
  <c r="J70" i="17" s="1"/>
  <c r="L70" i="17" s="1"/>
  <c r="I71" i="17" a="1"/>
  <c r="I71" i="17"/>
  <c r="J71" i="17" s="1"/>
  <c r="L71" i="17" s="1"/>
  <c r="I72" i="17" a="1"/>
  <c r="I72" i="17" s="1"/>
  <c r="J72" i="17" s="1"/>
  <c r="L72" i="17" s="1"/>
  <c r="I73" i="17" a="1"/>
  <c r="I73" i="17" s="1"/>
  <c r="J73" i="17" s="1"/>
  <c r="L73" i="17" s="1"/>
  <c r="I8" i="17" a="1"/>
  <c r="I8" i="17" s="1"/>
  <c r="J8" i="17" s="1"/>
  <c r="L8" i="17" s="1"/>
  <c r="I9" i="20" a="1"/>
  <c r="I9" i="20" s="1"/>
  <c r="J9" i="20" s="1"/>
  <c r="L9" i="20" s="1"/>
  <c r="I10" i="20" a="1"/>
  <c r="I10" i="20" s="1"/>
  <c r="J10" i="20" s="1"/>
  <c r="L10" i="20" s="1"/>
  <c r="I11" i="20" a="1"/>
  <c r="I11" i="20"/>
  <c r="J11" i="20" s="1"/>
  <c r="L11" i="20" s="1"/>
  <c r="I12" i="20" a="1"/>
  <c r="I12" i="20"/>
  <c r="J12" i="20" s="1"/>
  <c r="L12" i="20" s="1"/>
  <c r="I13" i="20" a="1"/>
  <c r="I13" i="20" s="1"/>
  <c r="J13" i="20" s="1"/>
  <c r="L13" i="20" s="1"/>
  <c r="I14" i="20" a="1"/>
  <c r="I14" i="20" s="1"/>
  <c r="J14" i="20" s="1"/>
  <c r="L14" i="20" s="1"/>
  <c r="I15" i="20" a="1"/>
  <c r="I15" i="20"/>
  <c r="I16" i="20" a="1"/>
  <c r="I16" i="20" s="1"/>
  <c r="J16" i="20" s="1"/>
  <c r="L16" i="20" s="1"/>
  <c r="I17" i="20" a="1"/>
  <c r="I17" i="20" s="1"/>
  <c r="J17" i="20" s="1"/>
  <c r="L17" i="20" s="1"/>
  <c r="I18" i="20" a="1"/>
  <c r="I18" i="20"/>
  <c r="I19" i="20" a="1"/>
  <c r="I19" i="20" s="1"/>
  <c r="J19" i="20" s="1"/>
  <c r="L19" i="20" s="1"/>
  <c r="I20" i="20" a="1"/>
  <c r="I20" i="20"/>
  <c r="J20" i="20" s="1"/>
  <c r="L20" i="20" s="1"/>
  <c r="I21" i="20" a="1"/>
  <c r="I21" i="20" s="1"/>
  <c r="J21" i="20" s="1"/>
  <c r="L21" i="20" s="1"/>
  <c r="I22" i="20" a="1"/>
  <c r="I22" i="20" s="1"/>
  <c r="J22" i="20" s="1"/>
  <c r="L22" i="20" s="1"/>
  <c r="I23" i="20" a="1"/>
  <c r="I23" i="20"/>
  <c r="I24" i="20" a="1"/>
  <c r="I24" i="20"/>
  <c r="J24" i="20" s="1"/>
  <c r="L24" i="20" s="1"/>
  <c r="I25" i="20" a="1"/>
  <c r="I25" i="20"/>
  <c r="J25" i="20" s="1"/>
  <c r="L25" i="20" s="1"/>
  <c r="I26" i="20" a="1"/>
  <c r="I26" i="20" s="1"/>
  <c r="J26" i="20" s="1"/>
  <c r="L26" i="20" s="1"/>
  <c r="I27" i="20" a="1"/>
  <c r="I27" i="20" s="1"/>
  <c r="J27" i="20" s="1"/>
  <c r="L27" i="20" s="1"/>
  <c r="I28" i="20" a="1"/>
  <c r="I28" i="20" s="1"/>
  <c r="J28" i="20" s="1"/>
  <c r="L28" i="20" s="1"/>
  <c r="I29" i="20" a="1"/>
  <c r="I29" i="20" s="1"/>
  <c r="J29" i="20" s="1"/>
  <c r="L29" i="20" s="1"/>
  <c r="I30" i="20" a="1"/>
  <c r="I30" i="20" s="1"/>
  <c r="J30" i="20" s="1"/>
  <c r="L30" i="20" s="1"/>
  <c r="I31" i="20" a="1"/>
  <c r="I31" i="20"/>
  <c r="J31" i="20" s="1"/>
  <c r="L31" i="20" s="1"/>
  <c r="I32" i="20" a="1"/>
  <c r="I32" i="20" s="1"/>
  <c r="J32" i="20" s="1"/>
  <c r="L32" i="20" s="1"/>
  <c r="I33" i="20" a="1"/>
  <c r="I33" i="20"/>
  <c r="I34" i="20" a="1"/>
  <c r="I34" i="20" s="1"/>
  <c r="J34" i="20" s="1"/>
  <c r="L34" i="20" s="1"/>
  <c r="I35" i="20" a="1"/>
  <c r="I35" i="20"/>
  <c r="I36" i="20" a="1"/>
  <c r="I36" i="20"/>
  <c r="J36" i="20" s="1"/>
  <c r="L36" i="20" s="1"/>
  <c r="I37" i="20" a="1"/>
  <c r="I37" i="20"/>
  <c r="J37" i="20" s="1"/>
  <c r="L37" i="20" s="1"/>
  <c r="I38" i="20" a="1"/>
  <c r="I38" i="20"/>
  <c r="J38" i="20" s="1"/>
  <c r="L38" i="20" s="1"/>
  <c r="I39" i="20" a="1"/>
  <c r="I39" i="20" s="1"/>
  <c r="J39" i="20" s="1"/>
  <c r="L39" i="20" s="1"/>
  <c r="I40" i="20" a="1"/>
  <c r="I40" i="20" s="1"/>
  <c r="J40" i="20" s="1"/>
  <c r="L40" i="20" s="1"/>
  <c r="I41" i="20" a="1"/>
  <c r="I41" i="20" s="1"/>
  <c r="J41" i="20" s="1"/>
  <c r="L41" i="20" s="1"/>
  <c r="I42" i="20" a="1"/>
  <c r="I42" i="20" s="1"/>
  <c r="J42" i="20" s="1"/>
  <c r="L42" i="20" s="1"/>
  <c r="I43" i="20" a="1"/>
  <c r="I43" i="20" s="1"/>
  <c r="J43" i="20" s="1"/>
  <c r="L43" i="20" s="1"/>
  <c r="I44" i="20" a="1"/>
  <c r="I44" i="20"/>
  <c r="J44" i="20" s="1"/>
  <c r="L44" i="20" s="1"/>
  <c r="I45" i="20" a="1"/>
  <c r="I45" i="20" s="1"/>
  <c r="J45" i="20" s="1"/>
  <c r="L45" i="20" s="1"/>
  <c r="I46" i="20" a="1"/>
  <c r="I46" i="20" s="1"/>
  <c r="J46" i="20" s="1"/>
  <c r="L46" i="20" s="1"/>
  <c r="I47" i="20" a="1"/>
  <c r="I47" i="20" s="1"/>
  <c r="J47" i="20" s="1"/>
  <c r="L47" i="20" s="1"/>
  <c r="I48" i="20" a="1"/>
  <c r="I48" i="20" s="1"/>
  <c r="J48" i="20" s="1"/>
  <c r="L48" i="20" s="1"/>
  <c r="I49" i="20" a="1"/>
  <c r="I49" i="20" s="1"/>
  <c r="J49" i="20" s="1"/>
  <c r="L49" i="20" s="1"/>
  <c r="I50" i="20" a="1"/>
  <c r="I50" i="20" s="1"/>
  <c r="J50" i="20" s="1"/>
  <c r="L50" i="20" s="1"/>
  <c r="I51" i="20" a="1"/>
  <c r="I51" i="20"/>
  <c r="I52" i="20" a="1"/>
  <c r="I52" i="20" s="1"/>
  <c r="J52" i="20" s="1"/>
  <c r="L52" i="20" s="1"/>
  <c r="I53" i="20" a="1"/>
  <c r="I53" i="20" s="1"/>
  <c r="J53" i="20" s="1"/>
  <c r="L53" i="20" s="1"/>
  <c r="I54" i="20" a="1"/>
  <c r="I54" i="20"/>
  <c r="I55" i="20" a="1"/>
  <c r="I55" i="20" s="1"/>
  <c r="J55" i="20" s="1"/>
  <c r="L55" i="20" s="1"/>
  <c r="I56" i="20" a="1"/>
  <c r="I56" i="20" s="1"/>
  <c r="J56" i="20" s="1"/>
  <c r="L56" i="20" s="1"/>
  <c r="I57" i="20" a="1"/>
  <c r="I57" i="20" s="1"/>
  <c r="J57" i="20" s="1"/>
  <c r="L57" i="20" s="1"/>
  <c r="I58" i="20" a="1"/>
  <c r="I58" i="20" s="1"/>
  <c r="J58" i="20" s="1"/>
  <c r="L58" i="20" s="1"/>
  <c r="I59" i="20" a="1"/>
  <c r="I59" i="20" s="1"/>
  <c r="J59" i="20" s="1"/>
  <c r="L59" i="20" s="1"/>
  <c r="I60" i="20" a="1"/>
  <c r="I60" i="20" s="1"/>
  <c r="J60" i="20" s="1"/>
  <c r="L60" i="20" s="1"/>
  <c r="I61" i="20" a="1"/>
  <c r="I61" i="20"/>
  <c r="J61" i="20" s="1"/>
  <c r="L61" i="20" s="1"/>
  <c r="I62" i="20" a="1"/>
  <c r="I62" i="20" s="1"/>
  <c r="J62" i="20" s="1"/>
  <c r="L62" i="20" s="1"/>
  <c r="I63" i="20" a="1"/>
  <c r="I63" i="20" s="1"/>
  <c r="J63" i="20" s="1"/>
  <c r="L63" i="20" s="1"/>
  <c r="I64" i="20" a="1"/>
  <c r="I64" i="20" s="1"/>
  <c r="J64" i="20" s="1"/>
  <c r="L64" i="20" s="1"/>
  <c r="I65" i="20" a="1"/>
  <c r="I65" i="20" s="1"/>
  <c r="J65" i="20" s="1"/>
  <c r="L65" i="20" s="1"/>
  <c r="I66" i="20" a="1"/>
  <c r="I66" i="20"/>
  <c r="J66" i="20" s="1"/>
  <c r="L66" i="20" s="1"/>
  <c r="I67" i="20" a="1"/>
  <c r="I67" i="20" s="1"/>
  <c r="J67" i="20" s="1"/>
  <c r="L67" i="20" s="1"/>
  <c r="I68" i="20" a="1"/>
  <c r="I68" i="20" s="1"/>
  <c r="J68" i="20" s="1"/>
  <c r="L68" i="20" s="1"/>
  <c r="I69" i="20" a="1"/>
  <c r="I69" i="20" s="1"/>
  <c r="J69" i="20" s="1"/>
  <c r="L69" i="20" s="1"/>
  <c r="I70" i="20" a="1"/>
  <c r="I70" i="20" s="1"/>
  <c r="J70" i="20" s="1"/>
  <c r="L70" i="20" s="1"/>
  <c r="I71" i="20" a="1"/>
  <c r="I71" i="20" s="1"/>
  <c r="J71" i="20" s="1"/>
  <c r="L71" i="20" s="1"/>
  <c r="I72" i="20" a="1"/>
  <c r="I72" i="20" s="1"/>
  <c r="J72" i="20" s="1"/>
  <c r="L72" i="20" s="1"/>
  <c r="I73" i="20" a="1"/>
  <c r="I73" i="20"/>
  <c r="J73" i="20" s="1"/>
  <c r="L73" i="20" s="1"/>
  <c r="I8" i="20" a="1"/>
  <c r="I8" i="20" s="1"/>
  <c r="J8" i="20" s="1"/>
  <c r="L8" i="20" s="1"/>
  <c r="I73" i="18"/>
  <c r="I72" i="18"/>
  <c r="I71" i="18"/>
  <c r="I70" i="18"/>
  <c r="I69" i="18"/>
  <c r="I68" i="18"/>
  <c r="I67" i="18"/>
  <c r="I66" i="18"/>
  <c r="I65" i="18"/>
  <c r="J65" i="18" s="1"/>
  <c r="L65" i="18" s="1"/>
  <c r="I64" i="18"/>
  <c r="J64" i="18" s="1"/>
  <c r="L64" i="18" s="1"/>
  <c r="I63" i="18"/>
  <c r="J63" i="18" s="1"/>
  <c r="L63" i="18" s="1"/>
  <c r="I62" i="18"/>
  <c r="J62" i="18" s="1"/>
  <c r="L62" i="18" s="1"/>
  <c r="I61" i="18"/>
  <c r="J61" i="18" s="1"/>
  <c r="L61" i="18" s="1"/>
  <c r="I60" i="18"/>
  <c r="I59" i="18"/>
  <c r="I58" i="18"/>
  <c r="J58" i="18" s="1"/>
  <c r="L58" i="18" s="1"/>
  <c r="I57" i="18"/>
  <c r="J57" i="18" s="1"/>
  <c r="L57" i="18" s="1"/>
  <c r="I56" i="18"/>
  <c r="I55" i="18"/>
  <c r="I54" i="18"/>
  <c r="I53" i="18"/>
  <c r="J53" i="18" s="1"/>
  <c r="L53" i="18" s="1"/>
  <c r="I52" i="18"/>
  <c r="J52" i="18" s="1"/>
  <c r="L52" i="18" s="1"/>
  <c r="I51" i="18"/>
  <c r="J51" i="18" s="1"/>
  <c r="L51" i="18" s="1"/>
  <c r="I50" i="18"/>
  <c r="J50" i="18" s="1"/>
  <c r="L50" i="18" s="1"/>
  <c r="I49" i="18"/>
  <c r="I48" i="18"/>
  <c r="J48" i="18" s="1"/>
  <c r="L48" i="18" s="1"/>
  <c r="I47" i="18"/>
  <c r="J47" i="18" s="1"/>
  <c r="L47" i="18" s="1"/>
  <c r="I46" i="18"/>
  <c r="J46" i="18" s="1"/>
  <c r="L46" i="18" s="1"/>
  <c r="I45" i="18"/>
  <c r="J45" i="18" s="1"/>
  <c r="L45" i="18" s="1"/>
  <c r="I44" i="18"/>
  <c r="I43" i="18"/>
  <c r="I42" i="18"/>
  <c r="I41" i="18"/>
  <c r="J41" i="18" s="1"/>
  <c r="L41" i="18" s="1"/>
  <c r="I40" i="18"/>
  <c r="J40" i="18" s="1"/>
  <c r="L40" i="18" s="1"/>
  <c r="I39" i="18"/>
  <c r="J39" i="18" s="1"/>
  <c r="L39" i="18" s="1"/>
  <c r="I38" i="18"/>
  <c r="J38" i="18" s="1"/>
  <c r="L38" i="18" s="1"/>
  <c r="I37" i="18"/>
  <c r="I36" i="18"/>
  <c r="I35" i="18"/>
  <c r="I34" i="18"/>
  <c r="I33" i="18"/>
  <c r="I32" i="18"/>
  <c r="I31" i="18"/>
  <c r="I30" i="18"/>
  <c r="I29" i="18"/>
  <c r="J29" i="18" s="1"/>
  <c r="L29" i="18" s="1"/>
  <c r="I28" i="18"/>
  <c r="J28" i="18" s="1"/>
  <c r="L28" i="18" s="1"/>
  <c r="I27" i="18"/>
  <c r="J27" i="18" s="1"/>
  <c r="L27" i="18" s="1"/>
  <c r="I26" i="18"/>
  <c r="J26" i="18" s="1"/>
  <c r="L26" i="18" s="1"/>
  <c r="I25" i="18"/>
  <c r="J25" i="18" s="1"/>
  <c r="L25" i="18" s="1"/>
  <c r="I24" i="18"/>
  <c r="I23" i="18"/>
  <c r="I22" i="18"/>
  <c r="J22" i="18" s="1"/>
  <c r="L22" i="18" s="1"/>
  <c r="I21" i="18"/>
  <c r="J21" i="18" s="1"/>
  <c r="L21" i="18" s="1"/>
  <c r="I20" i="18"/>
  <c r="I19" i="18"/>
  <c r="I18" i="18"/>
  <c r="I17" i="18"/>
  <c r="J17" i="18" s="1"/>
  <c r="L17" i="18" s="1"/>
  <c r="I16" i="18"/>
  <c r="J16" i="18" s="1"/>
  <c r="L16" i="18" s="1"/>
  <c r="I15" i="18"/>
  <c r="J15" i="18" s="1"/>
  <c r="L15" i="18" s="1"/>
  <c r="I14" i="18"/>
  <c r="J14" i="18" s="1"/>
  <c r="L14" i="18" s="1"/>
  <c r="I13" i="18"/>
  <c r="I12" i="18"/>
  <c r="J12" i="18" s="1"/>
  <c r="L12" i="18" s="1"/>
  <c r="I11" i="18"/>
  <c r="J11" i="18" s="1"/>
  <c r="L11" i="18" s="1"/>
  <c r="I10" i="18"/>
  <c r="J10" i="18" s="1"/>
  <c r="L10" i="18" s="1"/>
  <c r="I9" i="18"/>
  <c r="J9" i="18" s="1"/>
  <c r="L9" i="18" s="1"/>
  <c r="I8" i="18"/>
  <c r="I73" i="3"/>
  <c r="I72" i="3"/>
  <c r="I71" i="3"/>
  <c r="I70" i="3"/>
  <c r="I69" i="3"/>
  <c r="J69" i="3" s="1"/>
  <c r="L69" i="3" s="1"/>
  <c r="I68" i="3"/>
  <c r="I67" i="3"/>
  <c r="I66" i="3"/>
  <c r="J66" i="3" s="1"/>
  <c r="L66" i="3" s="1"/>
  <c r="I65" i="3"/>
  <c r="I64" i="3"/>
  <c r="I63" i="3"/>
  <c r="J63" i="3" s="1"/>
  <c r="L63" i="3" s="1"/>
  <c r="I62" i="3"/>
  <c r="J62" i="3" s="1"/>
  <c r="L62" i="3" s="1"/>
  <c r="I61" i="3"/>
  <c r="I60" i="3"/>
  <c r="I59" i="3"/>
  <c r="I58" i="3"/>
  <c r="I57" i="3"/>
  <c r="I56" i="3"/>
  <c r="I55" i="3"/>
  <c r="I54" i="3"/>
  <c r="I53" i="3"/>
  <c r="I52" i="3"/>
  <c r="I51" i="3"/>
  <c r="J51" i="3" s="1"/>
  <c r="L51" i="3" s="1"/>
  <c r="I50" i="3"/>
  <c r="J50" i="3" s="1"/>
  <c r="L50" i="3" s="1"/>
  <c r="I49" i="3"/>
  <c r="I48" i="3"/>
  <c r="I47" i="3"/>
  <c r="I46" i="3"/>
  <c r="I45" i="3"/>
  <c r="J45" i="3" s="1"/>
  <c r="L45" i="3" s="1"/>
  <c r="I44" i="3"/>
  <c r="I43" i="3"/>
  <c r="I42" i="3"/>
  <c r="J42" i="3" s="1"/>
  <c r="L42" i="3" s="1"/>
  <c r="I41" i="3"/>
  <c r="J41" i="3" s="1"/>
  <c r="L41" i="3" s="1"/>
  <c r="I40" i="3"/>
  <c r="I39" i="3"/>
  <c r="J39" i="3" s="1"/>
  <c r="L39" i="3" s="1"/>
  <c r="I38" i="3"/>
  <c r="J38" i="3" s="1"/>
  <c r="L38" i="3" s="1"/>
  <c r="I37" i="3"/>
  <c r="I36" i="3"/>
  <c r="I35" i="3"/>
  <c r="I34" i="3"/>
  <c r="I33" i="3"/>
  <c r="J33" i="3" s="1"/>
  <c r="L33" i="3" s="1"/>
  <c r="I32" i="3"/>
  <c r="I31" i="3"/>
  <c r="I30" i="3"/>
  <c r="J30" i="3" s="1"/>
  <c r="L30" i="3" s="1"/>
  <c r="I29" i="3"/>
  <c r="I28" i="3"/>
  <c r="I27" i="3"/>
  <c r="J27" i="3" s="1"/>
  <c r="L27" i="3" s="1"/>
  <c r="I26" i="3"/>
  <c r="J26" i="3" s="1"/>
  <c r="L26" i="3" s="1"/>
  <c r="I25" i="3"/>
  <c r="I24" i="3"/>
  <c r="I23" i="3"/>
  <c r="I22" i="3"/>
  <c r="I21" i="3"/>
  <c r="I20" i="3"/>
  <c r="I19" i="3"/>
  <c r="I18" i="3"/>
  <c r="J18" i="3" s="1"/>
  <c r="L18" i="3" s="1"/>
  <c r="I17" i="3"/>
  <c r="J17" i="3" s="1"/>
  <c r="L17" i="3" s="1"/>
  <c r="I16" i="3"/>
  <c r="I15" i="3"/>
  <c r="J15" i="3" s="1"/>
  <c r="L15" i="3" s="1"/>
  <c r="I14" i="3"/>
  <c r="J14" i="3" s="1"/>
  <c r="L14" i="3" s="1"/>
  <c r="I13" i="3"/>
  <c r="I12" i="3"/>
  <c r="I11" i="3"/>
  <c r="I10" i="3"/>
  <c r="I9" i="3"/>
  <c r="J9" i="3" s="1"/>
  <c r="L9" i="3" s="1"/>
  <c r="I8" i="3"/>
  <c r="J73" i="28"/>
  <c r="L73" i="28" s="1"/>
  <c r="J72" i="28"/>
  <c r="L72" i="28" s="1"/>
  <c r="J70" i="28"/>
  <c r="L70" i="28" s="1"/>
  <c r="J69" i="28"/>
  <c r="L69" i="28" s="1"/>
  <c r="J61" i="28"/>
  <c r="L61" i="28" s="1"/>
  <c r="J60" i="28"/>
  <c r="L60" i="28" s="1"/>
  <c r="J59" i="28"/>
  <c r="L59" i="28" s="1"/>
  <c r="J57" i="28"/>
  <c r="L57" i="28" s="1"/>
  <c r="J54" i="28"/>
  <c r="L54" i="28" s="1"/>
  <c r="J51" i="28"/>
  <c r="L51" i="28" s="1"/>
  <c r="J49" i="28"/>
  <c r="L49" i="28" s="1"/>
  <c r="J48" i="28"/>
  <c r="L48" i="28" s="1"/>
  <c r="J46" i="28"/>
  <c r="L46" i="28" s="1"/>
  <c r="J45" i="28"/>
  <c r="L45" i="28" s="1"/>
  <c r="J42" i="28"/>
  <c r="L42" i="28" s="1"/>
  <c r="J37" i="28"/>
  <c r="L37" i="28" s="1"/>
  <c r="J36" i="28"/>
  <c r="L36" i="28" s="1"/>
  <c r="J35" i="28"/>
  <c r="L35" i="28" s="1"/>
  <c r="J34" i="28"/>
  <c r="L34" i="28" s="1"/>
  <c r="J33" i="28"/>
  <c r="L33" i="28" s="1"/>
  <c r="J25" i="28"/>
  <c r="L25" i="28" s="1"/>
  <c r="J24" i="28"/>
  <c r="L24" i="28" s="1"/>
  <c r="J23" i="28"/>
  <c r="L23" i="28" s="1"/>
  <c r="J21" i="28"/>
  <c r="L21" i="28" s="1"/>
  <c r="J18" i="28"/>
  <c r="L18" i="28" s="1"/>
  <c r="J15" i="28"/>
  <c r="L15" i="28" s="1"/>
  <c r="J13" i="28"/>
  <c r="L13" i="28" s="1"/>
  <c r="J12" i="28"/>
  <c r="L12" i="28" s="1"/>
  <c r="J10" i="28"/>
  <c r="L10" i="28" s="1"/>
  <c r="J9" i="28"/>
  <c r="L9" i="28" s="1"/>
  <c r="I73" i="27" a="1"/>
  <c r="I73" i="27" s="1"/>
  <c r="J73" i="27" s="1"/>
  <c r="L73" i="27" s="1"/>
  <c r="I72" i="27" a="1"/>
  <c r="I72" i="27" s="1"/>
  <c r="J72" i="27" s="1"/>
  <c r="L72" i="27" s="1"/>
  <c r="I71" i="27" a="1"/>
  <c r="I71" i="27" s="1"/>
  <c r="J71" i="27" s="1"/>
  <c r="L71" i="27" s="1"/>
  <c r="I70" i="27" a="1"/>
  <c r="I70" i="27" s="1"/>
  <c r="J70" i="27" s="1"/>
  <c r="L70" i="27" s="1"/>
  <c r="I69" i="27" a="1"/>
  <c r="I69" i="27" s="1"/>
  <c r="J69" i="27" s="1"/>
  <c r="L69" i="27" s="1"/>
  <c r="I68" i="27" a="1"/>
  <c r="I68" i="27" s="1"/>
  <c r="J68" i="27" s="1"/>
  <c r="L68" i="27" s="1"/>
  <c r="I67" i="27" a="1"/>
  <c r="I67" i="27" s="1"/>
  <c r="J67" i="27" s="1"/>
  <c r="L67" i="27" s="1"/>
  <c r="I66" i="27" a="1"/>
  <c r="I66" i="27" s="1"/>
  <c r="J66" i="27" s="1"/>
  <c r="L66" i="27" s="1"/>
  <c r="I65" i="27" a="1"/>
  <c r="I65" i="27" s="1"/>
  <c r="J65" i="27" s="1"/>
  <c r="L65" i="27" s="1"/>
  <c r="I64" i="27" a="1"/>
  <c r="I64" i="27" s="1"/>
  <c r="J64" i="27" s="1"/>
  <c r="L64" i="27" s="1"/>
  <c r="I63" i="27" a="1"/>
  <c r="I63" i="27" s="1"/>
  <c r="J63" i="27" s="1"/>
  <c r="L63" i="27" s="1"/>
  <c r="I62" i="27" a="1"/>
  <c r="I62" i="27" s="1"/>
  <c r="J62" i="27" s="1"/>
  <c r="L62" i="27" s="1"/>
  <c r="I61" i="27" a="1"/>
  <c r="I61" i="27" s="1"/>
  <c r="J61" i="27" s="1"/>
  <c r="L61" i="27" s="1"/>
  <c r="I60" i="27" a="1"/>
  <c r="I60" i="27" s="1"/>
  <c r="J60" i="27" s="1"/>
  <c r="L60" i="27" s="1"/>
  <c r="I59" i="27" a="1"/>
  <c r="I59" i="27" s="1"/>
  <c r="J59" i="27" s="1"/>
  <c r="L59" i="27" s="1"/>
  <c r="I58" i="27" a="1"/>
  <c r="I58" i="27" s="1"/>
  <c r="J58" i="27" s="1"/>
  <c r="L58" i="27" s="1"/>
  <c r="I57" i="27" a="1"/>
  <c r="I57" i="27" s="1"/>
  <c r="J57" i="27" s="1"/>
  <c r="L57" i="27" s="1"/>
  <c r="I56" i="27" a="1"/>
  <c r="I56" i="27" s="1"/>
  <c r="J56" i="27" s="1"/>
  <c r="L56" i="27" s="1"/>
  <c r="I55" i="27" a="1"/>
  <c r="I55" i="27" s="1"/>
  <c r="J55" i="27" s="1"/>
  <c r="L55" i="27" s="1"/>
  <c r="I54" i="27" a="1"/>
  <c r="I54" i="27" s="1"/>
  <c r="J54" i="27" s="1"/>
  <c r="L54" i="27" s="1"/>
  <c r="I53" i="27" a="1"/>
  <c r="I53" i="27" s="1"/>
  <c r="J53" i="27" s="1"/>
  <c r="L53" i="27" s="1"/>
  <c r="I52" i="27" a="1"/>
  <c r="I52" i="27" s="1"/>
  <c r="J52" i="27" s="1"/>
  <c r="L52" i="27" s="1"/>
  <c r="I51" i="27" a="1"/>
  <c r="I51" i="27" s="1"/>
  <c r="J51" i="27" s="1"/>
  <c r="L51" i="27" s="1"/>
  <c r="I50" i="27" a="1"/>
  <c r="I50" i="27" s="1"/>
  <c r="J50" i="27" s="1"/>
  <c r="L50" i="27" s="1"/>
  <c r="I49" i="27" a="1"/>
  <c r="I49" i="27" s="1"/>
  <c r="J49" i="27" s="1"/>
  <c r="L49" i="27" s="1"/>
  <c r="I48" i="27" a="1"/>
  <c r="I48" i="27" s="1"/>
  <c r="J48" i="27" s="1"/>
  <c r="L48" i="27" s="1"/>
  <c r="I47" i="27" a="1"/>
  <c r="I47" i="27" s="1"/>
  <c r="J47" i="27" s="1"/>
  <c r="L47" i="27" s="1"/>
  <c r="I46" i="27" a="1"/>
  <c r="I46" i="27" s="1"/>
  <c r="J46" i="27" s="1"/>
  <c r="L46" i="27" s="1"/>
  <c r="I45" i="27" a="1"/>
  <c r="I45" i="27" s="1"/>
  <c r="J45" i="27" s="1"/>
  <c r="L45" i="27" s="1"/>
  <c r="I44" i="27" a="1"/>
  <c r="I44" i="27" s="1"/>
  <c r="J44" i="27" s="1"/>
  <c r="L44" i="27" s="1"/>
  <c r="I43" i="27" a="1"/>
  <c r="I43" i="27" s="1"/>
  <c r="J43" i="27" s="1"/>
  <c r="L43" i="27" s="1"/>
  <c r="I42" i="27" a="1"/>
  <c r="I42" i="27" s="1"/>
  <c r="J42" i="27" s="1"/>
  <c r="L42" i="27" s="1"/>
  <c r="I41" i="27" a="1"/>
  <c r="I41" i="27" s="1"/>
  <c r="J41" i="27" s="1"/>
  <c r="L41" i="27" s="1"/>
  <c r="I40" i="27" a="1"/>
  <c r="I40" i="27" s="1"/>
  <c r="J40" i="27" s="1"/>
  <c r="L40" i="27" s="1"/>
  <c r="I39" i="27" a="1"/>
  <c r="I39" i="27" s="1"/>
  <c r="J39" i="27" s="1"/>
  <c r="L39" i="27" s="1"/>
  <c r="I38" i="27" a="1"/>
  <c r="I38" i="27" s="1"/>
  <c r="J38" i="27" s="1"/>
  <c r="L38" i="27" s="1"/>
  <c r="I37" i="27" a="1"/>
  <c r="I37" i="27" s="1"/>
  <c r="J37" i="27" s="1"/>
  <c r="L37" i="27" s="1"/>
  <c r="I36" i="27" a="1"/>
  <c r="I36" i="27" s="1"/>
  <c r="J36" i="27" s="1"/>
  <c r="L36" i="27" s="1"/>
  <c r="I35" i="27" a="1"/>
  <c r="I35" i="27" s="1"/>
  <c r="J35" i="27" s="1"/>
  <c r="L35" i="27" s="1"/>
  <c r="I34" i="27" a="1"/>
  <c r="I34" i="27" s="1"/>
  <c r="J34" i="27" s="1"/>
  <c r="L34" i="27" s="1"/>
  <c r="I33" i="27" a="1"/>
  <c r="I33" i="27" s="1"/>
  <c r="J33" i="27" s="1"/>
  <c r="L33" i="27" s="1"/>
  <c r="I32" i="27" a="1"/>
  <c r="I32" i="27" s="1"/>
  <c r="J32" i="27" s="1"/>
  <c r="L32" i="27" s="1"/>
  <c r="I31" i="27" a="1"/>
  <c r="I31" i="27" s="1"/>
  <c r="J31" i="27" s="1"/>
  <c r="L31" i="27" s="1"/>
  <c r="I30" i="27" a="1"/>
  <c r="I30" i="27" s="1"/>
  <c r="J30" i="27" s="1"/>
  <c r="L30" i="27" s="1"/>
  <c r="I29" i="27" a="1"/>
  <c r="I29" i="27" s="1"/>
  <c r="J29" i="27" s="1"/>
  <c r="L29" i="27" s="1"/>
  <c r="I28" i="27" a="1"/>
  <c r="I28" i="27" s="1"/>
  <c r="J28" i="27" s="1"/>
  <c r="L28" i="27" s="1"/>
  <c r="I27" i="27" a="1"/>
  <c r="I27" i="27" s="1"/>
  <c r="J27" i="27" s="1"/>
  <c r="L27" i="27" s="1"/>
  <c r="I26" i="27" a="1"/>
  <c r="I26" i="27" s="1"/>
  <c r="J26" i="27" s="1"/>
  <c r="L26" i="27" s="1"/>
  <c r="I25" i="27" a="1"/>
  <c r="I25" i="27" s="1"/>
  <c r="J25" i="27" s="1"/>
  <c r="L25" i="27" s="1"/>
  <c r="I24" i="27" a="1"/>
  <c r="I24" i="27" s="1"/>
  <c r="J24" i="27" s="1"/>
  <c r="L24" i="27" s="1"/>
  <c r="I23" i="27" a="1"/>
  <c r="I23" i="27" s="1"/>
  <c r="J23" i="27" s="1"/>
  <c r="L23" i="27" s="1"/>
  <c r="I22" i="27" a="1"/>
  <c r="I22" i="27" s="1"/>
  <c r="J22" i="27" s="1"/>
  <c r="L22" i="27" s="1"/>
  <c r="I21" i="27" a="1"/>
  <c r="I21" i="27" s="1"/>
  <c r="J21" i="27" s="1"/>
  <c r="L21" i="27" s="1"/>
  <c r="I20" i="27" a="1"/>
  <c r="I20" i="27" s="1"/>
  <c r="J20" i="27" s="1"/>
  <c r="L20" i="27" s="1"/>
  <c r="I19" i="27" a="1"/>
  <c r="I19" i="27" s="1"/>
  <c r="J19" i="27" s="1"/>
  <c r="L19" i="27" s="1"/>
  <c r="I18" i="27" a="1"/>
  <c r="I18" i="27" s="1"/>
  <c r="J18" i="27" s="1"/>
  <c r="L18" i="27" s="1"/>
  <c r="I17" i="27" a="1"/>
  <c r="I17" i="27" s="1"/>
  <c r="J17" i="27" s="1"/>
  <c r="L17" i="27" s="1"/>
  <c r="I16" i="27" a="1"/>
  <c r="I16" i="27" s="1"/>
  <c r="J16" i="27" s="1"/>
  <c r="L16" i="27" s="1"/>
  <c r="I15" i="27" a="1"/>
  <c r="I15" i="27" s="1"/>
  <c r="J15" i="27" s="1"/>
  <c r="L15" i="27" s="1"/>
  <c r="I14" i="27" a="1"/>
  <c r="I14" i="27" s="1"/>
  <c r="J14" i="27" s="1"/>
  <c r="L14" i="27" s="1"/>
  <c r="I13" i="27" a="1"/>
  <c r="I13" i="27" s="1"/>
  <c r="J13" i="27" s="1"/>
  <c r="L13" i="27" s="1"/>
  <c r="I12" i="27" a="1"/>
  <c r="I12" i="27" s="1"/>
  <c r="J12" i="27" s="1"/>
  <c r="L12" i="27" s="1"/>
  <c r="I11" i="27" a="1"/>
  <c r="I11" i="27" s="1"/>
  <c r="J11" i="27" s="1"/>
  <c r="L11" i="27" s="1"/>
  <c r="I10" i="27" a="1"/>
  <c r="I10" i="27" s="1"/>
  <c r="J10" i="27" s="1"/>
  <c r="L10" i="27" s="1"/>
  <c r="I9" i="27" a="1"/>
  <c r="I9" i="27" s="1"/>
  <c r="J9" i="27" s="1"/>
  <c r="L9" i="27" s="1"/>
  <c r="I8" i="27" a="1"/>
  <c r="I8" i="27" s="1"/>
  <c r="J8" i="27" s="1"/>
  <c r="L8" i="27" s="1"/>
  <c r="I73" i="26" a="1"/>
  <c r="I73" i="26" s="1"/>
  <c r="J73" i="26" s="1"/>
  <c r="L73" i="26" s="1"/>
  <c r="I72" i="26" a="1"/>
  <c r="I72" i="26" s="1"/>
  <c r="J72" i="26" s="1"/>
  <c r="L72" i="26" s="1"/>
  <c r="I71" i="26" a="1"/>
  <c r="I71" i="26" s="1"/>
  <c r="J71" i="26" s="1"/>
  <c r="L71" i="26" s="1"/>
  <c r="I70" i="26" a="1"/>
  <c r="I70" i="26" s="1"/>
  <c r="J70" i="26" s="1"/>
  <c r="L70" i="26" s="1"/>
  <c r="I69" i="26" a="1"/>
  <c r="I69" i="26" s="1"/>
  <c r="J69" i="26" s="1"/>
  <c r="L69" i="26" s="1"/>
  <c r="I68" i="26" a="1"/>
  <c r="I68" i="26" s="1"/>
  <c r="J68" i="26" s="1"/>
  <c r="L68" i="26" s="1"/>
  <c r="I67" i="26" a="1"/>
  <c r="I67" i="26" s="1"/>
  <c r="J67" i="26" s="1"/>
  <c r="L67" i="26" s="1"/>
  <c r="I66" i="26" a="1"/>
  <c r="I66" i="26" s="1"/>
  <c r="J66" i="26" s="1"/>
  <c r="L66" i="26" s="1"/>
  <c r="I65" i="26" a="1"/>
  <c r="I65" i="26" s="1"/>
  <c r="J65" i="26" s="1"/>
  <c r="L65" i="26" s="1"/>
  <c r="I64" i="26" a="1"/>
  <c r="I64" i="26" s="1"/>
  <c r="J64" i="26" s="1"/>
  <c r="L64" i="26" s="1"/>
  <c r="I63" i="26" a="1"/>
  <c r="I63" i="26" s="1"/>
  <c r="J63" i="26" s="1"/>
  <c r="L63" i="26" s="1"/>
  <c r="I62" i="26" a="1"/>
  <c r="I62" i="26" s="1"/>
  <c r="J62" i="26" s="1"/>
  <c r="L62" i="26" s="1"/>
  <c r="I61" i="26" a="1"/>
  <c r="I61" i="26" s="1"/>
  <c r="J61" i="26" s="1"/>
  <c r="L61" i="26" s="1"/>
  <c r="I60" i="26" a="1"/>
  <c r="I60" i="26" s="1"/>
  <c r="J60" i="26" s="1"/>
  <c r="L60" i="26" s="1"/>
  <c r="I59" i="26" a="1"/>
  <c r="I59" i="26" s="1"/>
  <c r="J59" i="26" s="1"/>
  <c r="L59" i="26" s="1"/>
  <c r="I58" i="26" a="1"/>
  <c r="I58" i="26" s="1"/>
  <c r="J58" i="26" s="1"/>
  <c r="L58" i="26" s="1"/>
  <c r="I57" i="26" a="1"/>
  <c r="I57" i="26" s="1"/>
  <c r="J57" i="26" s="1"/>
  <c r="L57" i="26" s="1"/>
  <c r="I56" i="26" a="1"/>
  <c r="I56" i="26" s="1"/>
  <c r="J56" i="26" s="1"/>
  <c r="L56" i="26" s="1"/>
  <c r="I55" i="26" a="1"/>
  <c r="I55" i="26" s="1"/>
  <c r="J55" i="26" s="1"/>
  <c r="L55" i="26" s="1"/>
  <c r="I54" i="26" a="1"/>
  <c r="I54" i="26" s="1"/>
  <c r="J54" i="26" s="1"/>
  <c r="L54" i="26" s="1"/>
  <c r="I53" i="26" a="1"/>
  <c r="I53" i="26" s="1"/>
  <c r="J53" i="26" s="1"/>
  <c r="L53" i="26" s="1"/>
  <c r="I52" i="26" a="1"/>
  <c r="I52" i="26" s="1"/>
  <c r="J52" i="26" s="1"/>
  <c r="L52" i="26" s="1"/>
  <c r="I51" i="26" a="1"/>
  <c r="I51" i="26" s="1"/>
  <c r="J51" i="26" s="1"/>
  <c r="L51" i="26" s="1"/>
  <c r="I50" i="26" a="1"/>
  <c r="I50" i="26" s="1"/>
  <c r="J50" i="26" s="1"/>
  <c r="L50" i="26" s="1"/>
  <c r="I49" i="26" a="1"/>
  <c r="I49" i="26" s="1"/>
  <c r="J49" i="26" s="1"/>
  <c r="L49" i="26" s="1"/>
  <c r="I48" i="26" a="1"/>
  <c r="I48" i="26" s="1"/>
  <c r="J48" i="26" s="1"/>
  <c r="L48" i="26" s="1"/>
  <c r="I47" i="26" a="1"/>
  <c r="I47" i="26" s="1"/>
  <c r="J47" i="26" s="1"/>
  <c r="L47" i="26" s="1"/>
  <c r="I46" i="26" a="1"/>
  <c r="I46" i="26" s="1"/>
  <c r="J46" i="26" s="1"/>
  <c r="L46" i="26" s="1"/>
  <c r="I45" i="26" a="1"/>
  <c r="I45" i="26" s="1"/>
  <c r="J45" i="26" s="1"/>
  <c r="L45" i="26" s="1"/>
  <c r="I44" i="26" a="1"/>
  <c r="I44" i="26" s="1"/>
  <c r="J44" i="26" s="1"/>
  <c r="L44" i="26" s="1"/>
  <c r="I43" i="26" a="1"/>
  <c r="I43" i="26" s="1"/>
  <c r="J43" i="26" s="1"/>
  <c r="L43" i="26" s="1"/>
  <c r="I42" i="26" a="1"/>
  <c r="I42" i="26" s="1"/>
  <c r="J42" i="26" s="1"/>
  <c r="L42" i="26" s="1"/>
  <c r="I41" i="26" a="1"/>
  <c r="I41" i="26" s="1"/>
  <c r="J41" i="26" s="1"/>
  <c r="L41" i="26" s="1"/>
  <c r="I40" i="26" a="1"/>
  <c r="I40" i="26" s="1"/>
  <c r="J40" i="26" s="1"/>
  <c r="L40" i="26" s="1"/>
  <c r="I39" i="26" a="1"/>
  <c r="I39" i="26" s="1"/>
  <c r="J39" i="26" s="1"/>
  <c r="L39" i="26" s="1"/>
  <c r="I38" i="26" a="1"/>
  <c r="I38" i="26" s="1"/>
  <c r="J38" i="26" s="1"/>
  <c r="L38" i="26" s="1"/>
  <c r="I37" i="26" a="1"/>
  <c r="I37" i="26" s="1"/>
  <c r="J37" i="26" s="1"/>
  <c r="L37" i="26" s="1"/>
  <c r="I36" i="26" a="1"/>
  <c r="I36" i="26" s="1"/>
  <c r="J36" i="26" s="1"/>
  <c r="L36" i="26" s="1"/>
  <c r="I35" i="26" a="1"/>
  <c r="I35" i="26" s="1"/>
  <c r="J35" i="26" s="1"/>
  <c r="L35" i="26" s="1"/>
  <c r="I34" i="26" a="1"/>
  <c r="I34" i="26" s="1"/>
  <c r="J34" i="26" s="1"/>
  <c r="L34" i="26" s="1"/>
  <c r="I33" i="26" a="1"/>
  <c r="I33" i="26" s="1"/>
  <c r="J33" i="26" s="1"/>
  <c r="L33" i="26" s="1"/>
  <c r="I32" i="26" a="1"/>
  <c r="I32" i="26" s="1"/>
  <c r="J32" i="26" s="1"/>
  <c r="L32" i="26" s="1"/>
  <c r="I31" i="26" a="1"/>
  <c r="I31" i="26" s="1"/>
  <c r="J31" i="26" s="1"/>
  <c r="L31" i="26" s="1"/>
  <c r="I30" i="26" a="1"/>
  <c r="I30" i="26" s="1"/>
  <c r="J30" i="26" s="1"/>
  <c r="L30" i="26" s="1"/>
  <c r="I29" i="26" a="1"/>
  <c r="I29" i="26" s="1"/>
  <c r="J29" i="26" s="1"/>
  <c r="L29" i="26" s="1"/>
  <c r="I28" i="26" a="1"/>
  <c r="I28" i="26" s="1"/>
  <c r="J28" i="26" s="1"/>
  <c r="L28" i="26" s="1"/>
  <c r="I27" i="26" a="1"/>
  <c r="I27" i="26" s="1"/>
  <c r="J27" i="26" s="1"/>
  <c r="L27" i="26" s="1"/>
  <c r="I26" i="26" a="1"/>
  <c r="I26" i="26" s="1"/>
  <c r="J26" i="26" s="1"/>
  <c r="L26" i="26" s="1"/>
  <c r="I25" i="26" a="1"/>
  <c r="I25" i="26" s="1"/>
  <c r="J25" i="26" s="1"/>
  <c r="L25" i="26" s="1"/>
  <c r="I24" i="26" a="1"/>
  <c r="I24" i="26" s="1"/>
  <c r="J24" i="26" s="1"/>
  <c r="L24" i="26" s="1"/>
  <c r="I23" i="26" a="1"/>
  <c r="I23" i="26" s="1"/>
  <c r="J23" i="26" s="1"/>
  <c r="L23" i="26" s="1"/>
  <c r="I22" i="26" a="1"/>
  <c r="I22" i="26" s="1"/>
  <c r="J22" i="26" s="1"/>
  <c r="L22" i="26" s="1"/>
  <c r="I21" i="26" a="1"/>
  <c r="I21" i="26" s="1"/>
  <c r="J21" i="26" s="1"/>
  <c r="L21" i="26" s="1"/>
  <c r="I20" i="26" a="1"/>
  <c r="I20" i="26" s="1"/>
  <c r="J20" i="26" s="1"/>
  <c r="L20" i="26" s="1"/>
  <c r="I19" i="26" a="1"/>
  <c r="I19" i="26" s="1"/>
  <c r="J19" i="26" s="1"/>
  <c r="L19" i="26" s="1"/>
  <c r="I18" i="26" a="1"/>
  <c r="I18" i="26" s="1"/>
  <c r="J18" i="26" s="1"/>
  <c r="L18" i="26" s="1"/>
  <c r="I17" i="26" a="1"/>
  <c r="I17" i="26" s="1"/>
  <c r="J17" i="26" s="1"/>
  <c r="L17" i="26" s="1"/>
  <c r="I16" i="26" a="1"/>
  <c r="I16" i="26" s="1"/>
  <c r="J16" i="26" s="1"/>
  <c r="L16" i="26" s="1"/>
  <c r="I15" i="26" a="1"/>
  <c r="I15" i="26" s="1"/>
  <c r="J15" i="26" s="1"/>
  <c r="L15" i="26" s="1"/>
  <c r="I14" i="26" a="1"/>
  <c r="I14" i="26" s="1"/>
  <c r="J14" i="26" s="1"/>
  <c r="L14" i="26" s="1"/>
  <c r="I13" i="26" a="1"/>
  <c r="I13" i="26" s="1"/>
  <c r="J13" i="26" s="1"/>
  <c r="L13" i="26" s="1"/>
  <c r="I12" i="26" a="1"/>
  <c r="I12" i="26" s="1"/>
  <c r="J12" i="26" s="1"/>
  <c r="L12" i="26" s="1"/>
  <c r="I11" i="26" a="1"/>
  <c r="I11" i="26" s="1"/>
  <c r="J11" i="26" s="1"/>
  <c r="L11" i="26" s="1"/>
  <c r="I10" i="26" a="1"/>
  <c r="I10" i="26" s="1"/>
  <c r="J10" i="26" s="1"/>
  <c r="L10" i="26" s="1"/>
  <c r="I9" i="26" a="1"/>
  <c r="I9" i="26" s="1"/>
  <c r="J9" i="26" s="1"/>
  <c r="L9" i="26" s="1"/>
  <c r="I8" i="26" a="1"/>
  <c r="I8" i="26" s="1"/>
  <c r="J8" i="26" s="1"/>
  <c r="L8" i="26" s="1"/>
  <c r="I73" i="25" a="1"/>
  <c r="I73" i="25" s="1"/>
  <c r="J73" i="25" s="1"/>
  <c r="L73" i="25" s="1"/>
  <c r="I72" i="25" a="1"/>
  <c r="I72" i="25" s="1"/>
  <c r="J72" i="25" s="1"/>
  <c r="L72" i="25" s="1"/>
  <c r="I71" i="25" a="1"/>
  <c r="I71" i="25" s="1"/>
  <c r="J71" i="25" s="1"/>
  <c r="L71" i="25" s="1"/>
  <c r="I70" i="25" a="1"/>
  <c r="I70" i="25" s="1"/>
  <c r="J70" i="25" s="1"/>
  <c r="L70" i="25" s="1"/>
  <c r="I69" i="25" a="1"/>
  <c r="I69" i="25" s="1"/>
  <c r="J69" i="25" s="1"/>
  <c r="L69" i="25" s="1"/>
  <c r="I68" i="25" a="1"/>
  <c r="I68" i="25" s="1"/>
  <c r="J68" i="25" s="1"/>
  <c r="L68" i="25" s="1"/>
  <c r="I67" i="25" a="1"/>
  <c r="I67" i="25" s="1"/>
  <c r="J67" i="25" s="1"/>
  <c r="L67" i="25" s="1"/>
  <c r="I66" i="25" a="1"/>
  <c r="I66" i="25" s="1"/>
  <c r="J66" i="25" s="1"/>
  <c r="L66" i="25" s="1"/>
  <c r="I65" i="25" a="1"/>
  <c r="I65" i="25" s="1"/>
  <c r="J65" i="25" s="1"/>
  <c r="L65" i="25" s="1"/>
  <c r="I64" i="25" a="1"/>
  <c r="I64" i="25" s="1"/>
  <c r="J64" i="25" s="1"/>
  <c r="L64" i="25" s="1"/>
  <c r="I63" i="25" a="1"/>
  <c r="I63" i="25" s="1"/>
  <c r="J63" i="25" s="1"/>
  <c r="L63" i="25" s="1"/>
  <c r="I62" i="25" a="1"/>
  <c r="I62" i="25" s="1"/>
  <c r="J62" i="25" s="1"/>
  <c r="L62" i="25" s="1"/>
  <c r="I61" i="25" a="1"/>
  <c r="I61" i="25" s="1"/>
  <c r="J61" i="25" s="1"/>
  <c r="L61" i="25" s="1"/>
  <c r="I60" i="25" a="1"/>
  <c r="I60" i="25" s="1"/>
  <c r="J60" i="25" s="1"/>
  <c r="L60" i="25" s="1"/>
  <c r="I59" i="25" a="1"/>
  <c r="I59" i="25" s="1"/>
  <c r="J59" i="25" s="1"/>
  <c r="L59" i="25" s="1"/>
  <c r="I58" i="25" a="1"/>
  <c r="I58" i="25" s="1"/>
  <c r="J58" i="25" s="1"/>
  <c r="L58" i="25" s="1"/>
  <c r="I57" i="25" a="1"/>
  <c r="I57" i="25" s="1"/>
  <c r="J57" i="25" s="1"/>
  <c r="L57" i="25" s="1"/>
  <c r="I56" i="25" a="1"/>
  <c r="I56" i="25" s="1"/>
  <c r="J56" i="25" s="1"/>
  <c r="L56" i="25" s="1"/>
  <c r="I55" i="25" a="1"/>
  <c r="I55" i="25" s="1"/>
  <c r="J55" i="25" s="1"/>
  <c r="L55" i="25" s="1"/>
  <c r="I54" i="25" a="1"/>
  <c r="I54" i="25" s="1"/>
  <c r="J54" i="25" s="1"/>
  <c r="L54" i="25" s="1"/>
  <c r="I53" i="25" a="1"/>
  <c r="I53" i="25" s="1"/>
  <c r="J53" i="25" s="1"/>
  <c r="L53" i="25" s="1"/>
  <c r="I52" i="25" a="1"/>
  <c r="I52" i="25" s="1"/>
  <c r="J52" i="25" s="1"/>
  <c r="L52" i="25" s="1"/>
  <c r="I51" i="25" a="1"/>
  <c r="I51" i="25" s="1"/>
  <c r="J51" i="25" s="1"/>
  <c r="L51" i="25" s="1"/>
  <c r="I50" i="25" a="1"/>
  <c r="I50" i="25" s="1"/>
  <c r="J50" i="25" s="1"/>
  <c r="L50" i="25" s="1"/>
  <c r="I49" i="25" a="1"/>
  <c r="I49" i="25" s="1"/>
  <c r="J49" i="25" s="1"/>
  <c r="L49" i="25" s="1"/>
  <c r="I48" i="25" a="1"/>
  <c r="I48" i="25" s="1"/>
  <c r="J48" i="25" s="1"/>
  <c r="L48" i="25" s="1"/>
  <c r="I47" i="25" a="1"/>
  <c r="I47" i="25" s="1"/>
  <c r="J47" i="25" s="1"/>
  <c r="L47" i="25" s="1"/>
  <c r="I46" i="25" a="1"/>
  <c r="I46" i="25" s="1"/>
  <c r="J46" i="25" s="1"/>
  <c r="L46" i="25" s="1"/>
  <c r="I45" i="25" a="1"/>
  <c r="I45" i="25" s="1"/>
  <c r="J45" i="25" s="1"/>
  <c r="L45" i="25" s="1"/>
  <c r="I44" i="25" a="1"/>
  <c r="I44" i="25" s="1"/>
  <c r="J44" i="25" s="1"/>
  <c r="L44" i="25" s="1"/>
  <c r="I43" i="25" a="1"/>
  <c r="I43" i="25" s="1"/>
  <c r="J43" i="25" s="1"/>
  <c r="L43" i="25" s="1"/>
  <c r="I42" i="25" a="1"/>
  <c r="I42" i="25" s="1"/>
  <c r="J42" i="25" s="1"/>
  <c r="L42" i="25" s="1"/>
  <c r="I41" i="25" a="1"/>
  <c r="I41" i="25" s="1"/>
  <c r="J41" i="25" s="1"/>
  <c r="L41" i="25" s="1"/>
  <c r="I40" i="25" a="1"/>
  <c r="I40" i="25" s="1"/>
  <c r="J40" i="25" s="1"/>
  <c r="L40" i="25" s="1"/>
  <c r="I39" i="25" a="1"/>
  <c r="I39" i="25" s="1"/>
  <c r="J39" i="25" s="1"/>
  <c r="L39" i="25" s="1"/>
  <c r="I38" i="25" a="1"/>
  <c r="I38" i="25" s="1"/>
  <c r="J38" i="25" s="1"/>
  <c r="L38" i="25" s="1"/>
  <c r="I37" i="25" a="1"/>
  <c r="I37" i="25" s="1"/>
  <c r="J37" i="25" s="1"/>
  <c r="L37" i="25" s="1"/>
  <c r="I36" i="25" a="1"/>
  <c r="I36" i="25" s="1"/>
  <c r="J36" i="25" s="1"/>
  <c r="L36" i="25" s="1"/>
  <c r="I35" i="25" a="1"/>
  <c r="I35" i="25" s="1"/>
  <c r="J35" i="25" s="1"/>
  <c r="L35" i="25" s="1"/>
  <c r="I34" i="25" a="1"/>
  <c r="I34" i="25" s="1"/>
  <c r="J34" i="25" s="1"/>
  <c r="L34" i="25" s="1"/>
  <c r="I33" i="25" a="1"/>
  <c r="I33" i="25" s="1"/>
  <c r="J33" i="25" s="1"/>
  <c r="L33" i="25" s="1"/>
  <c r="I32" i="25" a="1"/>
  <c r="I32" i="25" s="1"/>
  <c r="J32" i="25" s="1"/>
  <c r="L32" i="25" s="1"/>
  <c r="I31" i="25" a="1"/>
  <c r="I31" i="25" s="1"/>
  <c r="J31" i="25" s="1"/>
  <c r="L31" i="25" s="1"/>
  <c r="I30" i="25" a="1"/>
  <c r="I30" i="25" s="1"/>
  <c r="J30" i="25" s="1"/>
  <c r="L30" i="25" s="1"/>
  <c r="I29" i="25" a="1"/>
  <c r="I29" i="25" s="1"/>
  <c r="J29" i="25" s="1"/>
  <c r="L29" i="25" s="1"/>
  <c r="I28" i="25" a="1"/>
  <c r="I28" i="25" s="1"/>
  <c r="J28" i="25" s="1"/>
  <c r="L28" i="25" s="1"/>
  <c r="I27" i="25" a="1"/>
  <c r="I27" i="25" s="1"/>
  <c r="J27" i="25" s="1"/>
  <c r="L27" i="25" s="1"/>
  <c r="I26" i="25" a="1"/>
  <c r="I26" i="25" s="1"/>
  <c r="J26" i="25" s="1"/>
  <c r="L26" i="25" s="1"/>
  <c r="I25" i="25" a="1"/>
  <c r="I25" i="25" s="1"/>
  <c r="J25" i="25" s="1"/>
  <c r="L25" i="25" s="1"/>
  <c r="I24" i="25" a="1"/>
  <c r="I24" i="25" s="1"/>
  <c r="J24" i="25" s="1"/>
  <c r="L24" i="25" s="1"/>
  <c r="I23" i="25" a="1"/>
  <c r="I23" i="25" s="1"/>
  <c r="J23" i="25" s="1"/>
  <c r="L23" i="25" s="1"/>
  <c r="I22" i="25" a="1"/>
  <c r="I22" i="25" s="1"/>
  <c r="J22" i="25" s="1"/>
  <c r="L22" i="25" s="1"/>
  <c r="I21" i="25" a="1"/>
  <c r="I21" i="25" s="1"/>
  <c r="J21" i="25" s="1"/>
  <c r="L21" i="25" s="1"/>
  <c r="I20" i="25" a="1"/>
  <c r="I20" i="25" s="1"/>
  <c r="J20" i="25" s="1"/>
  <c r="L20" i="25" s="1"/>
  <c r="I19" i="25" a="1"/>
  <c r="I19" i="25" s="1"/>
  <c r="J19" i="25" s="1"/>
  <c r="L19" i="25" s="1"/>
  <c r="I18" i="25" a="1"/>
  <c r="I18" i="25" s="1"/>
  <c r="J18" i="25" s="1"/>
  <c r="L18" i="25" s="1"/>
  <c r="I17" i="25" a="1"/>
  <c r="I17" i="25" s="1"/>
  <c r="J17" i="25" s="1"/>
  <c r="L17" i="25" s="1"/>
  <c r="I16" i="25" a="1"/>
  <c r="I16" i="25" s="1"/>
  <c r="J16" i="25" s="1"/>
  <c r="L16" i="25" s="1"/>
  <c r="I15" i="25" a="1"/>
  <c r="I15" i="25" s="1"/>
  <c r="J15" i="25" s="1"/>
  <c r="L15" i="25" s="1"/>
  <c r="I14" i="25" a="1"/>
  <c r="I14" i="25" s="1"/>
  <c r="J14" i="25" s="1"/>
  <c r="L14" i="25" s="1"/>
  <c r="I13" i="25" a="1"/>
  <c r="I13" i="25" s="1"/>
  <c r="J13" i="25" s="1"/>
  <c r="L13" i="25" s="1"/>
  <c r="I12" i="25" a="1"/>
  <c r="I12" i="25" s="1"/>
  <c r="J12" i="25" s="1"/>
  <c r="L12" i="25" s="1"/>
  <c r="I11" i="25" a="1"/>
  <c r="I11" i="25" s="1"/>
  <c r="J11" i="25" s="1"/>
  <c r="L11" i="25" s="1"/>
  <c r="I10" i="25" a="1"/>
  <c r="I10" i="25" s="1"/>
  <c r="J10" i="25" s="1"/>
  <c r="L10" i="25" s="1"/>
  <c r="I9" i="25" a="1"/>
  <c r="I9" i="25" s="1"/>
  <c r="J9" i="25" s="1"/>
  <c r="L9" i="25" s="1"/>
  <c r="I8" i="25" a="1"/>
  <c r="I8" i="25" s="1"/>
  <c r="J8" i="25" s="1"/>
  <c r="L8" i="25" s="1"/>
  <c r="J72" i="24"/>
  <c r="L72" i="24" s="1"/>
  <c r="J71" i="24"/>
  <c r="L71" i="24" s="1"/>
  <c r="J70" i="24"/>
  <c r="L70" i="24" s="1"/>
  <c r="J69" i="24"/>
  <c r="L69" i="24" s="1"/>
  <c r="J65" i="24"/>
  <c r="L65" i="24" s="1"/>
  <c r="J60" i="24"/>
  <c r="L60" i="24" s="1"/>
  <c r="J53" i="24"/>
  <c r="L53" i="24" s="1"/>
  <c r="J52" i="24"/>
  <c r="L52" i="24" s="1"/>
  <c r="J49" i="24"/>
  <c r="L49" i="24" s="1"/>
  <c r="J41" i="24"/>
  <c r="L41" i="24" s="1"/>
  <c r="J40" i="24"/>
  <c r="L40" i="24" s="1"/>
  <c r="J36" i="24"/>
  <c r="L36" i="24" s="1"/>
  <c r="J35" i="24"/>
  <c r="L35" i="24" s="1"/>
  <c r="J34" i="24"/>
  <c r="L34" i="24" s="1"/>
  <c r="J33" i="24"/>
  <c r="L33" i="24" s="1"/>
  <c r="J29" i="24"/>
  <c r="L29" i="24" s="1"/>
  <c r="J24" i="24"/>
  <c r="L24" i="24" s="1"/>
  <c r="J17" i="24"/>
  <c r="L17" i="24" s="1"/>
  <c r="J16" i="24"/>
  <c r="L16" i="24" s="1"/>
  <c r="J13" i="24"/>
  <c r="L13" i="24" s="1"/>
  <c r="J25" i="23"/>
  <c r="L25" i="23" s="1"/>
  <c r="J73" i="5"/>
  <c r="L73" i="5" s="1"/>
  <c r="J72" i="5"/>
  <c r="L72" i="5" s="1"/>
  <c r="J71" i="5"/>
  <c r="L71" i="5" s="1"/>
  <c r="J66" i="5"/>
  <c r="L66" i="5" s="1"/>
  <c r="J65" i="5"/>
  <c r="L65" i="5" s="1"/>
  <c r="J63" i="5"/>
  <c r="L63" i="5" s="1"/>
  <c r="J61" i="5"/>
  <c r="L61" i="5" s="1"/>
  <c r="J60" i="5"/>
  <c r="L60" i="5" s="1"/>
  <c r="J59" i="5"/>
  <c r="L59" i="5" s="1"/>
  <c r="J57" i="5"/>
  <c r="L57" i="5" s="1"/>
  <c r="J54" i="5"/>
  <c r="L54" i="5" s="1"/>
  <c r="J53" i="5"/>
  <c r="L53" i="5" s="1"/>
  <c r="J50" i="5"/>
  <c r="L50" i="5" s="1"/>
  <c r="J49" i="5"/>
  <c r="L49" i="5" s="1"/>
  <c r="J48" i="5"/>
  <c r="L48" i="5" s="1"/>
  <c r="J47" i="5"/>
  <c r="L47" i="5" s="1"/>
  <c r="J42" i="5"/>
  <c r="L42" i="5" s="1"/>
  <c r="J41" i="5"/>
  <c r="L41" i="5" s="1"/>
  <c r="J37" i="5"/>
  <c r="L37" i="5" s="1"/>
  <c r="J36" i="5"/>
  <c r="L36" i="5" s="1"/>
  <c r="J35" i="5"/>
  <c r="L35" i="5" s="1"/>
  <c r="J30" i="5"/>
  <c r="L30" i="5" s="1"/>
  <c r="J29" i="5"/>
  <c r="L29" i="5" s="1"/>
  <c r="J27" i="5"/>
  <c r="L27" i="5" s="1"/>
  <c r="J25" i="5"/>
  <c r="L25" i="5" s="1"/>
  <c r="J24" i="5"/>
  <c r="L24" i="5" s="1"/>
  <c r="J23" i="5"/>
  <c r="L23" i="5" s="1"/>
  <c r="J21" i="5"/>
  <c r="L21" i="5" s="1"/>
  <c r="J18" i="5"/>
  <c r="L18" i="5" s="1"/>
  <c r="J17" i="5"/>
  <c r="L17" i="5" s="1"/>
  <c r="J14" i="5"/>
  <c r="L14" i="5" s="1"/>
  <c r="J13" i="5"/>
  <c r="L13" i="5" s="1"/>
  <c r="J12" i="5"/>
  <c r="L12" i="5" s="1"/>
  <c r="J11" i="5"/>
  <c r="L11" i="5" s="1"/>
  <c r="J8" i="5"/>
  <c r="L8" i="5" s="1"/>
  <c r="I73" i="22" a="1"/>
  <c r="I73" i="22" s="1"/>
  <c r="J73" i="22" s="1"/>
  <c r="L73" i="22" s="1"/>
  <c r="I72" i="22" a="1"/>
  <c r="I72" i="22" s="1"/>
  <c r="J72" i="22" s="1"/>
  <c r="L72" i="22" s="1"/>
  <c r="I71" i="22" a="1"/>
  <c r="I71" i="22" s="1"/>
  <c r="J71" i="22" s="1"/>
  <c r="L71" i="22" s="1"/>
  <c r="I70" i="22" a="1"/>
  <c r="I70" i="22" s="1"/>
  <c r="J70" i="22" s="1"/>
  <c r="L70" i="22" s="1"/>
  <c r="I69" i="22" a="1"/>
  <c r="I69" i="22" s="1"/>
  <c r="J69" i="22" s="1"/>
  <c r="L69" i="22" s="1"/>
  <c r="I68" i="22" a="1"/>
  <c r="I68" i="22" s="1"/>
  <c r="J68" i="22" s="1"/>
  <c r="L68" i="22" s="1"/>
  <c r="I67" i="22" a="1"/>
  <c r="I67" i="22" s="1"/>
  <c r="J67" i="22" s="1"/>
  <c r="L67" i="22" s="1"/>
  <c r="I66" i="22" a="1"/>
  <c r="I66" i="22" s="1"/>
  <c r="J66" i="22" s="1"/>
  <c r="L66" i="22" s="1"/>
  <c r="I65" i="22" a="1"/>
  <c r="I65" i="22" s="1"/>
  <c r="J65" i="22" s="1"/>
  <c r="L65" i="22" s="1"/>
  <c r="I64" i="22" a="1"/>
  <c r="I64" i="22" s="1"/>
  <c r="J64" i="22" s="1"/>
  <c r="L64" i="22" s="1"/>
  <c r="I63" i="22" a="1"/>
  <c r="I63" i="22" s="1"/>
  <c r="J63" i="22" s="1"/>
  <c r="L63" i="22" s="1"/>
  <c r="I62" i="22" a="1"/>
  <c r="I62" i="22" s="1"/>
  <c r="J62" i="22" s="1"/>
  <c r="L62" i="22" s="1"/>
  <c r="I61" i="22" a="1"/>
  <c r="I61" i="22" s="1"/>
  <c r="J61" i="22" s="1"/>
  <c r="L61" i="22" s="1"/>
  <c r="I60" i="22" a="1"/>
  <c r="I60" i="22" s="1"/>
  <c r="J60" i="22" s="1"/>
  <c r="L60" i="22" s="1"/>
  <c r="I59" i="22" a="1"/>
  <c r="I59" i="22" s="1"/>
  <c r="J59" i="22" s="1"/>
  <c r="L59" i="22" s="1"/>
  <c r="I58" i="22" a="1"/>
  <c r="I58" i="22" s="1"/>
  <c r="J58" i="22" s="1"/>
  <c r="L58" i="22" s="1"/>
  <c r="I57" i="22" a="1"/>
  <c r="I57" i="22" s="1"/>
  <c r="J57" i="22" s="1"/>
  <c r="L57" i="22" s="1"/>
  <c r="I56" i="22" a="1"/>
  <c r="I56" i="22" s="1"/>
  <c r="J56" i="22" s="1"/>
  <c r="L56" i="22" s="1"/>
  <c r="I55" i="22" a="1"/>
  <c r="I55" i="22" s="1"/>
  <c r="J55" i="22" s="1"/>
  <c r="L55" i="22" s="1"/>
  <c r="I54" i="22" a="1"/>
  <c r="I54" i="22" s="1"/>
  <c r="J54" i="22" s="1"/>
  <c r="L54" i="22" s="1"/>
  <c r="I53" i="22" a="1"/>
  <c r="I53" i="22" s="1"/>
  <c r="J53" i="22" s="1"/>
  <c r="L53" i="22" s="1"/>
  <c r="I52" i="22" a="1"/>
  <c r="I52" i="22" s="1"/>
  <c r="J52" i="22" s="1"/>
  <c r="L52" i="22" s="1"/>
  <c r="I51" i="22" a="1"/>
  <c r="I51" i="22" s="1"/>
  <c r="J51" i="22" s="1"/>
  <c r="L51" i="22" s="1"/>
  <c r="I50" i="22" a="1"/>
  <c r="I50" i="22" s="1"/>
  <c r="J50" i="22" s="1"/>
  <c r="L50" i="22" s="1"/>
  <c r="I49" i="22" a="1"/>
  <c r="I49" i="22" s="1"/>
  <c r="J49" i="22" s="1"/>
  <c r="L49" i="22" s="1"/>
  <c r="I48" i="22" a="1"/>
  <c r="I48" i="22" s="1"/>
  <c r="J48" i="22" s="1"/>
  <c r="L48" i="22" s="1"/>
  <c r="I47" i="22" a="1"/>
  <c r="I47" i="22" s="1"/>
  <c r="J47" i="22" s="1"/>
  <c r="L47" i="22" s="1"/>
  <c r="I46" i="22" a="1"/>
  <c r="I46" i="22" s="1"/>
  <c r="J46" i="22" s="1"/>
  <c r="L46" i="22" s="1"/>
  <c r="I45" i="22" a="1"/>
  <c r="I45" i="22" s="1"/>
  <c r="J45" i="22" s="1"/>
  <c r="L45" i="22" s="1"/>
  <c r="I44" i="22" a="1"/>
  <c r="I44" i="22" s="1"/>
  <c r="J44" i="22" s="1"/>
  <c r="L44" i="22" s="1"/>
  <c r="I43" i="22" a="1"/>
  <c r="I43" i="22" s="1"/>
  <c r="J43" i="22" s="1"/>
  <c r="L43" i="22" s="1"/>
  <c r="I42" i="22" a="1"/>
  <c r="I42" i="22" s="1"/>
  <c r="J42" i="22" s="1"/>
  <c r="L42" i="22" s="1"/>
  <c r="I41" i="22" a="1"/>
  <c r="I41" i="22" s="1"/>
  <c r="J41" i="22" s="1"/>
  <c r="L41" i="22" s="1"/>
  <c r="I40" i="22" a="1"/>
  <c r="I40" i="22" s="1"/>
  <c r="J40" i="22" s="1"/>
  <c r="L40" i="22" s="1"/>
  <c r="I39" i="22" a="1"/>
  <c r="I39" i="22" s="1"/>
  <c r="J39" i="22" s="1"/>
  <c r="L39" i="22" s="1"/>
  <c r="I38" i="22" a="1"/>
  <c r="I38" i="22" s="1"/>
  <c r="J38" i="22" s="1"/>
  <c r="L38" i="22" s="1"/>
  <c r="I37" i="22" a="1"/>
  <c r="I37" i="22" s="1"/>
  <c r="J37" i="22" s="1"/>
  <c r="L37" i="22" s="1"/>
  <c r="I36" i="22" a="1"/>
  <c r="I36" i="22" s="1"/>
  <c r="J36" i="22" s="1"/>
  <c r="L36" i="22" s="1"/>
  <c r="I35" i="22" a="1"/>
  <c r="I35" i="22" s="1"/>
  <c r="J35" i="22" s="1"/>
  <c r="L35" i="22" s="1"/>
  <c r="I34" i="22" a="1"/>
  <c r="I34" i="22" s="1"/>
  <c r="J34" i="22" s="1"/>
  <c r="L34" i="22" s="1"/>
  <c r="I33" i="22" a="1"/>
  <c r="I33" i="22" s="1"/>
  <c r="J33" i="22" s="1"/>
  <c r="L33" i="22" s="1"/>
  <c r="I32" i="22" a="1"/>
  <c r="I32" i="22" s="1"/>
  <c r="J32" i="22" s="1"/>
  <c r="L32" i="22" s="1"/>
  <c r="I31" i="22" a="1"/>
  <c r="I31" i="22" s="1"/>
  <c r="J31" i="22" s="1"/>
  <c r="L31" i="22" s="1"/>
  <c r="I30" i="22" a="1"/>
  <c r="I30" i="22" s="1"/>
  <c r="J30" i="22" s="1"/>
  <c r="L30" i="22" s="1"/>
  <c r="I29" i="22" a="1"/>
  <c r="I29" i="22" s="1"/>
  <c r="J29" i="22" s="1"/>
  <c r="L29" i="22" s="1"/>
  <c r="I28" i="22" a="1"/>
  <c r="I28" i="22" s="1"/>
  <c r="J28" i="22" s="1"/>
  <c r="L28" i="22" s="1"/>
  <c r="I27" i="22" a="1"/>
  <c r="I27" i="22" s="1"/>
  <c r="J27" i="22" s="1"/>
  <c r="L27" i="22" s="1"/>
  <c r="I26" i="22" a="1"/>
  <c r="I26" i="22" s="1"/>
  <c r="J26" i="22" s="1"/>
  <c r="L26" i="22" s="1"/>
  <c r="I25" i="22" a="1"/>
  <c r="I25" i="22" s="1"/>
  <c r="J25" i="22" s="1"/>
  <c r="L25" i="22" s="1"/>
  <c r="I24" i="22" a="1"/>
  <c r="I24" i="22" s="1"/>
  <c r="J24" i="22" s="1"/>
  <c r="L24" i="22" s="1"/>
  <c r="I23" i="22" a="1"/>
  <c r="I23" i="22" s="1"/>
  <c r="J23" i="22" s="1"/>
  <c r="L23" i="22" s="1"/>
  <c r="I22" i="22" a="1"/>
  <c r="I22" i="22" s="1"/>
  <c r="J22" i="22" s="1"/>
  <c r="L22" i="22" s="1"/>
  <c r="I21" i="22" a="1"/>
  <c r="I21" i="22" s="1"/>
  <c r="J21" i="22" s="1"/>
  <c r="L21" i="22" s="1"/>
  <c r="I20" i="22" a="1"/>
  <c r="I20" i="22" s="1"/>
  <c r="J20" i="22" s="1"/>
  <c r="L20" i="22" s="1"/>
  <c r="I19" i="22" a="1"/>
  <c r="I19" i="22" s="1"/>
  <c r="J19" i="22" s="1"/>
  <c r="L19" i="22" s="1"/>
  <c r="I18" i="22" a="1"/>
  <c r="I18" i="22" s="1"/>
  <c r="J18" i="22" s="1"/>
  <c r="L18" i="22" s="1"/>
  <c r="I17" i="22" a="1"/>
  <c r="I17" i="22" s="1"/>
  <c r="J17" i="22" s="1"/>
  <c r="L17" i="22" s="1"/>
  <c r="I16" i="22" a="1"/>
  <c r="I16" i="22" s="1"/>
  <c r="J16" i="22" s="1"/>
  <c r="L16" i="22" s="1"/>
  <c r="I15" i="22" a="1"/>
  <c r="I15" i="22" s="1"/>
  <c r="J15" i="22" s="1"/>
  <c r="L15" i="22" s="1"/>
  <c r="I14" i="22" a="1"/>
  <c r="I14" i="22" s="1"/>
  <c r="J14" i="22" s="1"/>
  <c r="L14" i="22" s="1"/>
  <c r="I13" i="22" a="1"/>
  <c r="I13" i="22" s="1"/>
  <c r="J13" i="22" s="1"/>
  <c r="L13" i="22" s="1"/>
  <c r="I12" i="22" a="1"/>
  <c r="I12" i="22" s="1"/>
  <c r="J12" i="22" s="1"/>
  <c r="L12" i="22" s="1"/>
  <c r="I11" i="22" a="1"/>
  <c r="I11" i="22" s="1"/>
  <c r="J11" i="22" s="1"/>
  <c r="L11" i="22" s="1"/>
  <c r="I10" i="22" a="1"/>
  <c r="I10" i="22" s="1"/>
  <c r="J10" i="22" s="1"/>
  <c r="L10" i="22" s="1"/>
  <c r="I9" i="22" a="1"/>
  <c r="I9" i="22" s="1"/>
  <c r="J9" i="22" s="1"/>
  <c r="L9" i="22" s="1"/>
  <c r="I8" i="22" a="1"/>
  <c r="I8" i="22" s="1"/>
  <c r="J8" i="22" s="1"/>
  <c r="L8" i="22" s="1"/>
  <c r="I73" i="19" a="1"/>
  <c r="I73" i="19" s="1"/>
  <c r="J73" i="19" s="1"/>
  <c r="L73" i="19" s="1"/>
  <c r="I72" i="19" a="1"/>
  <c r="I72" i="19" s="1"/>
  <c r="J72" i="19" s="1"/>
  <c r="L72" i="19" s="1"/>
  <c r="I71" i="19" a="1"/>
  <c r="I71" i="19" s="1"/>
  <c r="J71" i="19" s="1"/>
  <c r="L71" i="19" s="1"/>
  <c r="I70" i="19" a="1"/>
  <c r="I70" i="19" s="1"/>
  <c r="J70" i="19" s="1"/>
  <c r="L70" i="19" s="1"/>
  <c r="I69" i="19" a="1"/>
  <c r="I69" i="19" s="1"/>
  <c r="J69" i="19" s="1"/>
  <c r="L69" i="19" s="1"/>
  <c r="I68" i="19" a="1"/>
  <c r="I68" i="19" s="1"/>
  <c r="J68" i="19" s="1"/>
  <c r="L68" i="19" s="1"/>
  <c r="I67" i="19" a="1"/>
  <c r="I67" i="19" s="1"/>
  <c r="J67" i="19" s="1"/>
  <c r="L67" i="19" s="1"/>
  <c r="I66" i="19" a="1"/>
  <c r="I66" i="19" s="1"/>
  <c r="J66" i="19" s="1"/>
  <c r="L66" i="19" s="1"/>
  <c r="I65" i="19" a="1"/>
  <c r="I65" i="19" s="1"/>
  <c r="J65" i="19" s="1"/>
  <c r="L65" i="19" s="1"/>
  <c r="I64" i="19" a="1"/>
  <c r="I64" i="19" s="1"/>
  <c r="J64" i="19" s="1"/>
  <c r="L64" i="19" s="1"/>
  <c r="I63" i="19" a="1"/>
  <c r="I63" i="19" s="1"/>
  <c r="J63" i="19" s="1"/>
  <c r="L63" i="19" s="1"/>
  <c r="I62" i="19" a="1"/>
  <c r="I62" i="19" s="1"/>
  <c r="J62" i="19" s="1"/>
  <c r="L62" i="19" s="1"/>
  <c r="I61" i="19" a="1"/>
  <c r="I61" i="19" s="1"/>
  <c r="J61" i="19" s="1"/>
  <c r="L61" i="19" s="1"/>
  <c r="I60" i="19" a="1"/>
  <c r="I60" i="19" s="1"/>
  <c r="J60" i="19" s="1"/>
  <c r="L60" i="19" s="1"/>
  <c r="I59" i="19" a="1"/>
  <c r="I59" i="19" s="1"/>
  <c r="J59" i="19" s="1"/>
  <c r="L59" i="19" s="1"/>
  <c r="I58" i="19"/>
  <c r="J58" i="19" s="1"/>
  <c r="L58" i="19" s="1"/>
  <c r="I58" i="19" a="1"/>
  <c r="I57" i="19" a="1"/>
  <c r="I57" i="19" s="1"/>
  <c r="J57" i="19" s="1"/>
  <c r="L57" i="19" s="1"/>
  <c r="I56" i="19" a="1"/>
  <c r="I56" i="19" s="1"/>
  <c r="J56" i="19" s="1"/>
  <c r="L56" i="19" s="1"/>
  <c r="I55" i="19" a="1"/>
  <c r="I55" i="19" s="1"/>
  <c r="J55" i="19" s="1"/>
  <c r="L55" i="19" s="1"/>
  <c r="I54" i="19" a="1"/>
  <c r="I54" i="19" s="1"/>
  <c r="J54" i="19" s="1"/>
  <c r="L54" i="19" s="1"/>
  <c r="I53" i="19" a="1"/>
  <c r="I53" i="19" s="1"/>
  <c r="J53" i="19" s="1"/>
  <c r="L53" i="19" s="1"/>
  <c r="I52" i="19" a="1"/>
  <c r="I52" i="19" s="1"/>
  <c r="J52" i="19" s="1"/>
  <c r="L52" i="19" s="1"/>
  <c r="I51" i="19" a="1"/>
  <c r="I51" i="19" s="1"/>
  <c r="J51" i="19" s="1"/>
  <c r="L51" i="19" s="1"/>
  <c r="I50" i="19" a="1"/>
  <c r="I50" i="19" s="1"/>
  <c r="J50" i="19" s="1"/>
  <c r="L50" i="19" s="1"/>
  <c r="I49" i="19"/>
  <c r="J49" i="19" s="1"/>
  <c r="L49" i="19" s="1"/>
  <c r="I49" i="19" a="1"/>
  <c r="I48" i="19" a="1"/>
  <c r="I48" i="19" s="1"/>
  <c r="J48" i="19" s="1"/>
  <c r="L48" i="19" s="1"/>
  <c r="I47" i="19" a="1"/>
  <c r="I47" i="19" s="1"/>
  <c r="J47" i="19" s="1"/>
  <c r="L47" i="19" s="1"/>
  <c r="I46" i="19" a="1"/>
  <c r="I46" i="19" s="1"/>
  <c r="J46" i="19" s="1"/>
  <c r="L46" i="19" s="1"/>
  <c r="I45" i="19" a="1"/>
  <c r="I45" i="19" s="1"/>
  <c r="J45" i="19" s="1"/>
  <c r="L45" i="19" s="1"/>
  <c r="I44" i="19" a="1"/>
  <c r="I44" i="19" s="1"/>
  <c r="J44" i="19" s="1"/>
  <c r="L44" i="19" s="1"/>
  <c r="I43" i="19" a="1"/>
  <c r="I43" i="19" s="1"/>
  <c r="J43" i="19" s="1"/>
  <c r="L43" i="19" s="1"/>
  <c r="I42" i="19" a="1"/>
  <c r="I42" i="19" s="1"/>
  <c r="J42" i="19" s="1"/>
  <c r="L42" i="19" s="1"/>
  <c r="I41" i="19" a="1"/>
  <c r="I41" i="19" s="1"/>
  <c r="J41" i="19" s="1"/>
  <c r="L41" i="19" s="1"/>
  <c r="I40" i="19" a="1"/>
  <c r="I40" i="19" s="1"/>
  <c r="J40" i="19" s="1"/>
  <c r="L40" i="19" s="1"/>
  <c r="I39" i="19" a="1"/>
  <c r="I39" i="19" s="1"/>
  <c r="J39" i="19" s="1"/>
  <c r="L39" i="19" s="1"/>
  <c r="I38" i="19" a="1"/>
  <c r="I38" i="19" s="1"/>
  <c r="J38" i="19" s="1"/>
  <c r="L38" i="19" s="1"/>
  <c r="I37" i="19" a="1"/>
  <c r="I37" i="19" s="1"/>
  <c r="J37" i="19" s="1"/>
  <c r="L37" i="19" s="1"/>
  <c r="I36" i="19" a="1"/>
  <c r="I36" i="19" s="1"/>
  <c r="J36" i="19" s="1"/>
  <c r="L36" i="19" s="1"/>
  <c r="I35" i="19" a="1"/>
  <c r="I35" i="19" s="1"/>
  <c r="J35" i="19" s="1"/>
  <c r="L35" i="19" s="1"/>
  <c r="I34" i="19" a="1"/>
  <c r="I34" i="19" s="1"/>
  <c r="J34" i="19" s="1"/>
  <c r="L34" i="19" s="1"/>
  <c r="I33" i="19" a="1"/>
  <c r="I33" i="19" s="1"/>
  <c r="J33" i="19" s="1"/>
  <c r="L33" i="19" s="1"/>
  <c r="I32" i="19"/>
  <c r="J32" i="19" s="1"/>
  <c r="L32" i="19" s="1"/>
  <c r="I32" i="19" a="1"/>
  <c r="I31" i="19" a="1"/>
  <c r="I31" i="19" s="1"/>
  <c r="J31" i="19" s="1"/>
  <c r="L31" i="19" s="1"/>
  <c r="I30" i="19" a="1"/>
  <c r="I30" i="19" s="1"/>
  <c r="J30" i="19" s="1"/>
  <c r="L30" i="19" s="1"/>
  <c r="I29" i="19" a="1"/>
  <c r="I29" i="19" s="1"/>
  <c r="J29" i="19" s="1"/>
  <c r="L29" i="19" s="1"/>
  <c r="I28" i="19" a="1"/>
  <c r="I28" i="19" s="1"/>
  <c r="J28" i="19" s="1"/>
  <c r="L28" i="19" s="1"/>
  <c r="I27" i="19" a="1"/>
  <c r="I27" i="19" s="1"/>
  <c r="J27" i="19" s="1"/>
  <c r="L27" i="19" s="1"/>
  <c r="I26" i="19" a="1"/>
  <c r="I26" i="19" s="1"/>
  <c r="J26" i="19" s="1"/>
  <c r="L26" i="19" s="1"/>
  <c r="I25" i="19" a="1"/>
  <c r="I25" i="19" s="1"/>
  <c r="J25" i="19" s="1"/>
  <c r="L25" i="19" s="1"/>
  <c r="I24" i="19" a="1"/>
  <c r="I24" i="19" s="1"/>
  <c r="J24" i="19" s="1"/>
  <c r="L24" i="19" s="1"/>
  <c r="I23" i="19" a="1"/>
  <c r="I23" i="19" s="1"/>
  <c r="J23" i="19" s="1"/>
  <c r="L23" i="19" s="1"/>
  <c r="I22" i="19" a="1"/>
  <c r="I22" i="19" s="1"/>
  <c r="J22" i="19" s="1"/>
  <c r="L22" i="19" s="1"/>
  <c r="I21" i="19" a="1"/>
  <c r="I21" i="19" s="1"/>
  <c r="J21" i="19" s="1"/>
  <c r="L21" i="19" s="1"/>
  <c r="I20" i="19" a="1"/>
  <c r="I20" i="19" s="1"/>
  <c r="J20" i="19" s="1"/>
  <c r="L20" i="19" s="1"/>
  <c r="I19" i="19" a="1"/>
  <c r="I19" i="19" s="1"/>
  <c r="J19" i="19" s="1"/>
  <c r="L19" i="19" s="1"/>
  <c r="I18" i="19" a="1"/>
  <c r="I18" i="19" s="1"/>
  <c r="J18" i="19" s="1"/>
  <c r="L18" i="19" s="1"/>
  <c r="I17" i="19" a="1"/>
  <c r="I17" i="19" s="1"/>
  <c r="J17" i="19" s="1"/>
  <c r="L17" i="19" s="1"/>
  <c r="I16" i="19" a="1"/>
  <c r="I16" i="19" s="1"/>
  <c r="J16" i="19" s="1"/>
  <c r="L16" i="19" s="1"/>
  <c r="I15" i="19" a="1"/>
  <c r="I15" i="19" s="1"/>
  <c r="J15" i="19" s="1"/>
  <c r="L15" i="19" s="1"/>
  <c r="I14" i="19" a="1"/>
  <c r="I14" i="19" s="1"/>
  <c r="J14" i="19" s="1"/>
  <c r="L14" i="19" s="1"/>
  <c r="I13" i="19" a="1"/>
  <c r="I13" i="19" s="1"/>
  <c r="J13" i="19" s="1"/>
  <c r="L13" i="19" s="1"/>
  <c r="I12" i="19" a="1"/>
  <c r="I12" i="19" s="1"/>
  <c r="J12" i="19" s="1"/>
  <c r="L12" i="19" s="1"/>
  <c r="I11" i="19" a="1"/>
  <c r="I11" i="19" s="1"/>
  <c r="J11" i="19" s="1"/>
  <c r="L11" i="19" s="1"/>
  <c r="I10" i="19" a="1"/>
  <c r="I10" i="19" s="1"/>
  <c r="J10" i="19" s="1"/>
  <c r="L10" i="19" s="1"/>
  <c r="I9" i="19" a="1"/>
  <c r="I9" i="19" s="1"/>
  <c r="J9" i="19" s="1"/>
  <c r="L9" i="19" s="1"/>
  <c r="I8" i="19" a="1"/>
  <c r="I8" i="19" s="1"/>
  <c r="J8" i="19" s="1"/>
  <c r="L8" i="19" s="1"/>
  <c r="J63" i="17"/>
  <c r="L63" i="17" s="1"/>
  <c r="J53" i="17"/>
  <c r="L53" i="17" s="1"/>
  <c r="J51" i="17"/>
  <c r="L51" i="17" s="1"/>
  <c r="J49" i="17"/>
  <c r="L49" i="17" s="1"/>
  <c r="J41" i="17"/>
  <c r="L41" i="17" s="1"/>
  <c r="J37" i="17"/>
  <c r="L37" i="17" s="1"/>
  <c r="J36" i="17"/>
  <c r="L36" i="17" s="1"/>
  <c r="J33" i="17"/>
  <c r="L33" i="17" s="1"/>
  <c r="J24" i="17"/>
  <c r="L24" i="17" s="1"/>
  <c r="J23" i="17"/>
  <c r="L23" i="17" s="1"/>
  <c r="J21" i="17"/>
  <c r="L21" i="17" s="1"/>
  <c r="J11" i="17"/>
  <c r="L11" i="17" s="1"/>
  <c r="I73" i="16" a="1"/>
  <c r="I73" i="16" s="1"/>
  <c r="J73" i="16" s="1"/>
  <c r="L73" i="16" s="1"/>
  <c r="I72" i="16" a="1"/>
  <c r="I72" i="16" s="1"/>
  <c r="J72" i="16" s="1"/>
  <c r="L72" i="16" s="1"/>
  <c r="I71" i="16" a="1"/>
  <c r="I71" i="16" s="1"/>
  <c r="J71" i="16" s="1"/>
  <c r="L71" i="16" s="1"/>
  <c r="I70" i="16" a="1"/>
  <c r="I70" i="16" s="1"/>
  <c r="J70" i="16" s="1"/>
  <c r="L70" i="16" s="1"/>
  <c r="I69" i="16" a="1"/>
  <c r="I69" i="16" s="1"/>
  <c r="J69" i="16" s="1"/>
  <c r="L69" i="16" s="1"/>
  <c r="I68" i="16" a="1"/>
  <c r="I68" i="16" s="1"/>
  <c r="J68" i="16" s="1"/>
  <c r="L68" i="16" s="1"/>
  <c r="I67" i="16" a="1"/>
  <c r="I67" i="16" s="1"/>
  <c r="J67" i="16" s="1"/>
  <c r="L67" i="16" s="1"/>
  <c r="I66" i="16" a="1"/>
  <c r="I66" i="16" s="1"/>
  <c r="J66" i="16" s="1"/>
  <c r="L66" i="16" s="1"/>
  <c r="I65" i="16" a="1"/>
  <c r="I65" i="16" s="1"/>
  <c r="J65" i="16" s="1"/>
  <c r="L65" i="16" s="1"/>
  <c r="I64" i="16" a="1"/>
  <c r="I64" i="16" s="1"/>
  <c r="J64" i="16" s="1"/>
  <c r="L64" i="16" s="1"/>
  <c r="I63" i="16" a="1"/>
  <c r="I63" i="16" s="1"/>
  <c r="J63" i="16" s="1"/>
  <c r="L63" i="16" s="1"/>
  <c r="I62" i="16" a="1"/>
  <c r="I62" i="16" s="1"/>
  <c r="J62" i="16" s="1"/>
  <c r="L62" i="16" s="1"/>
  <c r="I61" i="16" a="1"/>
  <c r="I61" i="16" s="1"/>
  <c r="J61" i="16" s="1"/>
  <c r="L61" i="16" s="1"/>
  <c r="I60" i="16" a="1"/>
  <c r="I60" i="16" s="1"/>
  <c r="J60" i="16" s="1"/>
  <c r="L60" i="16" s="1"/>
  <c r="I59" i="16" a="1"/>
  <c r="I59" i="16" s="1"/>
  <c r="J59" i="16" s="1"/>
  <c r="L59" i="16" s="1"/>
  <c r="I58" i="16" a="1"/>
  <c r="I58" i="16" s="1"/>
  <c r="J58" i="16" s="1"/>
  <c r="L58" i="16" s="1"/>
  <c r="I57" i="16" a="1"/>
  <c r="I57" i="16" s="1"/>
  <c r="J57" i="16" s="1"/>
  <c r="L57" i="16" s="1"/>
  <c r="I56" i="16" a="1"/>
  <c r="I56" i="16" s="1"/>
  <c r="J56" i="16" s="1"/>
  <c r="L56" i="16" s="1"/>
  <c r="I55" i="16" a="1"/>
  <c r="I55" i="16" s="1"/>
  <c r="J55" i="16" s="1"/>
  <c r="L55" i="16" s="1"/>
  <c r="I54" i="16" a="1"/>
  <c r="I54" i="16" s="1"/>
  <c r="J54" i="16" s="1"/>
  <c r="L54" i="16" s="1"/>
  <c r="I53" i="16" a="1"/>
  <c r="I53" i="16" s="1"/>
  <c r="J53" i="16" s="1"/>
  <c r="L53" i="16" s="1"/>
  <c r="I52" i="16" a="1"/>
  <c r="I52" i="16" s="1"/>
  <c r="J52" i="16" s="1"/>
  <c r="L52" i="16" s="1"/>
  <c r="I51" i="16" a="1"/>
  <c r="I51" i="16" s="1"/>
  <c r="J51" i="16" s="1"/>
  <c r="L51" i="16" s="1"/>
  <c r="I50" i="16" a="1"/>
  <c r="I50" i="16" s="1"/>
  <c r="J50" i="16" s="1"/>
  <c r="L50" i="16" s="1"/>
  <c r="I49" i="16" a="1"/>
  <c r="I49" i="16" s="1"/>
  <c r="J49" i="16" s="1"/>
  <c r="L49" i="16" s="1"/>
  <c r="I48" i="16" a="1"/>
  <c r="I48" i="16" s="1"/>
  <c r="J48" i="16" s="1"/>
  <c r="L48" i="16" s="1"/>
  <c r="I47" i="16" a="1"/>
  <c r="I47" i="16" s="1"/>
  <c r="J47" i="16" s="1"/>
  <c r="L47" i="16" s="1"/>
  <c r="I46" i="16" a="1"/>
  <c r="I46" i="16" s="1"/>
  <c r="J46" i="16" s="1"/>
  <c r="L46" i="16" s="1"/>
  <c r="I45" i="16" a="1"/>
  <c r="I45" i="16" s="1"/>
  <c r="J45" i="16" s="1"/>
  <c r="L45" i="16" s="1"/>
  <c r="I44" i="16" a="1"/>
  <c r="I44" i="16" s="1"/>
  <c r="J44" i="16" s="1"/>
  <c r="L44" i="16" s="1"/>
  <c r="I43" i="16" a="1"/>
  <c r="I43" i="16" s="1"/>
  <c r="J43" i="16" s="1"/>
  <c r="L43" i="16" s="1"/>
  <c r="I42" i="16" a="1"/>
  <c r="I42" i="16" s="1"/>
  <c r="J42" i="16" s="1"/>
  <c r="L42" i="16" s="1"/>
  <c r="I41" i="16" a="1"/>
  <c r="I41" i="16" s="1"/>
  <c r="J41" i="16" s="1"/>
  <c r="L41" i="16" s="1"/>
  <c r="I40" i="16" a="1"/>
  <c r="I40" i="16" s="1"/>
  <c r="J40" i="16" s="1"/>
  <c r="L40" i="16" s="1"/>
  <c r="I39" i="16" a="1"/>
  <c r="I39" i="16" s="1"/>
  <c r="J39" i="16" s="1"/>
  <c r="L39" i="16" s="1"/>
  <c r="I38" i="16" a="1"/>
  <c r="I38" i="16" s="1"/>
  <c r="J38" i="16" s="1"/>
  <c r="L38" i="16" s="1"/>
  <c r="I37" i="16" a="1"/>
  <c r="I37" i="16" s="1"/>
  <c r="J37" i="16" s="1"/>
  <c r="L37" i="16" s="1"/>
  <c r="I36" i="16" a="1"/>
  <c r="I36" i="16" s="1"/>
  <c r="J36" i="16" s="1"/>
  <c r="L36" i="16" s="1"/>
  <c r="I35" i="16" a="1"/>
  <c r="I35" i="16" s="1"/>
  <c r="J35" i="16" s="1"/>
  <c r="L35" i="16" s="1"/>
  <c r="I34" i="16" a="1"/>
  <c r="I34" i="16" s="1"/>
  <c r="J34" i="16" s="1"/>
  <c r="L34" i="16" s="1"/>
  <c r="I33" i="16" a="1"/>
  <c r="I33" i="16" s="1"/>
  <c r="J33" i="16" s="1"/>
  <c r="L33" i="16" s="1"/>
  <c r="I32" i="16" a="1"/>
  <c r="I32" i="16" s="1"/>
  <c r="J32" i="16" s="1"/>
  <c r="L32" i="16" s="1"/>
  <c r="I31" i="16" a="1"/>
  <c r="I31" i="16" s="1"/>
  <c r="J31" i="16" s="1"/>
  <c r="L31" i="16" s="1"/>
  <c r="I30" i="16" a="1"/>
  <c r="I30" i="16" s="1"/>
  <c r="J30" i="16" s="1"/>
  <c r="L30" i="16" s="1"/>
  <c r="I29" i="16" a="1"/>
  <c r="I29" i="16" s="1"/>
  <c r="J29" i="16" s="1"/>
  <c r="L29" i="16" s="1"/>
  <c r="I28" i="16" a="1"/>
  <c r="I28" i="16" s="1"/>
  <c r="J28" i="16" s="1"/>
  <c r="L28" i="16" s="1"/>
  <c r="I27" i="16" a="1"/>
  <c r="I27" i="16" s="1"/>
  <c r="J27" i="16" s="1"/>
  <c r="L27" i="16" s="1"/>
  <c r="I26" i="16" a="1"/>
  <c r="I26" i="16" s="1"/>
  <c r="J26" i="16" s="1"/>
  <c r="L26" i="16" s="1"/>
  <c r="I25" i="16" a="1"/>
  <c r="I25" i="16" s="1"/>
  <c r="J25" i="16" s="1"/>
  <c r="L25" i="16" s="1"/>
  <c r="I24" i="16" a="1"/>
  <c r="I24" i="16" s="1"/>
  <c r="J24" i="16" s="1"/>
  <c r="L24" i="16" s="1"/>
  <c r="I23" i="16" a="1"/>
  <c r="I23" i="16" s="1"/>
  <c r="J23" i="16" s="1"/>
  <c r="L23" i="16" s="1"/>
  <c r="I22" i="16" a="1"/>
  <c r="I22" i="16" s="1"/>
  <c r="J22" i="16" s="1"/>
  <c r="L22" i="16" s="1"/>
  <c r="I21" i="16" a="1"/>
  <c r="I21" i="16" s="1"/>
  <c r="J21" i="16" s="1"/>
  <c r="L21" i="16" s="1"/>
  <c r="I20" i="16" a="1"/>
  <c r="I20" i="16" s="1"/>
  <c r="J20" i="16" s="1"/>
  <c r="L20" i="16" s="1"/>
  <c r="I19" i="16" a="1"/>
  <c r="I19" i="16" s="1"/>
  <c r="J19" i="16" s="1"/>
  <c r="L19" i="16" s="1"/>
  <c r="I18" i="16" a="1"/>
  <c r="I18" i="16" s="1"/>
  <c r="J18" i="16" s="1"/>
  <c r="L18" i="16" s="1"/>
  <c r="I17" i="16" a="1"/>
  <c r="I17" i="16" s="1"/>
  <c r="J17" i="16" s="1"/>
  <c r="L17" i="16" s="1"/>
  <c r="I16" i="16" a="1"/>
  <c r="I16" i="16" s="1"/>
  <c r="J16" i="16" s="1"/>
  <c r="L16" i="16" s="1"/>
  <c r="I15" i="16" a="1"/>
  <c r="I15" i="16" s="1"/>
  <c r="J15" i="16" s="1"/>
  <c r="L15" i="16" s="1"/>
  <c r="I14" i="16" a="1"/>
  <c r="I14" i="16" s="1"/>
  <c r="J14" i="16" s="1"/>
  <c r="L14" i="16" s="1"/>
  <c r="I13" i="16" a="1"/>
  <c r="I13" i="16" s="1"/>
  <c r="J13" i="16" s="1"/>
  <c r="L13" i="16" s="1"/>
  <c r="I12" i="16" a="1"/>
  <c r="I12" i="16" s="1"/>
  <c r="J12" i="16" s="1"/>
  <c r="L12" i="16" s="1"/>
  <c r="I11" i="16" a="1"/>
  <c r="I11" i="16" s="1"/>
  <c r="J11" i="16" s="1"/>
  <c r="L11" i="16" s="1"/>
  <c r="I10" i="16" a="1"/>
  <c r="I10" i="16" s="1"/>
  <c r="J10" i="16" s="1"/>
  <c r="L10" i="16" s="1"/>
  <c r="I9" i="16" a="1"/>
  <c r="I9" i="16" s="1"/>
  <c r="J9" i="16" s="1"/>
  <c r="L9" i="16" s="1"/>
  <c r="I8" i="16" a="1"/>
  <c r="I8" i="16" s="1"/>
  <c r="J8" i="16" s="1"/>
  <c r="L8" i="16" s="1"/>
  <c r="J54" i="20"/>
  <c r="L54" i="20" s="1"/>
  <c r="J51" i="20"/>
  <c r="L51" i="20" s="1"/>
  <c r="J35" i="20"/>
  <c r="L35" i="20" s="1"/>
  <c r="J33" i="20"/>
  <c r="L33" i="20" s="1"/>
  <c r="J23" i="20"/>
  <c r="L23" i="20" s="1"/>
  <c r="J18" i="20"/>
  <c r="L18" i="20" s="1"/>
  <c r="J15" i="20"/>
  <c r="L15" i="20" s="1"/>
  <c r="I73" i="4" a="1"/>
  <c r="I73" i="4" s="1"/>
  <c r="J73" i="4" s="1"/>
  <c r="L73" i="4" s="1"/>
  <c r="I72" i="4" a="1"/>
  <c r="I72" i="4" s="1"/>
  <c r="J72" i="4" s="1"/>
  <c r="L72" i="4" s="1"/>
  <c r="I71" i="4" a="1"/>
  <c r="I71" i="4" s="1"/>
  <c r="J71" i="4" s="1"/>
  <c r="L71" i="4" s="1"/>
  <c r="I70" i="4" a="1"/>
  <c r="I70" i="4" s="1"/>
  <c r="J70" i="4" s="1"/>
  <c r="L70" i="4" s="1"/>
  <c r="I69" i="4" a="1"/>
  <c r="I69" i="4" s="1"/>
  <c r="J69" i="4" s="1"/>
  <c r="L69" i="4" s="1"/>
  <c r="I68" i="4" a="1"/>
  <c r="I68" i="4" s="1"/>
  <c r="J68" i="4" s="1"/>
  <c r="L68" i="4" s="1"/>
  <c r="I67" i="4" a="1"/>
  <c r="I67" i="4" s="1"/>
  <c r="J67" i="4" s="1"/>
  <c r="L67" i="4" s="1"/>
  <c r="I66" i="4" a="1"/>
  <c r="I66" i="4" s="1"/>
  <c r="J66" i="4" s="1"/>
  <c r="L66" i="4" s="1"/>
  <c r="I65" i="4" a="1"/>
  <c r="I65" i="4" s="1"/>
  <c r="J65" i="4" s="1"/>
  <c r="L65" i="4" s="1"/>
  <c r="I64" i="4" a="1"/>
  <c r="I64" i="4" s="1"/>
  <c r="J64" i="4" s="1"/>
  <c r="L64" i="4" s="1"/>
  <c r="I63" i="4" a="1"/>
  <c r="I63" i="4" s="1"/>
  <c r="J63" i="4" s="1"/>
  <c r="L63" i="4" s="1"/>
  <c r="I62" i="4" a="1"/>
  <c r="I62" i="4" s="1"/>
  <c r="J62" i="4" s="1"/>
  <c r="L62" i="4" s="1"/>
  <c r="I61" i="4" a="1"/>
  <c r="I61" i="4" s="1"/>
  <c r="J61" i="4" s="1"/>
  <c r="L61" i="4" s="1"/>
  <c r="I60" i="4" a="1"/>
  <c r="I60" i="4" s="1"/>
  <c r="J60" i="4" s="1"/>
  <c r="L60" i="4" s="1"/>
  <c r="I59" i="4" a="1"/>
  <c r="I59" i="4" s="1"/>
  <c r="J59" i="4" s="1"/>
  <c r="L59" i="4" s="1"/>
  <c r="I58" i="4" a="1"/>
  <c r="I58" i="4" s="1"/>
  <c r="J58" i="4" s="1"/>
  <c r="L58" i="4" s="1"/>
  <c r="I57" i="4" a="1"/>
  <c r="I57" i="4" s="1"/>
  <c r="J57" i="4" s="1"/>
  <c r="L57" i="4" s="1"/>
  <c r="I56" i="4" a="1"/>
  <c r="I56" i="4" s="1"/>
  <c r="J56" i="4" s="1"/>
  <c r="L56" i="4" s="1"/>
  <c r="I55" i="4" a="1"/>
  <c r="I55" i="4" s="1"/>
  <c r="J55" i="4" s="1"/>
  <c r="L55" i="4" s="1"/>
  <c r="I54" i="4" a="1"/>
  <c r="I54" i="4" s="1"/>
  <c r="J54" i="4" s="1"/>
  <c r="L54" i="4" s="1"/>
  <c r="I53" i="4" a="1"/>
  <c r="I53" i="4" s="1"/>
  <c r="J53" i="4" s="1"/>
  <c r="L53" i="4" s="1"/>
  <c r="I52" i="4" a="1"/>
  <c r="I52" i="4" s="1"/>
  <c r="J52" i="4" s="1"/>
  <c r="L52" i="4" s="1"/>
  <c r="I51" i="4" a="1"/>
  <c r="I51" i="4" s="1"/>
  <c r="J51" i="4" s="1"/>
  <c r="L51" i="4" s="1"/>
  <c r="I50" i="4" a="1"/>
  <c r="I50" i="4" s="1"/>
  <c r="J50" i="4" s="1"/>
  <c r="L50" i="4" s="1"/>
  <c r="I49" i="4" a="1"/>
  <c r="I49" i="4" s="1"/>
  <c r="J49" i="4" s="1"/>
  <c r="L49" i="4" s="1"/>
  <c r="I48" i="4" a="1"/>
  <c r="I48" i="4" s="1"/>
  <c r="J48" i="4" s="1"/>
  <c r="L48" i="4" s="1"/>
  <c r="I47" i="4" a="1"/>
  <c r="I47" i="4" s="1"/>
  <c r="J47" i="4" s="1"/>
  <c r="L47" i="4" s="1"/>
  <c r="I46" i="4" a="1"/>
  <c r="I46" i="4" s="1"/>
  <c r="J46" i="4" s="1"/>
  <c r="L46" i="4" s="1"/>
  <c r="I45" i="4" a="1"/>
  <c r="I45" i="4" s="1"/>
  <c r="J45" i="4" s="1"/>
  <c r="L45" i="4" s="1"/>
  <c r="I44" i="4" a="1"/>
  <c r="I44" i="4" s="1"/>
  <c r="J44" i="4" s="1"/>
  <c r="L44" i="4" s="1"/>
  <c r="I43" i="4" a="1"/>
  <c r="I43" i="4" s="1"/>
  <c r="J43" i="4" s="1"/>
  <c r="L43" i="4" s="1"/>
  <c r="I42" i="4" a="1"/>
  <c r="I42" i="4" s="1"/>
  <c r="J42" i="4" s="1"/>
  <c r="L42" i="4" s="1"/>
  <c r="I41" i="4" a="1"/>
  <c r="I41" i="4" s="1"/>
  <c r="J41" i="4" s="1"/>
  <c r="L41" i="4" s="1"/>
  <c r="I40" i="4" a="1"/>
  <c r="I40" i="4" s="1"/>
  <c r="J40" i="4" s="1"/>
  <c r="L40" i="4" s="1"/>
  <c r="I39" i="4" a="1"/>
  <c r="I39" i="4" s="1"/>
  <c r="J39" i="4" s="1"/>
  <c r="L39" i="4" s="1"/>
  <c r="I38" i="4" a="1"/>
  <c r="I38" i="4" s="1"/>
  <c r="J38" i="4" s="1"/>
  <c r="L38" i="4" s="1"/>
  <c r="I37" i="4" a="1"/>
  <c r="I37" i="4" s="1"/>
  <c r="J37" i="4" s="1"/>
  <c r="L37" i="4" s="1"/>
  <c r="I36" i="4" a="1"/>
  <c r="I36" i="4" s="1"/>
  <c r="J36" i="4" s="1"/>
  <c r="L36" i="4" s="1"/>
  <c r="I35" i="4" a="1"/>
  <c r="I35" i="4" s="1"/>
  <c r="J35" i="4" s="1"/>
  <c r="L35" i="4" s="1"/>
  <c r="I34" i="4" a="1"/>
  <c r="I34" i="4" s="1"/>
  <c r="J34" i="4" s="1"/>
  <c r="L34" i="4" s="1"/>
  <c r="I33" i="4" a="1"/>
  <c r="I33" i="4" s="1"/>
  <c r="J33" i="4" s="1"/>
  <c r="L33" i="4" s="1"/>
  <c r="I32" i="4" a="1"/>
  <c r="I32" i="4" s="1"/>
  <c r="J32" i="4" s="1"/>
  <c r="L32" i="4" s="1"/>
  <c r="I31" i="4" a="1"/>
  <c r="I31" i="4" s="1"/>
  <c r="J31" i="4" s="1"/>
  <c r="L31" i="4" s="1"/>
  <c r="I30" i="4" a="1"/>
  <c r="I30" i="4" s="1"/>
  <c r="J30" i="4" s="1"/>
  <c r="L30" i="4" s="1"/>
  <c r="I29" i="4" a="1"/>
  <c r="I29" i="4" s="1"/>
  <c r="J29" i="4" s="1"/>
  <c r="L29" i="4" s="1"/>
  <c r="I28" i="4" a="1"/>
  <c r="I28" i="4" s="1"/>
  <c r="J28" i="4" s="1"/>
  <c r="L28" i="4" s="1"/>
  <c r="I27" i="4" a="1"/>
  <c r="I27" i="4" s="1"/>
  <c r="J27" i="4" s="1"/>
  <c r="L27" i="4" s="1"/>
  <c r="I26" i="4" a="1"/>
  <c r="I26" i="4" s="1"/>
  <c r="J26" i="4" s="1"/>
  <c r="L26" i="4" s="1"/>
  <c r="I25" i="4" a="1"/>
  <c r="I25" i="4" s="1"/>
  <c r="J25" i="4" s="1"/>
  <c r="L25" i="4" s="1"/>
  <c r="I24" i="4" a="1"/>
  <c r="I24" i="4" s="1"/>
  <c r="J24" i="4" s="1"/>
  <c r="L24" i="4" s="1"/>
  <c r="I23" i="4" a="1"/>
  <c r="I23" i="4" s="1"/>
  <c r="J23" i="4" s="1"/>
  <c r="L23" i="4" s="1"/>
  <c r="I22" i="4" a="1"/>
  <c r="I22" i="4" s="1"/>
  <c r="J22" i="4" s="1"/>
  <c r="L22" i="4" s="1"/>
  <c r="I21" i="4" a="1"/>
  <c r="I21" i="4" s="1"/>
  <c r="J21" i="4" s="1"/>
  <c r="L21" i="4" s="1"/>
  <c r="I20" i="4" a="1"/>
  <c r="I20" i="4" s="1"/>
  <c r="J20" i="4" s="1"/>
  <c r="L20" i="4" s="1"/>
  <c r="I19" i="4" a="1"/>
  <c r="I19" i="4" s="1"/>
  <c r="J19" i="4" s="1"/>
  <c r="L19" i="4" s="1"/>
  <c r="I18" i="4" a="1"/>
  <c r="I18" i="4" s="1"/>
  <c r="J18" i="4" s="1"/>
  <c r="L18" i="4" s="1"/>
  <c r="I17" i="4" a="1"/>
  <c r="I17" i="4" s="1"/>
  <c r="J17" i="4" s="1"/>
  <c r="L17" i="4" s="1"/>
  <c r="I16" i="4" a="1"/>
  <c r="I16" i="4" s="1"/>
  <c r="J16" i="4" s="1"/>
  <c r="L16" i="4" s="1"/>
  <c r="I15" i="4" a="1"/>
  <c r="I15" i="4" s="1"/>
  <c r="J15" i="4" s="1"/>
  <c r="L15" i="4" s="1"/>
  <c r="I14" i="4" a="1"/>
  <c r="I14" i="4" s="1"/>
  <c r="J14" i="4" s="1"/>
  <c r="L14" i="4" s="1"/>
  <c r="I13" i="4" a="1"/>
  <c r="I13" i="4" s="1"/>
  <c r="J13" i="4" s="1"/>
  <c r="L13" i="4" s="1"/>
  <c r="I12" i="4" a="1"/>
  <c r="I12" i="4" s="1"/>
  <c r="J12" i="4" s="1"/>
  <c r="L12" i="4" s="1"/>
  <c r="I11" i="4" a="1"/>
  <c r="I11" i="4" s="1"/>
  <c r="J11" i="4" s="1"/>
  <c r="L11" i="4" s="1"/>
  <c r="I10" i="4" a="1"/>
  <c r="I10" i="4" s="1"/>
  <c r="J10" i="4" s="1"/>
  <c r="L10" i="4" s="1"/>
  <c r="I9" i="4" a="1"/>
  <c r="I9" i="4" s="1"/>
  <c r="J9" i="4" s="1"/>
  <c r="L9" i="4" s="1"/>
  <c r="I8" i="4" a="1"/>
  <c r="I8" i="4" s="1"/>
  <c r="J8" i="4" s="1"/>
  <c r="L8" i="4" s="1"/>
  <c r="I73" i="15" a="1"/>
  <c r="I73" i="15" s="1"/>
  <c r="J73" i="15" s="1"/>
  <c r="L73" i="15" s="1"/>
  <c r="I72" i="15" a="1"/>
  <c r="I72" i="15" s="1"/>
  <c r="J72" i="15" s="1"/>
  <c r="L72" i="15" s="1"/>
  <c r="I71" i="15" a="1"/>
  <c r="I71" i="15" s="1"/>
  <c r="J71" i="15" s="1"/>
  <c r="L71" i="15" s="1"/>
  <c r="I70" i="15" a="1"/>
  <c r="I70" i="15" s="1"/>
  <c r="J70" i="15" s="1"/>
  <c r="L70" i="15" s="1"/>
  <c r="I69" i="15" a="1"/>
  <c r="I69" i="15" s="1"/>
  <c r="J69" i="15" s="1"/>
  <c r="L69" i="15" s="1"/>
  <c r="I68" i="15" a="1"/>
  <c r="I68" i="15" s="1"/>
  <c r="J68" i="15" s="1"/>
  <c r="L68" i="15" s="1"/>
  <c r="I67" i="15" a="1"/>
  <c r="I67" i="15" s="1"/>
  <c r="J67" i="15" s="1"/>
  <c r="L67" i="15" s="1"/>
  <c r="I66" i="15" a="1"/>
  <c r="I66" i="15" s="1"/>
  <c r="J66" i="15" s="1"/>
  <c r="L66" i="15" s="1"/>
  <c r="I65" i="15" a="1"/>
  <c r="I65" i="15" s="1"/>
  <c r="J65" i="15" s="1"/>
  <c r="L65" i="15" s="1"/>
  <c r="I64" i="15" a="1"/>
  <c r="I64" i="15" s="1"/>
  <c r="J64" i="15" s="1"/>
  <c r="L64" i="15" s="1"/>
  <c r="I63" i="15" a="1"/>
  <c r="I63" i="15" s="1"/>
  <c r="J63" i="15" s="1"/>
  <c r="L63" i="15" s="1"/>
  <c r="I62" i="15" a="1"/>
  <c r="I62" i="15" s="1"/>
  <c r="J62" i="15" s="1"/>
  <c r="L62" i="15" s="1"/>
  <c r="I61" i="15" a="1"/>
  <c r="I61" i="15" s="1"/>
  <c r="J61" i="15" s="1"/>
  <c r="L61" i="15" s="1"/>
  <c r="I60" i="15" a="1"/>
  <c r="I60" i="15" s="1"/>
  <c r="J60" i="15" s="1"/>
  <c r="L60" i="15" s="1"/>
  <c r="I59" i="15" a="1"/>
  <c r="I59" i="15" s="1"/>
  <c r="J59" i="15" s="1"/>
  <c r="L59" i="15" s="1"/>
  <c r="I58" i="15" a="1"/>
  <c r="I58" i="15" s="1"/>
  <c r="J58" i="15" s="1"/>
  <c r="L58" i="15" s="1"/>
  <c r="I57" i="15" a="1"/>
  <c r="I57" i="15" s="1"/>
  <c r="J57" i="15" s="1"/>
  <c r="L57" i="15" s="1"/>
  <c r="I56" i="15" a="1"/>
  <c r="I56" i="15" s="1"/>
  <c r="J56" i="15" s="1"/>
  <c r="L56" i="15" s="1"/>
  <c r="I55" i="15" a="1"/>
  <c r="I55" i="15" s="1"/>
  <c r="J55" i="15" s="1"/>
  <c r="L55" i="15" s="1"/>
  <c r="I54" i="15" a="1"/>
  <c r="I54" i="15" s="1"/>
  <c r="J54" i="15" s="1"/>
  <c r="L54" i="15" s="1"/>
  <c r="I53" i="15" a="1"/>
  <c r="I53" i="15" s="1"/>
  <c r="J53" i="15" s="1"/>
  <c r="L53" i="15" s="1"/>
  <c r="I52" i="15" a="1"/>
  <c r="I52" i="15" s="1"/>
  <c r="J52" i="15" s="1"/>
  <c r="L52" i="15" s="1"/>
  <c r="I51" i="15" a="1"/>
  <c r="I51" i="15" s="1"/>
  <c r="J51" i="15" s="1"/>
  <c r="L51" i="15" s="1"/>
  <c r="I50" i="15" a="1"/>
  <c r="I50" i="15" s="1"/>
  <c r="J50" i="15" s="1"/>
  <c r="L50" i="15" s="1"/>
  <c r="I49" i="15" a="1"/>
  <c r="I49" i="15" s="1"/>
  <c r="J49" i="15" s="1"/>
  <c r="L49" i="15" s="1"/>
  <c r="I48" i="15" a="1"/>
  <c r="I48" i="15" s="1"/>
  <c r="J48" i="15" s="1"/>
  <c r="L48" i="15" s="1"/>
  <c r="I47" i="15" a="1"/>
  <c r="I47" i="15" s="1"/>
  <c r="J47" i="15" s="1"/>
  <c r="L47" i="15" s="1"/>
  <c r="I46" i="15" a="1"/>
  <c r="I46" i="15" s="1"/>
  <c r="J46" i="15" s="1"/>
  <c r="L46" i="15" s="1"/>
  <c r="I45" i="15" a="1"/>
  <c r="I45" i="15" s="1"/>
  <c r="J45" i="15" s="1"/>
  <c r="L45" i="15" s="1"/>
  <c r="I44" i="15" a="1"/>
  <c r="I44" i="15" s="1"/>
  <c r="J44" i="15" s="1"/>
  <c r="L44" i="15" s="1"/>
  <c r="I43" i="15" a="1"/>
  <c r="I43" i="15" s="1"/>
  <c r="J43" i="15" s="1"/>
  <c r="L43" i="15" s="1"/>
  <c r="I42" i="15" a="1"/>
  <c r="I42" i="15" s="1"/>
  <c r="J42" i="15" s="1"/>
  <c r="L42" i="15" s="1"/>
  <c r="I41" i="15" a="1"/>
  <c r="I41" i="15" s="1"/>
  <c r="J41" i="15" s="1"/>
  <c r="L41" i="15" s="1"/>
  <c r="I40" i="15" a="1"/>
  <c r="I40" i="15" s="1"/>
  <c r="J40" i="15" s="1"/>
  <c r="L40" i="15" s="1"/>
  <c r="I39" i="15" a="1"/>
  <c r="I39" i="15" s="1"/>
  <c r="J39" i="15" s="1"/>
  <c r="L39" i="15" s="1"/>
  <c r="I38" i="15" a="1"/>
  <c r="I38" i="15" s="1"/>
  <c r="J38" i="15" s="1"/>
  <c r="L38" i="15" s="1"/>
  <c r="I37" i="15" a="1"/>
  <c r="I37" i="15" s="1"/>
  <c r="J37" i="15" s="1"/>
  <c r="L37" i="15" s="1"/>
  <c r="I36" i="15" a="1"/>
  <c r="I36" i="15" s="1"/>
  <c r="J36" i="15" s="1"/>
  <c r="L36" i="15" s="1"/>
  <c r="I35" i="15" a="1"/>
  <c r="I35" i="15" s="1"/>
  <c r="J35" i="15" s="1"/>
  <c r="L35" i="15" s="1"/>
  <c r="I34" i="15" a="1"/>
  <c r="I34" i="15" s="1"/>
  <c r="J34" i="15" s="1"/>
  <c r="L34" i="15" s="1"/>
  <c r="I33" i="15" a="1"/>
  <c r="I33" i="15" s="1"/>
  <c r="J33" i="15" s="1"/>
  <c r="L33" i="15" s="1"/>
  <c r="I32" i="15" a="1"/>
  <c r="I32" i="15" s="1"/>
  <c r="J32" i="15" s="1"/>
  <c r="L32" i="15" s="1"/>
  <c r="I31" i="15" a="1"/>
  <c r="I31" i="15" s="1"/>
  <c r="J31" i="15" s="1"/>
  <c r="L31" i="15" s="1"/>
  <c r="I30" i="15" a="1"/>
  <c r="I30" i="15" s="1"/>
  <c r="J30" i="15" s="1"/>
  <c r="L30" i="15" s="1"/>
  <c r="I29" i="15" a="1"/>
  <c r="I29" i="15" s="1"/>
  <c r="J29" i="15" s="1"/>
  <c r="L29" i="15" s="1"/>
  <c r="I28" i="15" a="1"/>
  <c r="I28" i="15" s="1"/>
  <c r="J28" i="15" s="1"/>
  <c r="L28" i="15" s="1"/>
  <c r="I27" i="15" a="1"/>
  <c r="I27" i="15" s="1"/>
  <c r="J27" i="15" s="1"/>
  <c r="L27" i="15" s="1"/>
  <c r="I26" i="15" a="1"/>
  <c r="I26" i="15" s="1"/>
  <c r="J26" i="15" s="1"/>
  <c r="L26" i="15" s="1"/>
  <c r="I25" i="15" a="1"/>
  <c r="I25" i="15" s="1"/>
  <c r="J25" i="15" s="1"/>
  <c r="L25" i="15" s="1"/>
  <c r="I24" i="15" a="1"/>
  <c r="I24" i="15" s="1"/>
  <c r="J24" i="15" s="1"/>
  <c r="L24" i="15" s="1"/>
  <c r="I23" i="15" a="1"/>
  <c r="I23" i="15" s="1"/>
  <c r="J23" i="15" s="1"/>
  <c r="L23" i="15" s="1"/>
  <c r="I22" i="15" a="1"/>
  <c r="I22" i="15" s="1"/>
  <c r="J22" i="15" s="1"/>
  <c r="L22" i="15" s="1"/>
  <c r="I21" i="15" a="1"/>
  <c r="I21" i="15" s="1"/>
  <c r="J21" i="15" s="1"/>
  <c r="L21" i="15" s="1"/>
  <c r="I20" i="15" a="1"/>
  <c r="I20" i="15" s="1"/>
  <c r="J20" i="15" s="1"/>
  <c r="L20" i="15" s="1"/>
  <c r="I19" i="15" a="1"/>
  <c r="I19" i="15" s="1"/>
  <c r="J19" i="15" s="1"/>
  <c r="L19" i="15" s="1"/>
  <c r="I18" i="15" a="1"/>
  <c r="I18" i="15" s="1"/>
  <c r="J18" i="15" s="1"/>
  <c r="L18" i="15" s="1"/>
  <c r="I17" i="15" a="1"/>
  <c r="I17" i="15" s="1"/>
  <c r="J17" i="15" s="1"/>
  <c r="L17" i="15" s="1"/>
  <c r="I16" i="15" a="1"/>
  <c r="I16" i="15" s="1"/>
  <c r="J16" i="15" s="1"/>
  <c r="L16" i="15" s="1"/>
  <c r="I15" i="15" a="1"/>
  <c r="I15" i="15" s="1"/>
  <c r="J15" i="15" s="1"/>
  <c r="L15" i="15" s="1"/>
  <c r="I14" i="15" a="1"/>
  <c r="I14" i="15" s="1"/>
  <c r="J14" i="15" s="1"/>
  <c r="L14" i="15" s="1"/>
  <c r="I13" i="15" a="1"/>
  <c r="I13" i="15" s="1"/>
  <c r="J13" i="15" s="1"/>
  <c r="L13" i="15" s="1"/>
  <c r="I12" i="15" a="1"/>
  <c r="I12" i="15" s="1"/>
  <c r="J12" i="15" s="1"/>
  <c r="L12" i="15" s="1"/>
  <c r="I11" i="15" a="1"/>
  <c r="I11" i="15" s="1"/>
  <c r="J11" i="15" s="1"/>
  <c r="L11" i="15" s="1"/>
  <c r="I10" i="15" a="1"/>
  <c r="I10" i="15" s="1"/>
  <c r="J10" i="15" s="1"/>
  <c r="L10" i="15" s="1"/>
  <c r="I9" i="15" a="1"/>
  <c r="I9" i="15" s="1"/>
  <c r="J9" i="15" s="1"/>
  <c r="L9" i="15" s="1"/>
  <c r="I8" i="15" a="1"/>
  <c r="I8" i="15" s="1"/>
  <c r="J8" i="15" s="1"/>
  <c r="L8" i="15" s="1"/>
  <c r="J73" i="18"/>
  <c r="L73" i="18" s="1"/>
  <c r="J72" i="18"/>
  <c r="L72" i="18" s="1"/>
  <c r="J71" i="18"/>
  <c r="L71" i="18" s="1"/>
  <c r="J70" i="18"/>
  <c r="L70" i="18" s="1"/>
  <c r="J69" i="18"/>
  <c r="L69" i="18" s="1"/>
  <c r="J68" i="18"/>
  <c r="L68" i="18" s="1"/>
  <c r="J67" i="18"/>
  <c r="L67" i="18" s="1"/>
  <c r="J66" i="18"/>
  <c r="L66" i="18" s="1"/>
  <c r="J60" i="18"/>
  <c r="L60" i="18" s="1"/>
  <c r="J59" i="18"/>
  <c r="L59" i="18" s="1"/>
  <c r="J56" i="18"/>
  <c r="L56" i="18" s="1"/>
  <c r="J55" i="18"/>
  <c r="L55" i="18" s="1"/>
  <c r="J54" i="18"/>
  <c r="L54" i="18" s="1"/>
  <c r="J49" i="18"/>
  <c r="L49" i="18" s="1"/>
  <c r="J44" i="18"/>
  <c r="L44" i="18" s="1"/>
  <c r="J43" i="18"/>
  <c r="L43" i="18" s="1"/>
  <c r="J42" i="18"/>
  <c r="L42" i="18" s="1"/>
  <c r="J37" i="18"/>
  <c r="L37" i="18" s="1"/>
  <c r="J36" i="18"/>
  <c r="L36" i="18" s="1"/>
  <c r="J35" i="18"/>
  <c r="L35" i="18" s="1"/>
  <c r="J34" i="18"/>
  <c r="L34" i="18" s="1"/>
  <c r="J33" i="18"/>
  <c r="L33" i="18" s="1"/>
  <c r="J32" i="18"/>
  <c r="L32" i="18" s="1"/>
  <c r="J31" i="18"/>
  <c r="L31" i="18" s="1"/>
  <c r="J30" i="18"/>
  <c r="L30" i="18" s="1"/>
  <c r="J24" i="18"/>
  <c r="L24" i="18" s="1"/>
  <c r="J23" i="18"/>
  <c r="L23" i="18" s="1"/>
  <c r="J20" i="18"/>
  <c r="L20" i="18" s="1"/>
  <c r="J19" i="18"/>
  <c r="L19" i="18" s="1"/>
  <c r="J18" i="18"/>
  <c r="L18" i="18" s="1"/>
  <c r="J13" i="18"/>
  <c r="L13" i="18" s="1"/>
  <c r="J8" i="18"/>
  <c r="L8" i="18" s="1"/>
  <c r="J73" i="3"/>
  <c r="L73" i="3" s="1"/>
  <c r="J72" i="3"/>
  <c r="L72" i="3" s="1"/>
  <c r="J71" i="3"/>
  <c r="L71" i="3" s="1"/>
  <c r="J70" i="3"/>
  <c r="L70" i="3" s="1"/>
  <c r="J68" i="3"/>
  <c r="L68" i="3" s="1"/>
  <c r="J67" i="3"/>
  <c r="L67" i="3" s="1"/>
  <c r="J65" i="3"/>
  <c r="L65" i="3" s="1"/>
  <c r="J64" i="3"/>
  <c r="L64" i="3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J52" i="3"/>
  <c r="L52" i="3" s="1"/>
  <c r="J49" i="3"/>
  <c r="L49" i="3" s="1"/>
  <c r="J48" i="3"/>
  <c r="L48" i="3" s="1"/>
  <c r="J47" i="3"/>
  <c r="L47" i="3" s="1"/>
  <c r="J46" i="3"/>
  <c r="L46" i="3" s="1"/>
  <c r="J44" i="3"/>
  <c r="L44" i="3" s="1"/>
  <c r="J43" i="3"/>
  <c r="L43" i="3" s="1"/>
  <c r="J40" i="3"/>
  <c r="L40" i="3" s="1"/>
  <c r="J37" i="3"/>
  <c r="L37" i="3" s="1"/>
  <c r="J36" i="3"/>
  <c r="L36" i="3" s="1"/>
  <c r="J35" i="3"/>
  <c r="L35" i="3" s="1"/>
  <c r="J34" i="3"/>
  <c r="L34" i="3" s="1"/>
  <c r="J32" i="3"/>
  <c r="L32" i="3" s="1"/>
  <c r="J31" i="3"/>
  <c r="L31" i="3" s="1"/>
  <c r="J29" i="3"/>
  <c r="L29" i="3" s="1"/>
  <c r="J28" i="3"/>
  <c r="L28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6" i="3"/>
  <c r="L16" i="3" s="1"/>
  <c r="J13" i="3"/>
  <c r="L13" i="3" s="1"/>
  <c r="J12" i="3"/>
  <c r="L12" i="3" s="1"/>
  <c r="J11" i="3"/>
  <c r="L11" i="3" s="1"/>
  <c r="J10" i="3"/>
  <c r="L10" i="3" s="1"/>
  <c r="J8" i="3"/>
  <c r="L8" i="3" s="1"/>
  <c r="I73" i="14" a="1"/>
  <c r="I73" i="14" s="1"/>
  <c r="J73" i="14" s="1"/>
  <c r="L73" i="14" s="1"/>
  <c r="I72" i="14" a="1"/>
  <c r="I72" i="14" s="1"/>
  <c r="J72" i="14" s="1"/>
  <c r="L72" i="14" s="1"/>
  <c r="I71" i="14" a="1"/>
  <c r="I71" i="14" s="1"/>
  <c r="J71" i="14" s="1"/>
  <c r="L71" i="14" s="1"/>
  <c r="I70" i="14" a="1"/>
  <c r="I70" i="14" s="1"/>
  <c r="J70" i="14" s="1"/>
  <c r="L70" i="14" s="1"/>
  <c r="I69" i="14" a="1"/>
  <c r="I69" i="14" s="1"/>
  <c r="J69" i="14" s="1"/>
  <c r="L69" i="14" s="1"/>
  <c r="I68" i="14" a="1"/>
  <c r="I68" i="14" s="1"/>
  <c r="J68" i="14" s="1"/>
  <c r="L68" i="14" s="1"/>
  <c r="I67" i="14" a="1"/>
  <c r="I67" i="14" s="1"/>
  <c r="J67" i="14" s="1"/>
  <c r="L67" i="14" s="1"/>
  <c r="I66" i="14" a="1"/>
  <c r="I66" i="14" s="1"/>
  <c r="J66" i="14" s="1"/>
  <c r="L66" i="14" s="1"/>
  <c r="I65" i="14" a="1"/>
  <c r="I65" i="14" s="1"/>
  <c r="J65" i="14" s="1"/>
  <c r="L65" i="14" s="1"/>
  <c r="I64" i="14" a="1"/>
  <c r="I64" i="14" s="1"/>
  <c r="J64" i="14" s="1"/>
  <c r="L64" i="14" s="1"/>
  <c r="I63" i="14"/>
  <c r="J63" i="14" s="1"/>
  <c r="L63" i="14" s="1"/>
  <c r="I63" i="14" a="1"/>
  <c r="I62" i="14" a="1"/>
  <c r="I62" i="14" s="1"/>
  <c r="J62" i="14" s="1"/>
  <c r="L62" i="14" s="1"/>
  <c r="I61" i="14" a="1"/>
  <c r="I61" i="14" s="1"/>
  <c r="J61" i="14" s="1"/>
  <c r="L61" i="14" s="1"/>
  <c r="I60" i="14" a="1"/>
  <c r="I60" i="14" s="1"/>
  <c r="J60" i="14" s="1"/>
  <c r="L60" i="14" s="1"/>
  <c r="I59" i="14" a="1"/>
  <c r="I59" i="14" s="1"/>
  <c r="J59" i="14" s="1"/>
  <c r="L59" i="14" s="1"/>
  <c r="I58" i="14" a="1"/>
  <c r="I58" i="14" s="1"/>
  <c r="J58" i="14" s="1"/>
  <c r="L58" i="14" s="1"/>
  <c r="I57" i="14" a="1"/>
  <c r="I57" i="14" s="1"/>
  <c r="J57" i="14" s="1"/>
  <c r="L57" i="14" s="1"/>
  <c r="I56" i="14" a="1"/>
  <c r="I56" i="14" s="1"/>
  <c r="J56" i="14" s="1"/>
  <c r="L56" i="14" s="1"/>
  <c r="I55" i="14" a="1"/>
  <c r="I55" i="14" s="1"/>
  <c r="J55" i="14" s="1"/>
  <c r="L55" i="14" s="1"/>
  <c r="I54" i="14" a="1"/>
  <c r="I54" i="14" s="1"/>
  <c r="J54" i="14" s="1"/>
  <c r="L54" i="14" s="1"/>
  <c r="I53" i="14" a="1"/>
  <c r="I53" i="14" s="1"/>
  <c r="J53" i="14" s="1"/>
  <c r="L53" i="14" s="1"/>
  <c r="I52" i="14" a="1"/>
  <c r="I52" i="14" s="1"/>
  <c r="J52" i="14" s="1"/>
  <c r="L52" i="14" s="1"/>
  <c r="I51" i="14" a="1"/>
  <c r="I51" i="14" s="1"/>
  <c r="J51" i="14" s="1"/>
  <c r="L51" i="14" s="1"/>
  <c r="I50" i="14" a="1"/>
  <c r="I50" i="14" s="1"/>
  <c r="J50" i="14" s="1"/>
  <c r="L50" i="14" s="1"/>
  <c r="I49" i="14" a="1"/>
  <c r="I49" i="14" s="1"/>
  <c r="J49" i="14" s="1"/>
  <c r="L49" i="14" s="1"/>
  <c r="I48" i="14" a="1"/>
  <c r="I48" i="14" s="1"/>
  <c r="J48" i="14" s="1"/>
  <c r="L48" i="14" s="1"/>
  <c r="I47" i="14" a="1"/>
  <c r="I47" i="14" s="1"/>
  <c r="J47" i="14" s="1"/>
  <c r="L47" i="14" s="1"/>
  <c r="I46" i="14" a="1"/>
  <c r="I46" i="14" s="1"/>
  <c r="J46" i="14" s="1"/>
  <c r="L46" i="14" s="1"/>
  <c r="I45" i="14" a="1"/>
  <c r="I45" i="14" s="1"/>
  <c r="J45" i="14" s="1"/>
  <c r="L45" i="14" s="1"/>
  <c r="I44" i="14" a="1"/>
  <c r="I44" i="14" s="1"/>
  <c r="J44" i="14" s="1"/>
  <c r="L44" i="14" s="1"/>
  <c r="I43" i="14" a="1"/>
  <c r="I43" i="14" s="1"/>
  <c r="J43" i="14" s="1"/>
  <c r="L43" i="14" s="1"/>
  <c r="I42" i="14" a="1"/>
  <c r="I42" i="14" s="1"/>
  <c r="J42" i="14" s="1"/>
  <c r="L42" i="14" s="1"/>
  <c r="I41" i="14" a="1"/>
  <c r="I41" i="14" s="1"/>
  <c r="J41" i="14" s="1"/>
  <c r="L41" i="14" s="1"/>
  <c r="I40" i="14" a="1"/>
  <c r="I40" i="14" s="1"/>
  <c r="J40" i="14" s="1"/>
  <c r="L40" i="14" s="1"/>
  <c r="I39" i="14" a="1"/>
  <c r="I39" i="14" s="1"/>
  <c r="J39" i="14" s="1"/>
  <c r="L39" i="14" s="1"/>
  <c r="I38" i="14" a="1"/>
  <c r="I38" i="14" s="1"/>
  <c r="J38" i="14" s="1"/>
  <c r="L38" i="14" s="1"/>
  <c r="I37" i="14" a="1"/>
  <c r="I37" i="14" s="1"/>
  <c r="J37" i="14" s="1"/>
  <c r="L37" i="14" s="1"/>
  <c r="I36" i="14" a="1"/>
  <c r="I36" i="14" s="1"/>
  <c r="J36" i="14" s="1"/>
  <c r="L36" i="14" s="1"/>
  <c r="I35" i="14" a="1"/>
  <c r="I35" i="14" s="1"/>
  <c r="J35" i="14" s="1"/>
  <c r="L35" i="14" s="1"/>
  <c r="I34" i="14" a="1"/>
  <c r="I34" i="14" s="1"/>
  <c r="J34" i="14" s="1"/>
  <c r="L34" i="14" s="1"/>
  <c r="I33" i="14" a="1"/>
  <c r="I33" i="14" s="1"/>
  <c r="J33" i="14" s="1"/>
  <c r="L33" i="14" s="1"/>
  <c r="I32" i="14" a="1"/>
  <c r="I32" i="14" s="1"/>
  <c r="J32" i="14" s="1"/>
  <c r="L32" i="14" s="1"/>
  <c r="I31" i="14" a="1"/>
  <c r="I31" i="14" s="1"/>
  <c r="J31" i="14" s="1"/>
  <c r="L31" i="14" s="1"/>
  <c r="I30" i="14" a="1"/>
  <c r="I30" i="14" s="1"/>
  <c r="J30" i="14" s="1"/>
  <c r="L30" i="14" s="1"/>
  <c r="I29" i="14" a="1"/>
  <c r="I29" i="14" s="1"/>
  <c r="J29" i="14" s="1"/>
  <c r="L29" i="14" s="1"/>
  <c r="I28" i="14" a="1"/>
  <c r="I28" i="14" s="1"/>
  <c r="J28" i="14" s="1"/>
  <c r="L28" i="14" s="1"/>
  <c r="I27" i="14" a="1"/>
  <c r="I27" i="14" s="1"/>
  <c r="J27" i="14" s="1"/>
  <c r="L27" i="14" s="1"/>
  <c r="I26" i="14" a="1"/>
  <c r="I26" i="14" s="1"/>
  <c r="J26" i="14" s="1"/>
  <c r="L26" i="14" s="1"/>
  <c r="I25" i="14" a="1"/>
  <c r="I25" i="14" s="1"/>
  <c r="J25" i="14" s="1"/>
  <c r="L25" i="14" s="1"/>
  <c r="I24" i="14" a="1"/>
  <c r="I24" i="14" s="1"/>
  <c r="J24" i="14" s="1"/>
  <c r="L24" i="14" s="1"/>
  <c r="I23" i="14" a="1"/>
  <c r="I23" i="14" s="1"/>
  <c r="J23" i="14" s="1"/>
  <c r="L23" i="14" s="1"/>
  <c r="I22" i="14" a="1"/>
  <c r="I22" i="14" s="1"/>
  <c r="J22" i="14" s="1"/>
  <c r="L22" i="14" s="1"/>
  <c r="I21" i="14" a="1"/>
  <c r="I21" i="14" s="1"/>
  <c r="J21" i="14" s="1"/>
  <c r="L21" i="14" s="1"/>
  <c r="I20" i="14" a="1"/>
  <c r="I20" i="14" s="1"/>
  <c r="J20" i="14" s="1"/>
  <c r="L20" i="14" s="1"/>
  <c r="I19" i="14" a="1"/>
  <c r="I19" i="14" s="1"/>
  <c r="J19" i="14" s="1"/>
  <c r="L19" i="14" s="1"/>
  <c r="I18" i="14" a="1"/>
  <c r="I18" i="14" s="1"/>
  <c r="J18" i="14" s="1"/>
  <c r="L18" i="14" s="1"/>
  <c r="I17" i="14" a="1"/>
  <c r="I17" i="14" s="1"/>
  <c r="J17" i="14" s="1"/>
  <c r="L17" i="14" s="1"/>
  <c r="I16" i="14" a="1"/>
  <c r="I16" i="14" s="1"/>
  <c r="J16" i="14" s="1"/>
  <c r="L16" i="14" s="1"/>
  <c r="I15" i="14" a="1"/>
  <c r="I15" i="14" s="1"/>
  <c r="J15" i="14" s="1"/>
  <c r="L15" i="14" s="1"/>
  <c r="I14" i="14" a="1"/>
  <c r="I14" i="14" s="1"/>
  <c r="J14" i="14" s="1"/>
  <c r="L14" i="14" s="1"/>
  <c r="I13" i="14" a="1"/>
  <c r="I13" i="14" s="1"/>
  <c r="J13" i="14" s="1"/>
  <c r="L13" i="14" s="1"/>
  <c r="I12" i="14" a="1"/>
  <c r="I12" i="14" s="1"/>
  <c r="J12" i="14" s="1"/>
  <c r="L12" i="14" s="1"/>
  <c r="I11" i="14" a="1"/>
  <c r="I11" i="14" s="1"/>
  <c r="J11" i="14" s="1"/>
  <c r="L11" i="14" s="1"/>
  <c r="I10" i="14" a="1"/>
  <c r="I10" i="14" s="1"/>
  <c r="J10" i="14" s="1"/>
  <c r="L10" i="14" s="1"/>
  <c r="I9" i="14" a="1"/>
  <c r="I9" i="14" s="1"/>
  <c r="J9" i="14" s="1"/>
  <c r="L9" i="14" s="1"/>
  <c r="I8" i="14" a="1"/>
  <c r="I8" i="14" s="1"/>
  <c r="J8" i="14" s="1"/>
  <c r="L8" i="14" s="1"/>
  <c r="I73" i="12" a="1"/>
  <c r="I73" i="12" s="1"/>
  <c r="J73" i="12" s="1"/>
  <c r="L73" i="12" s="1"/>
  <c r="I72" i="12" a="1"/>
  <c r="I72" i="12" s="1"/>
  <c r="J72" i="12" s="1"/>
  <c r="L72" i="12" s="1"/>
  <c r="I71" i="12" a="1"/>
  <c r="I71" i="12" s="1"/>
  <c r="J71" i="12" s="1"/>
  <c r="L71" i="12" s="1"/>
  <c r="I70" i="12" a="1"/>
  <c r="I70" i="12" s="1"/>
  <c r="J70" i="12" s="1"/>
  <c r="L70" i="12" s="1"/>
  <c r="I69" i="12" a="1"/>
  <c r="I69" i="12" s="1"/>
  <c r="J69" i="12" s="1"/>
  <c r="L69" i="12" s="1"/>
  <c r="I68" i="12" a="1"/>
  <c r="I68" i="12" s="1"/>
  <c r="J68" i="12" s="1"/>
  <c r="L68" i="12" s="1"/>
  <c r="I67" i="12" a="1"/>
  <c r="I67" i="12" s="1"/>
  <c r="J67" i="12" s="1"/>
  <c r="L67" i="12" s="1"/>
  <c r="I66" i="12" a="1"/>
  <c r="I66" i="12" s="1"/>
  <c r="J66" i="12" s="1"/>
  <c r="L66" i="12" s="1"/>
  <c r="I65" i="12" a="1"/>
  <c r="I65" i="12" s="1"/>
  <c r="J65" i="12" s="1"/>
  <c r="L65" i="12" s="1"/>
  <c r="I64" i="12" a="1"/>
  <c r="I64" i="12" s="1"/>
  <c r="J64" i="12" s="1"/>
  <c r="L64" i="12" s="1"/>
  <c r="I63" i="12" a="1"/>
  <c r="I63" i="12" s="1"/>
  <c r="J63" i="12" s="1"/>
  <c r="L63" i="12" s="1"/>
  <c r="I62" i="12" a="1"/>
  <c r="I62" i="12" s="1"/>
  <c r="J62" i="12" s="1"/>
  <c r="L62" i="12" s="1"/>
  <c r="I61" i="12" a="1"/>
  <c r="I61" i="12" s="1"/>
  <c r="J61" i="12" s="1"/>
  <c r="L61" i="12" s="1"/>
  <c r="I60" i="12" a="1"/>
  <c r="I60" i="12" s="1"/>
  <c r="J60" i="12" s="1"/>
  <c r="L60" i="12" s="1"/>
  <c r="I59" i="12" a="1"/>
  <c r="I59" i="12" s="1"/>
  <c r="J59" i="12" s="1"/>
  <c r="L59" i="12" s="1"/>
  <c r="I58" i="12" a="1"/>
  <c r="I58" i="12" s="1"/>
  <c r="J58" i="12" s="1"/>
  <c r="L58" i="12" s="1"/>
  <c r="I57" i="12" a="1"/>
  <c r="I57" i="12" s="1"/>
  <c r="J57" i="12" s="1"/>
  <c r="L57" i="12" s="1"/>
  <c r="I56" i="12" a="1"/>
  <c r="I56" i="12" s="1"/>
  <c r="J56" i="12" s="1"/>
  <c r="L56" i="12" s="1"/>
  <c r="I55" i="12" a="1"/>
  <c r="I55" i="12" s="1"/>
  <c r="J55" i="12" s="1"/>
  <c r="L55" i="12" s="1"/>
  <c r="I54" i="12" a="1"/>
  <c r="I54" i="12" s="1"/>
  <c r="J54" i="12" s="1"/>
  <c r="L54" i="12" s="1"/>
  <c r="I53" i="12" a="1"/>
  <c r="I53" i="12" s="1"/>
  <c r="J53" i="12" s="1"/>
  <c r="L53" i="12" s="1"/>
  <c r="I52" i="12" a="1"/>
  <c r="I52" i="12" s="1"/>
  <c r="J52" i="12" s="1"/>
  <c r="L52" i="12" s="1"/>
  <c r="I51" i="12" a="1"/>
  <c r="I51" i="12" s="1"/>
  <c r="J51" i="12" s="1"/>
  <c r="L51" i="12" s="1"/>
  <c r="I50" i="12" a="1"/>
  <c r="I50" i="12" s="1"/>
  <c r="J50" i="12" s="1"/>
  <c r="L50" i="12" s="1"/>
  <c r="I49" i="12" a="1"/>
  <c r="I49" i="12" s="1"/>
  <c r="J49" i="12" s="1"/>
  <c r="L49" i="12" s="1"/>
  <c r="I48" i="12" a="1"/>
  <c r="I48" i="12" s="1"/>
  <c r="J48" i="12" s="1"/>
  <c r="L48" i="12" s="1"/>
  <c r="I47" i="12" a="1"/>
  <c r="I47" i="12" s="1"/>
  <c r="J47" i="12" s="1"/>
  <c r="L47" i="12" s="1"/>
  <c r="I46" i="12" a="1"/>
  <c r="I46" i="12" s="1"/>
  <c r="J46" i="12" s="1"/>
  <c r="L46" i="12" s="1"/>
  <c r="I45" i="12" a="1"/>
  <c r="I45" i="12" s="1"/>
  <c r="J45" i="12" s="1"/>
  <c r="L45" i="12" s="1"/>
  <c r="I44" i="12" a="1"/>
  <c r="I44" i="12" s="1"/>
  <c r="J44" i="12" s="1"/>
  <c r="L44" i="12" s="1"/>
  <c r="I43" i="12" a="1"/>
  <c r="I43" i="12" s="1"/>
  <c r="J43" i="12" s="1"/>
  <c r="L43" i="12" s="1"/>
  <c r="I42" i="12" a="1"/>
  <c r="I42" i="12" s="1"/>
  <c r="J42" i="12" s="1"/>
  <c r="L42" i="12" s="1"/>
  <c r="I41" i="12" a="1"/>
  <c r="I41" i="12" s="1"/>
  <c r="J41" i="12" s="1"/>
  <c r="L41" i="12" s="1"/>
  <c r="I40" i="12" a="1"/>
  <c r="I40" i="12" s="1"/>
  <c r="J40" i="12" s="1"/>
  <c r="L40" i="12" s="1"/>
  <c r="I39" i="12" a="1"/>
  <c r="I39" i="12" s="1"/>
  <c r="J39" i="12" s="1"/>
  <c r="L39" i="12" s="1"/>
  <c r="I38" i="12" a="1"/>
  <c r="I38" i="12" s="1"/>
  <c r="J38" i="12" s="1"/>
  <c r="L38" i="12" s="1"/>
  <c r="I37" i="12" a="1"/>
  <c r="I37" i="12" s="1"/>
  <c r="J37" i="12" s="1"/>
  <c r="L37" i="12" s="1"/>
  <c r="I36" i="12" a="1"/>
  <c r="I36" i="12" s="1"/>
  <c r="J36" i="12" s="1"/>
  <c r="L36" i="12" s="1"/>
  <c r="I35" i="12" a="1"/>
  <c r="I35" i="12" s="1"/>
  <c r="J35" i="12" s="1"/>
  <c r="L35" i="12" s="1"/>
  <c r="I34" i="12" a="1"/>
  <c r="I34" i="12" s="1"/>
  <c r="J34" i="12" s="1"/>
  <c r="L34" i="12" s="1"/>
  <c r="I33" i="12" a="1"/>
  <c r="I33" i="12" s="1"/>
  <c r="J33" i="12" s="1"/>
  <c r="L33" i="12" s="1"/>
  <c r="I32" i="12" a="1"/>
  <c r="I32" i="12" s="1"/>
  <c r="J32" i="12" s="1"/>
  <c r="L32" i="12" s="1"/>
  <c r="I31" i="12" a="1"/>
  <c r="I31" i="12" s="1"/>
  <c r="J31" i="12" s="1"/>
  <c r="L31" i="12" s="1"/>
  <c r="I30" i="12" a="1"/>
  <c r="I30" i="12" s="1"/>
  <c r="J30" i="12" s="1"/>
  <c r="L30" i="12" s="1"/>
  <c r="I29" i="12" a="1"/>
  <c r="I29" i="12" s="1"/>
  <c r="J29" i="12" s="1"/>
  <c r="L29" i="12" s="1"/>
  <c r="I28" i="12" a="1"/>
  <c r="I28" i="12" s="1"/>
  <c r="J28" i="12" s="1"/>
  <c r="L28" i="12" s="1"/>
  <c r="I27" i="12" a="1"/>
  <c r="I27" i="12" s="1"/>
  <c r="J27" i="12" s="1"/>
  <c r="L27" i="12" s="1"/>
  <c r="I26" i="12" a="1"/>
  <c r="I26" i="12" s="1"/>
  <c r="J26" i="12" s="1"/>
  <c r="L26" i="12" s="1"/>
  <c r="I25" i="12" a="1"/>
  <c r="I25" i="12" s="1"/>
  <c r="J25" i="12" s="1"/>
  <c r="L25" i="12" s="1"/>
  <c r="I24" i="12" a="1"/>
  <c r="I24" i="12" s="1"/>
  <c r="J24" i="12" s="1"/>
  <c r="L24" i="12" s="1"/>
  <c r="I23" i="12" a="1"/>
  <c r="I23" i="12" s="1"/>
  <c r="J23" i="12" s="1"/>
  <c r="L23" i="12" s="1"/>
  <c r="I22" i="12" a="1"/>
  <c r="I22" i="12" s="1"/>
  <c r="J22" i="12" s="1"/>
  <c r="L22" i="12" s="1"/>
  <c r="I21" i="12" a="1"/>
  <c r="I21" i="12" s="1"/>
  <c r="J21" i="12" s="1"/>
  <c r="L21" i="12" s="1"/>
  <c r="I20" i="12" a="1"/>
  <c r="I20" i="12" s="1"/>
  <c r="J20" i="12" s="1"/>
  <c r="L20" i="12" s="1"/>
  <c r="I19" i="12" a="1"/>
  <c r="I19" i="12" s="1"/>
  <c r="J19" i="12" s="1"/>
  <c r="L19" i="12" s="1"/>
  <c r="I18" i="12" a="1"/>
  <c r="I18" i="12" s="1"/>
  <c r="J18" i="12" s="1"/>
  <c r="L18" i="12" s="1"/>
  <c r="I17" i="12" a="1"/>
  <c r="I17" i="12" s="1"/>
  <c r="J17" i="12" s="1"/>
  <c r="L17" i="12" s="1"/>
  <c r="I16" i="12" a="1"/>
  <c r="I16" i="12" s="1"/>
  <c r="J16" i="12" s="1"/>
  <c r="L16" i="12" s="1"/>
  <c r="I15" i="12" a="1"/>
  <c r="I15" i="12" s="1"/>
  <c r="J15" i="12" s="1"/>
  <c r="L15" i="12" s="1"/>
  <c r="I14" i="12" a="1"/>
  <c r="I14" i="12" s="1"/>
  <c r="J14" i="12" s="1"/>
  <c r="L14" i="12" s="1"/>
  <c r="I13" i="12" a="1"/>
  <c r="I13" i="12" s="1"/>
  <c r="J13" i="12" s="1"/>
  <c r="L13" i="12" s="1"/>
  <c r="I12" i="12" a="1"/>
  <c r="I12" i="12" s="1"/>
  <c r="J12" i="12" s="1"/>
  <c r="L12" i="12" s="1"/>
  <c r="I11" i="12" a="1"/>
  <c r="I11" i="12" s="1"/>
  <c r="J11" i="12" s="1"/>
  <c r="L11" i="12" s="1"/>
  <c r="I10" i="12" a="1"/>
  <c r="I10" i="12" s="1"/>
  <c r="J10" i="12" s="1"/>
  <c r="L10" i="12" s="1"/>
  <c r="I9" i="12" a="1"/>
  <c r="I9" i="12" s="1"/>
  <c r="J9" i="12" s="1"/>
  <c r="L9" i="12" s="1"/>
  <c r="I8" i="12" a="1"/>
  <c r="I8" i="12" s="1"/>
  <c r="J8" i="12" s="1"/>
  <c r="L8" i="12" s="1"/>
  <c r="I73" i="11" a="1"/>
  <c r="I73" i="11" s="1"/>
  <c r="J73" i="11" s="1"/>
  <c r="L73" i="11" s="1"/>
  <c r="I72" i="11" a="1"/>
  <c r="I72" i="11" s="1"/>
  <c r="J72" i="11" s="1"/>
  <c r="L72" i="11" s="1"/>
  <c r="I71" i="11" a="1"/>
  <c r="I71" i="11" s="1"/>
  <c r="J71" i="11" s="1"/>
  <c r="L71" i="11" s="1"/>
  <c r="I70" i="11" a="1"/>
  <c r="I70" i="11" s="1"/>
  <c r="J70" i="11" s="1"/>
  <c r="L70" i="11" s="1"/>
  <c r="I69" i="11" a="1"/>
  <c r="I69" i="11" s="1"/>
  <c r="J69" i="11" s="1"/>
  <c r="L69" i="11" s="1"/>
  <c r="I68" i="11" a="1"/>
  <c r="I68" i="11" s="1"/>
  <c r="J68" i="11" s="1"/>
  <c r="L68" i="11" s="1"/>
  <c r="I67" i="11" a="1"/>
  <c r="I67" i="11" s="1"/>
  <c r="J67" i="11" s="1"/>
  <c r="L67" i="11" s="1"/>
  <c r="I66" i="11" a="1"/>
  <c r="I66" i="11" s="1"/>
  <c r="J66" i="11" s="1"/>
  <c r="L66" i="11" s="1"/>
  <c r="I65" i="11" a="1"/>
  <c r="I65" i="11" s="1"/>
  <c r="J65" i="11" s="1"/>
  <c r="L65" i="11" s="1"/>
  <c r="I64" i="11" a="1"/>
  <c r="I64" i="11" s="1"/>
  <c r="J64" i="11" s="1"/>
  <c r="L64" i="11" s="1"/>
  <c r="I63" i="11" a="1"/>
  <c r="I63" i="11" s="1"/>
  <c r="J63" i="11" s="1"/>
  <c r="L63" i="11" s="1"/>
  <c r="I62" i="11" a="1"/>
  <c r="I62" i="11" s="1"/>
  <c r="J62" i="11" s="1"/>
  <c r="L62" i="11" s="1"/>
  <c r="I61" i="11" a="1"/>
  <c r="I61" i="11" s="1"/>
  <c r="J61" i="11" s="1"/>
  <c r="L61" i="11" s="1"/>
  <c r="I60" i="11" a="1"/>
  <c r="I60" i="11" s="1"/>
  <c r="J60" i="11" s="1"/>
  <c r="L60" i="11" s="1"/>
  <c r="I59" i="11" a="1"/>
  <c r="I59" i="11" s="1"/>
  <c r="J59" i="11" s="1"/>
  <c r="L59" i="11" s="1"/>
  <c r="I58" i="11" a="1"/>
  <c r="I58" i="11" s="1"/>
  <c r="J58" i="11" s="1"/>
  <c r="L58" i="11" s="1"/>
  <c r="I57" i="11" a="1"/>
  <c r="I57" i="11" s="1"/>
  <c r="J57" i="11" s="1"/>
  <c r="L57" i="11" s="1"/>
  <c r="I56" i="11" a="1"/>
  <c r="I56" i="11" s="1"/>
  <c r="J56" i="11" s="1"/>
  <c r="L56" i="11" s="1"/>
  <c r="I55" i="11" a="1"/>
  <c r="I55" i="11" s="1"/>
  <c r="J55" i="11" s="1"/>
  <c r="L55" i="11" s="1"/>
  <c r="I54" i="11" a="1"/>
  <c r="I54" i="11" s="1"/>
  <c r="J54" i="11" s="1"/>
  <c r="L54" i="11" s="1"/>
  <c r="I53" i="11" a="1"/>
  <c r="I53" i="11" s="1"/>
  <c r="J53" i="11" s="1"/>
  <c r="L53" i="11" s="1"/>
  <c r="I52" i="11" a="1"/>
  <c r="I52" i="11" s="1"/>
  <c r="J52" i="11" s="1"/>
  <c r="L52" i="11" s="1"/>
  <c r="I51" i="11" a="1"/>
  <c r="I51" i="11" s="1"/>
  <c r="J51" i="11" s="1"/>
  <c r="L51" i="11" s="1"/>
  <c r="I50" i="11" a="1"/>
  <c r="I50" i="11" s="1"/>
  <c r="J50" i="11" s="1"/>
  <c r="L50" i="11" s="1"/>
  <c r="I49" i="11" a="1"/>
  <c r="I49" i="11" s="1"/>
  <c r="J49" i="11" s="1"/>
  <c r="L49" i="11" s="1"/>
  <c r="I48" i="11" a="1"/>
  <c r="I48" i="11" s="1"/>
  <c r="J48" i="11" s="1"/>
  <c r="L48" i="11" s="1"/>
  <c r="I47" i="11" a="1"/>
  <c r="I47" i="11" s="1"/>
  <c r="J47" i="11" s="1"/>
  <c r="L47" i="11" s="1"/>
  <c r="I46" i="11" a="1"/>
  <c r="I46" i="11" s="1"/>
  <c r="J46" i="11" s="1"/>
  <c r="L46" i="11" s="1"/>
  <c r="I45" i="11" a="1"/>
  <c r="I45" i="11" s="1"/>
  <c r="J45" i="11" s="1"/>
  <c r="L45" i="11" s="1"/>
  <c r="I44" i="11" a="1"/>
  <c r="I44" i="11" s="1"/>
  <c r="J44" i="11" s="1"/>
  <c r="L44" i="11" s="1"/>
  <c r="I43" i="11" a="1"/>
  <c r="I43" i="11" s="1"/>
  <c r="J43" i="11" s="1"/>
  <c r="L43" i="11" s="1"/>
  <c r="I42" i="11" a="1"/>
  <c r="I42" i="11" s="1"/>
  <c r="J42" i="11" s="1"/>
  <c r="L42" i="11" s="1"/>
  <c r="I41" i="11" a="1"/>
  <c r="I41" i="11" s="1"/>
  <c r="J41" i="11" s="1"/>
  <c r="L41" i="11" s="1"/>
  <c r="I40" i="11" a="1"/>
  <c r="I40" i="11" s="1"/>
  <c r="J40" i="11" s="1"/>
  <c r="L40" i="11" s="1"/>
  <c r="I39" i="11" a="1"/>
  <c r="I39" i="11" s="1"/>
  <c r="J39" i="11" s="1"/>
  <c r="L39" i="11" s="1"/>
  <c r="I38" i="11" a="1"/>
  <c r="I38" i="11" s="1"/>
  <c r="J38" i="11" s="1"/>
  <c r="L38" i="11" s="1"/>
  <c r="I37" i="11" a="1"/>
  <c r="I37" i="11" s="1"/>
  <c r="J37" i="11" s="1"/>
  <c r="L37" i="11" s="1"/>
  <c r="I36" i="11" a="1"/>
  <c r="I36" i="11" s="1"/>
  <c r="J36" i="11" s="1"/>
  <c r="L36" i="11" s="1"/>
  <c r="I35" i="11" a="1"/>
  <c r="I35" i="11" s="1"/>
  <c r="J35" i="11" s="1"/>
  <c r="L35" i="11" s="1"/>
  <c r="I34" i="11" a="1"/>
  <c r="I34" i="11" s="1"/>
  <c r="J34" i="11" s="1"/>
  <c r="L34" i="11" s="1"/>
  <c r="I33" i="11" a="1"/>
  <c r="I33" i="11" s="1"/>
  <c r="J33" i="11" s="1"/>
  <c r="L33" i="11" s="1"/>
  <c r="I32" i="11" a="1"/>
  <c r="I32" i="11" s="1"/>
  <c r="J32" i="11" s="1"/>
  <c r="L32" i="11" s="1"/>
  <c r="I31" i="11" a="1"/>
  <c r="I31" i="11" s="1"/>
  <c r="J31" i="11" s="1"/>
  <c r="L31" i="11" s="1"/>
  <c r="I30" i="11" a="1"/>
  <c r="I30" i="11" s="1"/>
  <c r="J30" i="11" s="1"/>
  <c r="L30" i="11" s="1"/>
  <c r="I29" i="11" a="1"/>
  <c r="I29" i="11" s="1"/>
  <c r="J29" i="11" s="1"/>
  <c r="L29" i="11" s="1"/>
  <c r="I28" i="11" a="1"/>
  <c r="I28" i="11" s="1"/>
  <c r="J28" i="11" s="1"/>
  <c r="L28" i="11" s="1"/>
  <c r="I27" i="11" a="1"/>
  <c r="I27" i="11" s="1"/>
  <c r="J27" i="11" s="1"/>
  <c r="L27" i="11" s="1"/>
  <c r="I26" i="11" a="1"/>
  <c r="I26" i="11" s="1"/>
  <c r="J26" i="11" s="1"/>
  <c r="L26" i="11" s="1"/>
  <c r="I25" i="11" a="1"/>
  <c r="I25" i="11" s="1"/>
  <c r="J25" i="11" s="1"/>
  <c r="L25" i="11" s="1"/>
  <c r="I24" i="11" a="1"/>
  <c r="I24" i="11" s="1"/>
  <c r="J24" i="11" s="1"/>
  <c r="L24" i="11" s="1"/>
  <c r="I23" i="11" a="1"/>
  <c r="I23" i="11" s="1"/>
  <c r="J23" i="11" s="1"/>
  <c r="L23" i="11" s="1"/>
  <c r="I22" i="11" a="1"/>
  <c r="I22" i="11" s="1"/>
  <c r="J22" i="11" s="1"/>
  <c r="L22" i="11" s="1"/>
  <c r="I21" i="11" a="1"/>
  <c r="I21" i="11" s="1"/>
  <c r="J21" i="11" s="1"/>
  <c r="L21" i="11" s="1"/>
  <c r="I20" i="11" a="1"/>
  <c r="I20" i="11" s="1"/>
  <c r="J20" i="11" s="1"/>
  <c r="L20" i="11" s="1"/>
  <c r="I19" i="11" a="1"/>
  <c r="I19" i="11" s="1"/>
  <c r="J19" i="11" s="1"/>
  <c r="L19" i="11" s="1"/>
  <c r="I18" i="11" a="1"/>
  <c r="I18" i="11" s="1"/>
  <c r="J18" i="11" s="1"/>
  <c r="L18" i="11" s="1"/>
  <c r="I17" i="11" a="1"/>
  <c r="I17" i="11" s="1"/>
  <c r="J17" i="11" s="1"/>
  <c r="L17" i="11" s="1"/>
  <c r="I16" i="11" a="1"/>
  <c r="I16" i="11" s="1"/>
  <c r="J16" i="11" s="1"/>
  <c r="L16" i="11" s="1"/>
  <c r="I15" i="11" a="1"/>
  <c r="I15" i="11" s="1"/>
  <c r="J15" i="11" s="1"/>
  <c r="L15" i="11" s="1"/>
  <c r="I14" i="11" a="1"/>
  <c r="I14" i="11" s="1"/>
  <c r="J14" i="11" s="1"/>
  <c r="L14" i="11" s="1"/>
  <c r="I13" i="11" a="1"/>
  <c r="I13" i="11" s="1"/>
  <c r="J13" i="11" s="1"/>
  <c r="L13" i="11" s="1"/>
  <c r="I12" i="11" a="1"/>
  <c r="I12" i="11" s="1"/>
  <c r="J12" i="11" s="1"/>
  <c r="L12" i="11" s="1"/>
  <c r="I11" i="11" a="1"/>
  <c r="I11" i="11" s="1"/>
  <c r="J11" i="11" s="1"/>
  <c r="L11" i="11" s="1"/>
  <c r="I10" i="11" a="1"/>
  <c r="I10" i="11" s="1"/>
  <c r="J10" i="11" s="1"/>
  <c r="L10" i="11" s="1"/>
  <c r="I9" i="11" a="1"/>
  <c r="I9" i="11" s="1"/>
  <c r="J9" i="11" s="1"/>
  <c r="L9" i="11" s="1"/>
  <c r="I8" i="11" a="1"/>
  <c r="I8" i="11" s="1"/>
  <c r="J8" i="11" s="1"/>
  <c r="L8" i="11" s="1"/>
  <c r="J12" i="10"/>
  <c r="J24" i="10"/>
  <c r="J35" i="10"/>
  <c r="J36" i="10"/>
  <c r="J47" i="10"/>
  <c r="J48" i="10"/>
  <c r="J59" i="10"/>
  <c r="J60" i="10"/>
  <c r="J71" i="10"/>
  <c r="J72" i="10"/>
  <c r="I8" i="10" a="1"/>
  <c r="I8" i="10" s="1"/>
  <c r="J8" i="10" s="1"/>
  <c r="L8" i="10" s="1"/>
  <c r="I9" i="9" a="1"/>
  <c r="I9" i="9" s="1"/>
  <c r="J9" i="9" s="1"/>
  <c r="L9" i="9" s="1"/>
  <c r="I10" i="9" a="1"/>
  <c r="I10" i="9" s="1"/>
  <c r="J10" i="9" s="1"/>
  <c r="L10" i="9" s="1"/>
  <c r="I11" i="9" a="1"/>
  <c r="I11" i="9" s="1"/>
  <c r="J11" i="9" s="1"/>
  <c r="L11" i="9" s="1"/>
  <c r="I12" i="9" a="1"/>
  <c r="I12" i="9" s="1"/>
  <c r="J12" i="9" s="1"/>
  <c r="L12" i="9" s="1"/>
  <c r="I13" i="9" a="1"/>
  <c r="I13" i="9" s="1"/>
  <c r="J13" i="9" s="1"/>
  <c r="L13" i="9" s="1"/>
  <c r="I14" i="9" a="1"/>
  <c r="I14" i="9" s="1"/>
  <c r="J14" i="9" s="1"/>
  <c r="L14" i="9" s="1"/>
  <c r="I15" i="9" a="1"/>
  <c r="I15" i="9" s="1"/>
  <c r="J15" i="9" s="1"/>
  <c r="L15" i="9" s="1"/>
  <c r="I16" i="9" a="1"/>
  <c r="I16" i="9" s="1"/>
  <c r="J16" i="9" s="1"/>
  <c r="L16" i="9" s="1"/>
  <c r="I17" i="9" a="1"/>
  <c r="I17" i="9"/>
  <c r="I18" i="9" a="1"/>
  <c r="I18" i="9"/>
  <c r="J18" i="9" s="1"/>
  <c r="L18" i="9" s="1"/>
  <c r="I19" i="9" a="1"/>
  <c r="I19" i="9" s="1"/>
  <c r="J19" i="9" s="1"/>
  <c r="L19" i="9" s="1"/>
  <c r="I20" i="9" a="1"/>
  <c r="I20" i="9" s="1"/>
  <c r="J20" i="9" s="1"/>
  <c r="L20" i="9" s="1"/>
  <c r="I21" i="9" a="1"/>
  <c r="I21" i="9" s="1"/>
  <c r="J21" i="9" s="1"/>
  <c r="L21" i="9" s="1"/>
  <c r="I22" i="9" a="1"/>
  <c r="I22" i="9" s="1"/>
  <c r="J22" i="9" s="1"/>
  <c r="L22" i="9" s="1"/>
  <c r="I23" i="9" a="1"/>
  <c r="I23" i="9" s="1"/>
  <c r="J23" i="9" s="1"/>
  <c r="L23" i="9" s="1"/>
  <c r="I24" i="9" a="1"/>
  <c r="I24" i="9" s="1"/>
  <c r="J24" i="9" s="1"/>
  <c r="L24" i="9" s="1"/>
  <c r="I25" i="9" a="1"/>
  <c r="I25" i="9" s="1"/>
  <c r="J25" i="9" s="1"/>
  <c r="L25" i="9" s="1"/>
  <c r="I26" i="9" a="1"/>
  <c r="I26" i="9"/>
  <c r="J26" i="9" s="1"/>
  <c r="L26" i="9" s="1"/>
  <c r="I27" i="9" a="1"/>
  <c r="I27" i="9" s="1"/>
  <c r="J27" i="9" s="1"/>
  <c r="L27" i="9" s="1"/>
  <c r="I28" i="9" a="1"/>
  <c r="I28" i="9" s="1"/>
  <c r="J28" i="9" s="1"/>
  <c r="L28" i="9" s="1"/>
  <c r="I29" i="9" a="1"/>
  <c r="I29" i="9"/>
  <c r="I30" i="9" a="1"/>
  <c r="I30" i="9"/>
  <c r="J30" i="9" s="1"/>
  <c r="L30" i="9" s="1"/>
  <c r="I31" i="9" a="1"/>
  <c r="I31" i="9" s="1"/>
  <c r="J31" i="9" s="1"/>
  <c r="L31" i="9" s="1"/>
  <c r="I32" i="9" a="1"/>
  <c r="I32" i="9" s="1"/>
  <c r="J32" i="9" s="1"/>
  <c r="L32" i="9" s="1"/>
  <c r="I33" i="9" a="1"/>
  <c r="I33" i="9" s="1"/>
  <c r="J33" i="9" s="1"/>
  <c r="L33" i="9" s="1"/>
  <c r="I34" i="9" a="1"/>
  <c r="I34" i="9" s="1"/>
  <c r="J34" i="9" s="1"/>
  <c r="L34" i="9" s="1"/>
  <c r="I35" i="9" a="1"/>
  <c r="I35" i="9" s="1"/>
  <c r="J35" i="9" s="1"/>
  <c r="L35" i="9" s="1"/>
  <c r="I36" i="9" a="1"/>
  <c r="I36" i="9" s="1"/>
  <c r="J36" i="9" s="1"/>
  <c r="L36" i="9" s="1"/>
  <c r="I37" i="9" a="1"/>
  <c r="I37" i="9" s="1"/>
  <c r="J37" i="9" s="1"/>
  <c r="L37" i="9" s="1"/>
  <c r="I38" i="9" a="1"/>
  <c r="I38" i="9"/>
  <c r="J38" i="9" s="1"/>
  <c r="L38" i="9" s="1"/>
  <c r="I39" i="9" a="1"/>
  <c r="I39" i="9" s="1"/>
  <c r="J39" i="9" s="1"/>
  <c r="L39" i="9" s="1"/>
  <c r="I40" i="9" a="1"/>
  <c r="I40" i="9" s="1"/>
  <c r="J40" i="9" s="1"/>
  <c r="L40" i="9" s="1"/>
  <c r="I41" i="9" a="1"/>
  <c r="I41" i="9"/>
  <c r="I42" i="9" a="1"/>
  <c r="I42" i="9"/>
  <c r="J42" i="9" s="1"/>
  <c r="L42" i="9" s="1"/>
  <c r="I43" i="9" a="1"/>
  <c r="I43" i="9" s="1"/>
  <c r="J43" i="9" s="1"/>
  <c r="L43" i="9" s="1"/>
  <c r="I44" i="9" a="1"/>
  <c r="I44" i="9" s="1"/>
  <c r="J44" i="9" s="1"/>
  <c r="L44" i="9" s="1"/>
  <c r="I45" i="9" a="1"/>
  <c r="I45" i="9" s="1"/>
  <c r="J45" i="9" s="1"/>
  <c r="L45" i="9" s="1"/>
  <c r="I46" i="9" a="1"/>
  <c r="I46" i="9" s="1"/>
  <c r="J46" i="9" s="1"/>
  <c r="L46" i="9" s="1"/>
  <c r="I47" i="9" a="1"/>
  <c r="I47" i="9" s="1"/>
  <c r="J47" i="9" s="1"/>
  <c r="L47" i="9" s="1"/>
  <c r="I48" i="9" a="1"/>
  <c r="I48" i="9" s="1"/>
  <c r="J48" i="9" s="1"/>
  <c r="L48" i="9" s="1"/>
  <c r="I49" i="9" a="1"/>
  <c r="I49" i="9" s="1"/>
  <c r="J49" i="9" s="1"/>
  <c r="L49" i="9" s="1"/>
  <c r="I50" i="9" a="1"/>
  <c r="I50" i="9"/>
  <c r="J50" i="9" s="1"/>
  <c r="L50" i="9" s="1"/>
  <c r="I51" i="9" a="1"/>
  <c r="I51" i="9" s="1"/>
  <c r="J51" i="9" s="1"/>
  <c r="L51" i="9" s="1"/>
  <c r="I52" i="9" a="1"/>
  <c r="I52" i="9" s="1"/>
  <c r="J52" i="9" s="1"/>
  <c r="L52" i="9" s="1"/>
  <c r="I53" i="9" a="1"/>
  <c r="I53" i="9"/>
  <c r="I54" i="9" a="1"/>
  <c r="I54" i="9"/>
  <c r="J54" i="9" s="1"/>
  <c r="L54" i="9" s="1"/>
  <c r="I55" i="9" a="1"/>
  <c r="I55" i="9" s="1"/>
  <c r="J55" i="9" s="1"/>
  <c r="L55" i="9" s="1"/>
  <c r="I56" i="9" a="1"/>
  <c r="I56" i="9" s="1"/>
  <c r="J56" i="9" s="1"/>
  <c r="L56" i="9" s="1"/>
  <c r="I57" i="9" a="1"/>
  <c r="I57" i="9" s="1"/>
  <c r="J57" i="9" s="1"/>
  <c r="L57" i="9" s="1"/>
  <c r="I58" i="9" a="1"/>
  <c r="I58" i="9" s="1"/>
  <c r="J58" i="9" s="1"/>
  <c r="L58" i="9" s="1"/>
  <c r="I59" i="9" a="1"/>
  <c r="I59" i="9" s="1"/>
  <c r="J59" i="9" s="1"/>
  <c r="L59" i="9" s="1"/>
  <c r="I60" i="9" a="1"/>
  <c r="I60" i="9" s="1"/>
  <c r="J60" i="9" s="1"/>
  <c r="L60" i="9" s="1"/>
  <c r="I61" i="9" a="1"/>
  <c r="I61" i="9" s="1"/>
  <c r="J61" i="9" s="1"/>
  <c r="L61" i="9" s="1"/>
  <c r="I62" i="9" a="1"/>
  <c r="I62" i="9"/>
  <c r="J62" i="9" s="1"/>
  <c r="L62" i="9" s="1"/>
  <c r="I63" i="9" a="1"/>
  <c r="I63" i="9" s="1"/>
  <c r="J63" i="9" s="1"/>
  <c r="L63" i="9" s="1"/>
  <c r="I64" i="9" a="1"/>
  <c r="I64" i="9" s="1"/>
  <c r="J64" i="9" s="1"/>
  <c r="L64" i="9" s="1"/>
  <c r="I65" i="9" a="1"/>
  <c r="I65" i="9"/>
  <c r="I66" i="9" a="1"/>
  <c r="I66" i="9"/>
  <c r="J66" i="9" s="1"/>
  <c r="L66" i="9" s="1"/>
  <c r="I67" i="9" a="1"/>
  <c r="I67" i="9" s="1"/>
  <c r="J67" i="9" s="1"/>
  <c r="L67" i="9" s="1"/>
  <c r="I68" i="9" a="1"/>
  <c r="I68" i="9" s="1"/>
  <c r="J68" i="9" s="1"/>
  <c r="L68" i="9" s="1"/>
  <c r="I69" i="9" a="1"/>
  <c r="I69" i="9" s="1"/>
  <c r="J69" i="9" s="1"/>
  <c r="L69" i="9" s="1"/>
  <c r="I70" i="9" a="1"/>
  <c r="I70" i="9" s="1"/>
  <c r="J70" i="9" s="1"/>
  <c r="L70" i="9" s="1"/>
  <c r="I71" i="9" a="1"/>
  <c r="I71" i="9" s="1"/>
  <c r="J71" i="9" s="1"/>
  <c r="L71" i="9" s="1"/>
  <c r="I72" i="9" a="1"/>
  <c r="I72" i="9" s="1"/>
  <c r="J72" i="9" s="1"/>
  <c r="L72" i="9" s="1"/>
  <c r="I73" i="9" a="1"/>
  <c r="I73" i="9" s="1"/>
  <c r="J73" i="9" s="1"/>
  <c r="L73" i="9" s="1"/>
  <c r="I8" i="9" a="1"/>
  <c r="I8" i="9" s="1"/>
  <c r="J8" i="9" s="1"/>
  <c r="L8" i="9" s="1"/>
  <c r="I9" i="8" a="1"/>
  <c r="I9" i="8" s="1"/>
  <c r="J9" i="8" s="1"/>
  <c r="L9" i="8" s="1"/>
  <c r="I10" i="8" a="1"/>
  <c r="I10" i="8"/>
  <c r="J10" i="8" s="1"/>
  <c r="L10" i="8" s="1"/>
  <c r="I11" i="8" a="1"/>
  <c r="I11" i="8" s="1"/>
  <c r="J11" i="8" s="1"/>
  <c r="L11" i="8" s="1"/>
  <c r="I12" i="8" a="1"/>
  <c r="I12" i="8" s="1"/>
  <c r="J12" i="8" s="1"/>
  <c r="L12" i="8" s="1"/>
  <c r="I13" i="8" a="1"/>
  <c r="I13" i="8"/>
  <c r="J13" i="8" s="1"/>
  <c r="L13" i="8" s="1"/>
  <c r="I14" i="8" a="1"/>
  <c r="I14" i="8" s="1"/>
  <c r="J14" i="8" s="1"/>
  <c r="L14" i="8" s="1"/>
  <c r="I15" i="8" a="1"/>
  <c r="I15" i="8" s="1"/>
  <c r="J15" i="8" s="1"/>
  <c r="L15" i="8" s="1"/>
  <c r="I16" i="8" a="1"/>
  <c r="I16" i="8" s="1"/>
  <c r="J16" i="8" s="1"/>
  <c r="L16" i="8" s="1"/>
  <c r="I17" i="8" a="1"/>
  <c r="I17" i="8" s="1"/>
  <c r="J17" i="8" s="1"/>
  <c r="L17" i="8" s="1"/>
  <c r="I18" i="8" a="1"/>
  <c r="I18" i="8" s="1"/>
  <c r="J18" i="8" s="1"/>
  <c r="L18" i="8" s="1"/>
  <c r="I19" i="8" a="1"/>
  <c r="I19" i="8"/>
  <c r="J19" i="8" s="1"/>
  <c r="L19" i="8" s="1"/>
  <c r="I20" i="8" a="1"/>
  <c r="I20" i="8" s="1"/>
  <c r="J20" i="8" s="1"/>
  <c r="L20" i="8" s="1"/>
  <c r="I21" i="8" a="1"/>
  <c r="I21" i="8" s="1"/>
  <c r="J21" i="8" s="1"/>
  <c r="L21" i="8" s="1"/>
  <c r="I22" i="8" a="1"/>
  <c r="I22" i="8" s="1"/>
  <c r="J22" i="8" s="1"/>
  <c r="L22" i="8" s="1"/>
  <c r="I23" i="8" a="1"/>
  <c r="I23" i="8"/>
  <c r="J23" i="8" s="1"/>
  <c r="L23" i="8" s="1"/>
  <c r="I24" i="8" a="1"/>
  <c r="I24" i="8" s="1"/>
  <c r="J24" i="8" s="1"/>
  <c r="L24" i="8" s="1"/>
  <c r="I25" i="8" a="1"/>
  <c r="I25" i="8" s="1"/>
  <c r="J25" i="8" s="1"/>
  <c r="L25" i="8" s="1"/>
  <c r="I26" i="8" a="1"/>
  <c r="I26" i="8"/>
  <c r="J26" i="8" s="1"/>
  <c r="L26" i="8" s="1"/>
  <c r="I27" i="8" a="1"/>
  <c r="I27" i="8" s="1"/>
  <c r="J27" i="8" s="1"/>
  <c r="L27" i="8" s="1"/>
  <c r="I28" i="8" a="1"/>
  <c r="I28" i="8"/>
  <c r="J28" i="8" s="1"/>
  <c r="L28" i="8" s="1"/>
  <c r="I29" i="8" a="1"/>
  <c r="I29" i="8" s="1"/>
  <c r="J29" i="8" s="1"/>
  <c r="L29" i="8" s="1"/>
  <c r="I30" i="8" a="1"/>
  <c r="I30" i="8" s="1"/>
  <c r="J30" i="8" s="1"/>
  <c r="L30" i="8" s="1"/>
  <c r="I31" i="8" a="1"/>
  <c r="I31" i="8" s="1"/>
  <c r="J31" i="8" s="1"/>
  <c r="L31" i="8" s="1"/>
  <c r="I32" i="8" a="1"/>
  <c r="I32" i="8"/>
  <c r="J32" i="8" s="1"/>
  <c r="L32" i="8" s="1"/>
  <c r="I33" i="8" a="1"/>
  <c r="I33" i="8" s="1"/>
  <c r="J33" i="8" s="1"/>
  <c r="L33" i="8" s="1"/>
  <c r="I34" i="8" a="1"/>
  <c r="I34" i="8" s="1"/>
  <c r="J34" i="8" s="1"/>
  <c r="L34" i="8" s="1"/>
  <c r="I35" i="8" a="1"/>
  <c r="I35" i="8" s="1"/>
  <c r="J35" i="8" s="1"/>
  <c r="L35" i="8" s="1"/>
  <c r="I36" i="8" a="1"/>
  <c r="I36" i="8"/>
  <c r="J36" i="8" s="1"/>
  <c r="L36" i="8" s="1"/>
  <c r="I37" i="8" a="1"/>
  <c r="I37" i="8" s="1"/>
  <c r="J37" i="8" s="1"/>
  <c r="L37" i="8" s="1"/>
  <c r="I38" i="8" a="1"/>
  <c r="I38" i="8" s="1"/>
  <c r="J38" i="8" s="1"/>
  <c r="L38" i="8" s="1"/>
  <c r="I39" i="8" a="1"/>
  <c r="I39" i="8" s="1"/>
  <c r="J39" i="8" s="1"/>
  <c r="L39" i="8" s="1"/>
  <c r="I40" i="8" a="1"/>
  <c r="I40" i="8" s="1"/>
  <c r="J40" i="8" s="1"/>
  <c r="L40" i="8" s="1"/>
  <c r="I41" i="8" a="1"/>
  <c r="I41" i="8" s="1"/>
  <c r="J41" i="8" s="1"/>
  <c r="L41" i="8" s="1"/>
  <c r="I42" i="8" a="1"/>
  <c r="I42" i="8" s="1"/>
  <c r="J42" i="8" s="1"/>
  <c r="L42" i="8" s="1"/>
  <c r="I43" i="8" a="1"/>
  <c r="I43" i="8"/>
  <c r="J43" i="8" s="1"/>
  <c r="L43" i="8" s="1"/>
  <c r="I44" i="8" a="1"/>
  <c r="I44" i="8" s="1"/>
  <c r="J44" i="8" s="1"/>
  <c r="L44" i="8" s="1"/>
  <c r="I45" i="8" a="1"/>
  <c r="I45" i="8" s="1"/>
  <c r="J45" i="8" s="1"/>
  <c r="L45" i="8" s="1"/>
  <c r="I46" i="8" a="1"/>
  <c r="I46" i="8" s="1"/>
  <c r="J46" i="8" s="1"/>
  <c r="L46" i="8" s="1"/>
  <c r="I47" i="8" a="1"/>
  <c r="I47" i="8"/>
  <c r="J47" i="8" s="1"/>
  <c r="L47" i="8" s="1"/>
  <c r="I48" i="8" a="1"/>
  <c r="I48" i="8" s="1"/>
  <c r="J48" i="8" s="1"/>
  <c r="L48" i="8" s="1"/>
  <c r="I49" i="8" a="1"/>
  <c r="I49" i="8" s="1"/>
  <c r="J49" i="8" s="1"/>
  <c r="L49" i="8" s="1"/>
  <c r="I50" i="8" a="1"/>
  <c r="I50" i="8"/>
  <c r="J50" i="8" s="1"/>
  <c r="L50" i="8" s="1"/>
  <c r="I51" i="8" a="1"/>
  <c r="I51" i="8" s="1"/>
  <c r="J51" i="8" s="1"/>
  <c r="L51" i="8" s="1"/>
  <c r="I52" i="8" a="1"/>
  <c r="I52" i="8" s="1"/>
  <c r="J52" i="8" s="1"/>
  <c r="L52" i="8" s="1"/>
  <c r="I53" i="8" a="1"/>
  <c r="I53" i="8" s="1"/>
  <c r="J53" i="8" s="1"/>
  <c r="L53" i="8" s="1"/>
  <c r="I54" i="8" a="1"/>
  <c r="I54" i="8"/>
  <c r="J54" i="8" s="1"/>
  <c r="L54" i="8" s="1"/>
  <c r="I55" i="8" a="1"/>
  <c r="I55" i="8" s="1"/>
  <c r="J55" i="8" s="1"/>
  <c r="L55" i="8" s="1"/>
  <c r="I56" i="8" a="1"/>
  <c r="I56" i="8" s="1"/>
  <c r="J56" i="8" s="1"/>
  <c r="L56" i="8" s="1"/>
  <c r="I57" i="8" a="1"/>
  <c r="I57" i="8" s="1"/>
  <c r="J57" i="8" s="1"/>
  <c r="L57" i="8" s="1"/>
  <c r="I58" i="8" a="1"/>
  <c r="I58" i="8" s="1"/>
  <c r="J58" i="8" s="1"/>
  <c r="L58" i="8" s="1"/>
  <c r="I59" i="8" a="1"/>
  <c r="I59" i="8" s="1"/>
  <c r="J59" i="8" s="1"/>
  <c r="L59" i="8" s="1"/>
  <c r="I60" i="8" a="1"/>
  <c r="I60" i="8" s="1"/>
  <c r="J60" i="8" s="1"/>
  <c r="L60" i="8" s="1"/>
  <c r="I61" i="8" a="1"/>
  <c r="I61" i="8"/>
  <c r="J61" i="8" s="1"/>
  <c r="L61" i="8" s="1"/>
  <c r="I62" i="8" a="1"/>
  <c r="I62" i="8" s="1"/>
  <c r="J62" i="8" s="1"/>
  <c r="L62" i="8" s="1"/>
  <c r="I63" i="8" a="1"/>
  <c r="I63" i="8" s="1"/>
  <c r="J63" i="8" s="1"/>
  <c r="L63" i="8" s="1"/>
  <c r="I64" i="8" a="1"/>
  <c r="I64" i="8" s="1"/>
  <c r="J64" i="8" s="1"/>
  <c r="L64" i="8" s="1"/>
  <c r="I65" i="8" a="1"/>
  <c r="I65" i="8"/>
  <c r="J65" i="8" s="1"/>
  <c r="L65" i="8" s="1"/>
  <c r="I66" i="8" a="1"/>
  <c r="I66" i="8" s="1"/>
  <c r="J66" i="8" s="1"/>
  <c r="L66" i="8" s="1"/>
  <c r="I67" i="8" a="1"/>
  <c r="I67" i="8" s="1"/>
  <c r="J67" i="8" s="1"/>
  <c r="L67" i="8" s="1"/>
  <c r="I68" i="8" a="1"/>
  <c r="I68" i="8"/>
  <c r="J68" i="8" s="1"/>
  <c r="L68" i="8" s="1"/>
  <c r="I69" i="8" a="1"/>
  <c r="I69" i="8" s="1"/>
  <c r="J69" i="8" s="1"/>
  <c r="L69" i="8" s="1"/>
  <c r="I70" i="8" a="1"/>
  <c r="I70" i="8" s="1"/>
  <c r="J70" i="8" s="1"/>
  <c r="L70" i="8" s="1"/>
  <c r="I71" i="8" a="1"/>
  <c r="I71" i="8" s="1"/>
  <c r="J71" i="8" s="1"/>
  <c r="L71" i="8" s="1"/>
  <c r="I72" i="8" a="1"/>
  <c r="I72" i="8"/>
  <c r="J72" i="8" s="1"/>
  <c r="L72" i="8" s="1"/>
  <c r="I73" i="8" a="1"/>
  <c r="I73" i="8" s="1"/>
  <c r="J73" i="8" s="1"/>
  <c r="L73" i="8" s="1"/>
  <c r="I8" i="8" a="1"/>
  <c r="I8" i="8" s="1"/>
  <c r="J8" i="8" s="1"/>
  <c r="L8" i="8" s="1"/>
  <c r="I73" i="13" a="1"/>
  <c r="I73" i="13" s="1"/>
  <c r="J73" i="13" s="1"/>
  <c r="L73" i="13" s="1"/>
  <c r="I72" i="13" a="1"/>
  <c r="I72" i="13" s="1"/>
  <c r="J72" i="13" s="1"/>
  <c r="L72" i="13" s="1"/>
  <c r="I71" i="13" a="1"/>
  <c r="I71" i="13" s="1"/>
  <c r="J71" i="13" s="1"/>
  <c r="L71" i="13" s="1"/>
  <c r="I70" i="13" a="1"/>
  <c r="I70" i="13" s="1"/>
  <c r="J70" i="13" s="1"/>
  <c r="L70" i="13" s="1"/>
  <c r="I69" i="13" a="1"/>
  <c r="I69" i="13" s="1"/>
  <c r="J69" i="13" s="1"/>
  <c r="L69" i="13" s="1"/>
  <c r="I68" i="13" a="1"/>
  <c r="I68" i="13" s="1"/>
  <c r="J68" i="13" s="1"/>
  <c r="L68" i="13" s="1"/>
  <c r="I67" i="13" a="1"/>
  <c r="I67" i="13" s="1"/>
  <c r="J67" i="13" s="1"/>
  <c r="L67" i="13" s="1"/>
  <c r="I66" i="13" a="1"/>
  <c r="I66" i="13" s="1"/>
  <c r="J66" i="13" s="1"/>
  <c r="L66" i="13" s="1"/>
  <c r="I65" i="13" a="1"/>
  <c r="I65" i="13" s="1"/>
  <c r="J65" i="13" s="1"/>
  <c r="L65" i="13" s="1"/>
  <c r="I64" i="13" a="1"/>
  <c r="I64" i="13" s="1"/>
  <c r="J64" i="13" s="1"/>
  <c r="L64" i="13" s="1"/>
  <c r="I63" i="13" a="1"/>
  <c r="I63" i="13" s="1"/>
  <c r="J63" i="13" s="1"/>
  <c r="L63" i="13" s="1"/>
  <c r="I62" i="13" a="1"/>
  <c r="I62" i="13" s="1"/>
  <c r="J62" i="13" s="1"/>
  <c r="L62" i="13" s="1"/>
  <c r="I61" i="13" a="1"/>
  <c r="I61" i="13" s="1"/>
  <c r="J61" i="13" s="1"/>
  <c r="L61" i="13" s="1"/>
  <c r="I60" i="13" a="1"/>
  <c r="I60" i="13" s="1"/>
  <c r="J60" i="13" s="1"/>
  <c r="L60" i="13" s="1"/>
  <c r="I59" i="13" a="1"/>
  <c r="I59" i="13" s="1"/>
  <c r="J59" i="13" s="1"/>
  <c r="L59" i="13" s="1"/>
  <c r="I58" i="13" a="1"/>
  <c r="I58" i="13" s="1"/>
  <c r="J58" i="13" s="1"/>
  <c r="L58" i="13" s="1"/>
  <c r="I57" i="13" a="1"/>
  <c r="I57" i="13" s="1"/>
  <c r="J57" i="13" s="1"/>
  <c r="L57" i="13" s="1"/>
  <c r="I56" i="13" a="1"/>
  <c r="I56" i="13" s="1"/>
  <c r="J56" i="13" s="1"/>
  <c r="L56" i="13" s="1"/>
  <c r="I55" i="13" a="1"/>
  <c r="I55" i="13" s="1"/>
  <c r="J55" i="13" s="1"/>
  <c r="L55" i="13" s="1"/>
  <c r="I54" i="13" a="1"/>
  <c r="I54" i="13" s="1"/>
  <c r="J54" i="13" s="1"/>
  <c r="L54" i="13" s="1"/>
  <c r="I53" i="13" a="1"/>
  <c r="I53" i="13" s="1"/>
  <c r="J53" i="13" s="1"/>
  <c r="L53" i="13" s="1"/>
  <c r="I52" i="13" a="1"/>
  <c r="I52" i="13" s="1"/>
  <c r="J52" i="13" s="1"/>
  <c r="L52" i="13" s="1"/>
  <c r="I51" i="13" a="1"/>
  <c r="I51" i="13" s="1"/>
  <c r="J51" i="13" s="1"/>
  <c r="L51" i="13" s="1"/>
  <c r="I50" i="13" a="1"/>
  <c r="I50" i="13" s="1"/>
  <c r="J50" i="13" s="1"/>
  <c r="L50" i="13" s="1"/>
  <c r="I49" i="13" a="1"/>
  <c r="I49" i="13" s="1"/>
  <c r="J49" i="13" s="1"/>
  <c r="L49" i="13" s="1"/>
  <c r="I48" i="13" a="1"/>
  <c r="I48" i="13" s="1"/>
  <c r="J48" i="13" s="1"/>
  <c r="L48" i="13" s="1"/>
  <c r="I47" i="13" a="1"/>
  <c r="I47" i="13" s="1"/>
  <c r="J47" i="13" s="1"/>
  <c r="L47" i="13" s="1"/>
  <c r="I46" i="13" a="1"/>
  <c r="I46" i="13" s="1"/>
  <c r="J46" i="13" s="1"/>
  <c r="L46" i="13" s="1"/>
  <c r="I45" i="13" a="1"/>
  <c r="I45" i="13" s="1"/>
  <c r="J45" i="13" s="1"/>
  <c r="L45" i="13" s="1"/>
  <c r="I44" i="13" a="1"/>
  <c r="I44" i="13" s="1"/>
  <c r="J44" i="13" s="1"/>
  <c r="L44" i="13" s="1"/>
  <c r="I43" i="13" a="1"/>
  <c r="I43" i="13" s="1"/>
  <c r="J43" i="13" s="1"/>
  <c r="L43" i="13" s="1"/>
  <c r="I42" i="13" a="1"/>
  <c r="I42" i="13" s="1"/>
  <c r="J42" i="13" s="1"/>
  <c r="L42" i="13" s="1"/>
  <c r="I41" i="13" a="1"/>
  <c r="I41" i="13" s="1"/>
  <c r="J41" i="13" s="1"/>
  <c r="L41" i="13" s="1"/>
  <c r="I40" i="13" a="1"/>
  <c r="I40" i="13" s="1"/>
  <c r="J40" i="13" s="1"/>
  <c r="L40" i="13" s="1"/>
  <c r="I39" i="13" a="1"/>
  <c r="I39" i="13" s="1"/>
  <c r="J39" i="13" s="1"/>
  <c r="L39" i="13" s="1"/>
  <c r="I38" i="13" a="1"/>
  <c r="I38" i="13" s="1"/>
  <c r="J38" i="13" s="1"/>
  <c r="L38" i="13" s="1"/>
  <c r="I37" i="13" a="1"/>
  <c r="I37" i="13" s="1"/>
  <c r="J37" i="13" s="1"/>
  <c r="L37" i="13" s="1"/>
  <c r="I36" i="13" a="1"/>
  <c r="I36" i="13" s="1"/>
  <c r="J36" i="13" s="1"/>
  <c r="L36" i="13" s="1"/>
  <c r="I35" i="13" a="1"/>
  <c r="I35" i="13" s="1"/>
  <c r="J35" i="13" s="1"/>
  <c r="L35" i="13" s="1"/>
  <c r="I34" i="13" a="1"/>
  <c r="I34" i="13" s="1"/>
  <c r="J34" i="13" s="1"/>
  <c r="L34" i="13" s="1"/>
  <c r="I33" i="13" a="1"/>
  <c r="I33" i="13" s="1"/>
  <c r="J33" i="13" s="1"/>
  <c r="L33" i="13" s="1"/>
  <c r="I32" i="13" a="1"/>
  <c r="I32" i="13" s="1"/>
  <c r="J32" i="13" s="1"/>
  <c r="L32" i="13" s="1"/>
  <c r="I31" i="13" a="1"/>
  <c r="I31" i="13" s="1"/>
  <c r="J31" i="13" s="1"/>
  <c r="L31" i="13" s="1"/>
  <c r="I30" i="13" a="1"/>
  <c r="I30" i="13" s="1"/>
  <c r="J30" i="13" s="1"/>
  <c r="L30" i="13" s="1"/>
  <c r="I29" i="13" a="1"/>
  <c r="I29" i="13" s="1"/>
  <c r="J29" i="13" s="1"/>
  <c r="L29" i="13" s="1"/>
  <c r="I28" i="13" a="1"/>
  <c r="I28" i="13" s="1"/>
  <c r="J28" i="13" s="1"/>
  <c r="L28" i="13" s="1"/>
  <c r="I27" i="13" a="1"/>
  <c r="I27" i="13" s="1"/>
  <c r="J27" i="13" s="1"/>
  <c r="L27" i="13" s="1"/>
  <c r="I26" i="13" a="1"/>
  <c r="I26" i="13" s="1"/>
  <c r="J26" i="13" s="1"/>
  <c r="L26" i="13" s="1"/>
  <c r="I25" i="13" a="1"/>
  <c r="I25" i="13" s="1"/>
  <c r="J25" i="13" s="1"/>
  <c r="L25" i="13" s="1"/>
  <c r="I24" i="13" a="1"/>
  <c r="I24" i="13" s="1"/>
  <c r="J24" i="13" s="1"/>
  <c r="L24" i="13" s="1"/>
  <c r="I23" i="13" a="1"/>
  <c r="I23" i="13" s="1"/>
  <c r="J23" i="13" s="1"/>
  <c r="L23" i="13" s="1"/>
  <c r="I22" i="13" a="1"/>
  <c r="I22" i="13" s="1"/>
  <c r="J22" i="13" s="1"/>
  <c r="L22" i="13" s="1"/>
  <c r="I21" i="13" a="1"/>
  <c r="I21" i="13" s="1"/>
  <c r="J21" i="13" s="1"/>
  <c r="L21" i="13" s="1"/>
  <c r="I20" i="13" a="1"/>
  <c r="I20" i="13" s="1"/>
  <c r="J20" i="13" s="1"/>
  <c r="L20" i="13" s="1"/>
  <c r="I19" i="13" a="1"/>
  <c r="I19" i="13" s="1"/>
  <c r="J19" i="13" s="1"/>
  <c r="L19" i="13" s="1"/>
  <c r="I18" i="13" a="1"/>
  <c r="I18" i="13" s="1"/>
  <c r="J18" i="13" s="1"/>
  <c r="L18" i="13" s="1"/>
  <c r="I17" i="13" a="1"/>
  <c r="I17" i="13" s="1"/>
  <c r="J17" i="13" s="1"/>
  <c r="L17" i="13" s="1"/>
  <c r="I16" i="13" a="1"/>
  <c r="I16" i="13" s="1"/>
  <c r="J16" i="13" s="1"/>
  <c r="L16" i="13" s="1"/>
  <c r="I15" i="13" a="1"/>
  <c r="I15" i="13" s="1"/>
  <c r="J15" i="13" s="1"/>
  <c r="L15" i="13" s="1"/>
  <c r="I14" i="13" a="1"/>
  <c r="I14" i="13" s="1"/>
  <c r="J14" i="13" s="1"/>
  <c r="L14" i="13" s="1"/>
  <c r="I13" i="13" a="1"/>
  <c r="I13" i="13" s="1"/>
  <c r="J13" i="13" s="1"/>
  <c r="L13" i="13" s="1"/>
  <c r="I12" i="13" a="1"/>
  <c r="I12" i="13" s="1"/>
  <c r="J12" i="13" s="1"/>
  <c r="L12" i="13" s="1"/>
  <c r="I11" i="13" a="1"/>
  <c r="I11" i="13" s="1"/>
  <c r="J11" i="13" s="1"/>
  <c r="L11" i="13" s="1"/>
  <c r="I10" i="13" a="1"/>
  <c r="I10" i="13" s="1"/>
  <c r="J10" i="13" s="1"/>
  <c r="L10" i="13" s="1"/>
  <c r="I9" i="13" a="1"/>
  <c r="I9" i="13" s="1"/>
  <c r="J9" i="13" s="1"/>
  <c r="L9" i="13" s="1"/>
  <c r="I8" i="13" a="1"/>
  <c r="I8" i="13" s="1"/>
  <c r="J8" i="13" s="1"/>
  <c r="L8" i="13" s="1"/>
  <c r="I73" i="10" a="1"/>
  <c r="I73" i="10" s="1"/>
  <c r="I72" i="10" a="1"/>
  <c r="I72" i="10" s="1"/>
  <c r="I71" i="10" a="1"/>
  <c r="I71" i="10" s="1"/>
  <c r="I70" i="10" a="1"/>
  <c r="I70" i="10" s="1"/>
  <c r="J70" i="10" s="1"/>
  <c r="I69" i="10" a="1"/>
  <c r="I69" i="10" s="1"/>
  <c r="I68" i="10" a="1"/>
  <c r="I68" i="10" s="1"/>
  <c r="J68" i="10" s="1"/>
  <c r="I67" i="10" a="1"/>
  <c r="I67" i="10" s="1"/>
  <c r="J67" i="10" s="1"/>
  <c r="I66" i="10" a="1"/>
  <c r="I66" i="10" s="1"/>
  <c r="J66" i="10" s="1"/>
  <c r="I65" i="10" a="1"/>
  <c r="I65" i="10" s="1"/>
  <c r="J65" i="10" s="1"/>
  <c r="I64" i="10" a="1"/>
  <c r="I64" i="10" s="1"/>
  <c r="J64" i="10" s="1"/>
  <c r="I63" i="10" a="1"/>
  <c r="I63" i="10" s="1"/>
  <c r="J63" i="10" s="1"/>
  <c r="I62" i="10" a="1"/>
  <c r="I62" i="10" s="1"/>
  <c r="J62" i="10" s="1"/>
  <c r="I61" i="10" a="1"/>
  <c r="I61" i="10" s="1"/>
  <c r="I60" i="10" a="1"/>
  <c r="I60" i="10" s="1"/>
  <c r="I59" i="10" a="1"/>
  <c r="I59" i="10" s="1"/>
  <c r="I58" i="10" a="1"/>
  <c r="I58" i="10" s="1"/>
  <c r="J58" i="10" s="1"/>
  <c r="I57" i="10" a="1"/>
  <c r="I57" i="10" s="1"/>
  <c r="I56" i="10" a="1"/>
  <c r="I56" i="10" s="1"/>
  <c r="J56" i="10" s="1"/>
  <c r="I55" i="10" a="1"/>
  <c r="I55" i="10" s="1"/>
  <c r="J55" i="10" s="1"/>
  <c r="I54" i="10" a="1"/>
  <c r="I54" i="10" s="1"/>
  <c r="J54" i="10" s="1"/>
  <c r="I53" i="10" a="1"/>
  <c r="I53" i="10" s="1"/>
  <c r="J53" i="10" s="1"/>
  <c r="I52" i="10" a="1"/>
  <c r="I52" i="10" s="1"/>
  <c r="J52" i="10" s="1"/>
  <c r="I51" i="10" a="1"/>
  <c r="I51" i="10" s="1"/>
  <c r="J51" i="10" s="1"/>
  <c r="I50" i="10" a="1"/>
  <c r="I50" i="10" s="1"/>
  <c r="J50" i="10" s="1"/>
  <c r="I49" i="10" a="1"/>
  <c r="I49" i="10" s="1"/>
  <c r="I48" i="10" a="1"/>
  <c r="I48" i="10" s="1"/>
  <c r="I47" i="10" a="1"/>
  <c r="I47" i="10" s="1"/>
  <c r="I46" i="10" a="1"/>
  <c r="I46" i="10" s="1"/>
  <c r="J46" i="10" s="1"/>
  <c r="I45" i="10" a="1"/>
  <c r="I45" i="10" s="1"/>
  <c r="I44" i="10" a="1"/>
  <c r="I44" i="10" s="1"/>
  <c r="J44" i="10" s="1"/>
  <c r="I43" i="10" a="1"/>
  <c r="I43" i="10" s="1"/>
  <c r="J43" i="10" s="1"/>
  <c r="I42" i="10" a="1"/>
  <c r="I42" i="10" s="1"/>
  <c r="J42" i="10" s="1"/>
  <c r="I41" i="10" a="1"/>
  <c r="I41" i="10" s="1"/>
  <c r="J41" i="10" s="1"/>
  <c r="I40" i="10" a="1"/>
  <c r="I40" i="10" s="1"/>
  <c r="J40" i="10" s="1"/>
  <c r="I39" i="10" a="1"/>
  <c r="I39" i="10" s="1"/>
  <c r="J39" i="10" s="1"/>
  <c r="I38" i="10" a="1"/>
  <c r="I38" i="10" s="1"/>
  <c r="J38" i="10" s="1"/>
  <c r="I37" i="10" a="1"/>
  <c r="I37" i="10" s="1"/>
  <c r="I36" i="10" a="1"/>
  <c r="I36" i="10" s="1"/>
  <c r="I35" i="10" a="1"/>
  <c r="I35" i="10" s="1"/>
  <c r="I34" i="10" a="1"/>
  <c r="I34" i="10" s="1"/>
  <c r="J34" i="10" s="1"/>
  <c r="I33" i="10" a="1"/>
  <c r="I33" i="10" s="1"/>
  <c r="I32" i="10" a="1"/>
  <c r="I32" i="10" s="1"/>
  <c r="J32" i="10" s="1"/>
  <c r="I31" i="10" a="1"/>
  <c r="I31" i="10" s="1"/>
  <c r="J31" i="10" s="1"/>
  <c r="I30" i="10" a="1"/>
  <c r="I30" i="10" s="1"/>
  <c r="J30" i="10" s="1"/>
  <c r="I29" i="10" a="1"/>
  <c r="I29" i="10" s="1"/>
  <c r="J29" i="10" s="1"/>
  <c r="I28" i="10" a="1"/>
  <c r="I28" i="10" s="1"/>
  <c r="J28" i="10" s="1"/>
  <c r="I27" i="10" a="1"/>
  <c r="I27" i="10" s="1"/>
  <c r="J27" i="10" s="1"/>
  <c r="I26" i="10" a="1"/>
  <c r="I26" i="10" s="1"/>
  <c r="J26" i="10" s="1"/>
  <c r="I25" i="10" a="1"/>
  <c r="I25" i="10" s="1"/>
  <c r="I24" i="10" a="1"/>
  <c r="I24" i="10" s="1"/>
  <c r="I23" i="10" a="1"/>
  <c r="I23" i="10" s="1"/>
  <c r="J23" i="10" s="1"/>
  <c r="I22" i="10" a="1"/>
  <c r="I22" i="10" s="1"/>
  <c r="J22" i="10" s="1"/>
  <c r="I21" i="10" a="1"/>
  <c r="I21" i="10" s="1"/>
  <c r="I20" i="10" a="1"/>
  <c r="I20" i="10" s="1"/>
  <c r="I19" i="10" a="1"/>
  <c r="I19" i="10" s="1"/>
  <c r="J19" i="10" s="1"/>
  <c r="I18" i="10" a="1"/>
  <c r="I18" i="10" s="1"/>
  <c r="J18" i="10" s="1"/>
  <c r="I17" i="10" a="1"/>
  <c r="I17" i="10" s="1"/>
  <c r="J17" i="10" s="1"/>
  <c r="I16" i="10" a="1"/>
  <c r="I16" i="10" s="1"/>
  <c r="J16" i="10" s="1"/>
  <c r="I15" i="10" a="1"/>
  <c r="I15" i="10" s="1"/>
  <c r="J15" i="10" s="1"/>
  <c r="I14" i="10" a="1"/>
  <c r="I14" i="10" s="1"/>
  <c r="I13" i="10" a="1"/>
  <c r="I13" i="10" s="1"/>
  <c r="I12" i="10" a="1"/>
  <c r="I12" i="10" s="1"/>
  <c r="I11" i="10" a="1"/>
  <c r="I11" i="10" s="1"/>
  <c r="J11" i="10" s="1"/>
  <c r="I10" i="10" a="1"/>
  <c r="I10" i="10" s="1"/>
  <c r="J10" i="10" s="1"/>
  <c r="I9" i="10" a="1"/>
  <c r="I9" i="10" s="1"/>
  <c r="J65" i="9"/>
  <c r="L65" i="9" s="1"/>
  <c r="J53" i="9"/>
  <c r="L53" i="9" s="1"/>
  <c r="J41" i="9"/>
  <c r="L41" i="9" s="1"/>
  <c r="J29" i="9"/>
  <c r="L29" i="9" s="1"/>
  <c r="J17" i="9"/>
  <c r="L17" i="9" s="1"/>
  <c r="I73" i="7" a="1"/>
  <c r="I73" i="7" s="1"/>
  <c r="J73" i="7" s="1"/>
  <c r="L73" i="7" s="1"/>
  <c r="I72" i="7" a="1"/>
  <c r="I72" i="7" s="1"/>
  <c r="J72" i="7" s="1"/>
  <c r="L72" i="7" s="1"/>
  <c r="I71" i="7" a="1"/>
  <c r="I71" i="7" s="1"/>
  <c r="J71" i="7" s="1"/>
  <c r="L71" i="7" s="1"/>
  <c r="I70" i="7" a="1"/>
  <c r="I70" i="7" s="1"/>
  <c r="J70" i="7" s="1"/>
  <c r="L70" i="7" s="1"/>
  <c r="I69" i="7" a="1"/>
  <c r="I69" i="7" s="1"/>
  <c r="J69" i="7" s="1"/>
  <c r="L69" i="7" s="1"/>
  <c r="I68" i="7" a="1"/>
  <c r="I68" i="7" s="1"/>
  <c r="J68" i="7" s="1"/>
  <c r="L68" i="7" s="1"/>
  <c r="I67" i="7" a="1"/>
  <c r="I67" i="7" s="1"/>
  <c r="J67" i="7" s="1"/>
  <c r="L67" i="7" s="1"/>
  <c r="I66" i="7" a="1"/>
  <c r="I66" i="7" s="1"/>
  <c r="J66" i="7" s="1"/>
  <c r="L66" i="7" s="1"/>
  <c r="I65" i="7" a="1"/>
  <c r="I65" i="7" s="1"/>
  <c r="J65" i="7" s="1"/>
  <c r="L65" i="7" s="1"/>
  <c r="I64" i="7" a="1"/>
  <c r="I64" i="7" s="1"/>
  <c r="J64" i="7" s="1"/>
  <c r="L64" i="7" s="1"/>
  <c r="I63" i="7" a="1"/>
  <c r="I63" i="7" s="1"/>
  <c r="J63" i="7" s="1"/>
  <c r="L63" i="7" s="1"/>
  <c r="I62" i="7" a="1"/>
  <c r="I62" i="7" s="1"/>
  <c r="J62" i="7" s="1"/>
  <c r="L62" i="7" s="1"/>
  <c r="I61" i="7" a="1"/>
  <c r="I61" i="7" s="1"/>
  <c r="J61" i="7" s="1"/>
  <c r="L61" i="7" s="1"/>
  <c r="I60" i="7" a="1"/>
  <c r="I60" i="7" s="1"/>
  <c r="J60" i="7" s="1"/>
  <c r="L60" i="7" s="1"/>
  <c r="I59" i="7" a="1"/>
  <c r="I59" i="7" s="1"/>
  <c r="J59" i="7" s="1"/>
  <c r="L59" i="7" s="1"/>
  <c r="I58" i="7" a="1"/>
  <c r="I58" i="7" s="1"/>
  <c r="J58" i="7" s="1"/>
  <c r="L58" i="7" s="1"/>
  <c r="I57" i="7" a="1"/>
  <c r="I57" i="7" s="1"/>
  <c r="J57" i="7" s="1"/>
  <c r="L57" i="7" s="1"/>
  <c r="I56" i="7"/>
  <c r="J56" i="7" s="1"/>
  <c r="L56" i="7" s="1"/>
  <c r="I56" i="7" a="1"/>
  <c r="I55" i="7" a="1"/>
  <c r="I55" i="7" s="1"/>
  <c r="J55" i="7" s="1"/>
  <c r="L55" i="7" s="1"/>
  <c r="I54" i="7" a="1"/>
  <c r="I54" i="7" s="1"/>
  <c r="J54" i="7" s="1"/>
  <c r="L54" i="7" s="1"/>
  <c r="I53" i="7" a="1"/>
  <c r="I53" i="7" s="1"/>
  <c r="J53" i="7" s="1"/>
  <c r="L53" i="7" s="1"/>
  <c r="I52" i="7" a="1"/>
  <c r="I52" i="7" s="1"/>
  <c r="J52" i="7" s="1"/>
  <c r="L52" i="7" s="1"/>
  <c r="I51" i="7" a="1"/>
  <c r="I51" i="7" s="1"/>
  <c r="J51" i="7" s="1"/>
  <c r="L51" i="7" s="1"/>
  <c r="I50" i="7"/>
  <c r="J50" i="7" s="1"/>
  <c r="L50" i="7" s="1"/>
  <c r="I50" i="7" a="1"/>
  <c r="I49" i="7" a="1"/>
  <c r="I49" i="7" s="1"/>
  <c r="J49" i="7" s="1"/>
  <c r="L49" i="7" s="1"/>
  <c r="I48" i="7" a="1"/>
  <c r="I48" i="7" s="1"/>
  <c r="J48" i="7" s="1"/>
  <c r="L48" i="7" s="1"/>
  <c r="I47" i="7" a="1"/>
  <c r="I47" i="7" s="1"/>
  <c r="J47" i="7" s="1"/>
  <c r="L47" i="7" s="1"/>
  <c r="I46" i="7" a="1"/>
  <c r="I46" i="7" s="1"/>
  <c r="J46" i="7" s="1"/>
  <c r="L46" i="7" s="1"/>
  <c r="I45" i="7" a="1"/>
  <c r="I45" i="7" s="1"/>
  <c r="J45" i="7" s="1"/>
  <c r="L45" i="7" s="1"/>
  <c r="I44" i="7" a="1"/>
  <c r="I44" i="7" s="1"/>
  <c r="J44" i="7" s="1"/>
  <c r="L44" i="7" s="1"/>
  <c r="I43" i="7" a="1"/>
  <c r="I43" i="7" s="1"/>
  <c r="J43" i="7" s="1"/>
  <c r="L43" i="7" s="1"/>
  <c r="I42" i="7" a="1"/>
  <c r="I42" i="7" s="1"/>
  <c r="J42" i="7" s="1"/>
  <c r="L42" i="7" s="1"/>
  <c r="I41" i="7" a="1"/>
  <c r="I41" i="7" s="1"/>
  <c r="J41" i="7" s="1"/>
  <c r="L41" i="7" s="1"/>
  <c r="I40" i="7" a="1"/>
  <c r="I40" i="7" s="1"/>
  <c r="J40" i="7" s="1"/>
  <c r="L40" i="7" s="1"/>
  <c r="I39" i="7" a="1"/>
  <c r="I39" i="7" s="1"/>
  <c r="J39" i="7" s="1"/>
  <c r="L39" i="7" s="1"/>
  <c r="I38" i="7" a="1"/>
  <c r="I38" i="7" s="1"/>
  <c r="J38" i="7" s="1"/>
  <c r="L38" i="7" s="1"/>
  <c r="I37" i="7" a="1"/>
  <c r="I37" i="7" s="1"/>
  <c r="J37" i="7" s="1"/>
  <c r="L37" i="7" s="1"/>
  <c r="I36" i="7" a="1"/>
  <c r="I36" i="7" s="1"/>
  <c r="J36" i="7" s="1"/>
  <c r="L36" i="7" s="1"/>
  <c r="I35" i="7" a="1"/>
  <c r="I35" i="7" s="1"/>
  <c r="J35" i="7" s="1"/>
  <c r="L35" i="7" s="1"/>
  <c r="I34" i="7" a="1"/>
  <c r="I34" i="7" s="1"/>
  <c r="J34" i="7" s="1"/>
  <c r="L34" i="7" s="1"/>
  <c r="I33" i="7" a="1"/>
  <c r="I33" i="7" s="1"/>
  <c r="J33" i="7" s="1"/>
  <c r="L33" i="7" s="1"/>
  <c r="I32" i="7" a="1"/>
  <c r="I32" i="7" s="1"/>
  <c r="J32" i="7" s="1"/>
  <c r="L32" i="7" s="1"/>
  <c r="I31" i="7" a="1"/>
  <c r="I31" i="7" s="1"/>
  <c r="J31" i="7" s="1"/>
  <c r="L31" i="7" s="1"/>
  <c r="I30" i="7" a="1"/>
  <c r="I30" i="7" s="1"/>
  <c r="J30" i="7" s="1"/>
  <c r="L30" i="7" s="1"/>
  <c r="I29" i="7" a="1"/>
  <c r="I29" i="7" s="1"/>
  <c r="J29" i="7" s="1"/>
  <c r="L29" i="7" s="1"/>
  <c r="I28" i="7" a="1"/>
  <c r="I28" i="7" s="1"/>
  <c r="J28" i="7" s="1"/>
  <c r="L28" i="7" s="1"/>
  <c r="I27" i="7" a="1"/>
  <c r="I27" i="7" s="1"/>
  <c r="J27" i="7" s="1"/>
  <c r="L27" i="7" s="1"/>
  <c r="I26" i="7" a="1"/>
  <c r="I26" i="7" s="1"/>
  <c r="J26" i="7" s="1"/>
  <c r="L26" i="7" s="1"/>
  <c r="I25" i="7" a="1"/>
  <c r="I25" i="7" s="1"/>
  <c r="J25" i="7" s="1"/>
  <c r="L25" i="7" s="1"/>
  <c r="I24" i="7" a="1"/>
  <c r="I24" i="7" s="1"/>
  <c r="J24" i="7" s="1"/>
  <c r="L24" i="7" s="1"/>
  <c r="I23" i="7"/>
  <c r="J23" i="7" s="1"/>
  <c r="L23" i="7" s="1"/>
  <c r="I23" i="7" a="1"/>
  <c r="I22" i="7" a="1"/>
  <c r="I22" i="7" s="1"/>
  <c r="J22" i="7" s="1"/>
  <c r="L22" i="7" s="1"/>
  <c r="I21" i="7" a="1"/>
  <c r="I21" i="7" s="1"/>
  <c r="J21" i="7" s="1"/>
  <c r="L21" i="7" s="1"/>
  <c r="I20" i="7" a="1"/>
  <c r="I20" i="7" s="1"/>
  <c r="J20" i="7" s="1"/>
  <c r="L20" i="7" s="1"/>
  <c r="I19" i="7" a="1"/>
  <c r="I19" i="7" s="1"/>
  <c r="J19" i="7" s="1"/>
  <c r="L19" i="7" s="1"/>
  <c r="I18" i="7" a="1"/>
  <c r="I18" i="7" s="1"/>
  <c r="J18" i="7" s="1"/>
  <c r="L18" i="7" s="1"/>
  <c r="I17" i="7" a="1"/>
  <c r="I17" i="7" s="1"/>
  <c r="J17" i="7" s="1"/>
  <c r="L17" i="7" s="1"/>
  <c r="I16" i="7" a="1"/>
  <c r="I16" i="7" s="1"/>
  <c r="J16" i="7" s="1"/>
  <c r="L16" i="7" s="1"/>
  <c r="I15" i="7" a="1"/>
  <c r="I15" i="7" s="1"/>
  <c r="J15" i="7" s="1"/>
  <c r="L15" i="7" s="1"/>
  <c r="I14" i="7" a="1"/>
  <c r="I14" i="7" s="1"/>
  <c r="J14" i="7" s="1"/>
  <c r="L14" i="7" s="1"/>
  <c r="I13" i="7" a="1"/>
  <c r="I13" i="7" s="1"/>
  <c r="J13" i="7" s="1"/>
  <c r="L13" i="7" s="1"/>
  <c r="I12" i="7" a="1"/>
  <c r="I12" i="7" s="1"/>
  <c r="J12" i="7" s="1"/>
  <c r="L12" i="7" s="1"/>
  <c r="I11" i="7" a="1"/>
  <c r="I11" i="7" s="1"/>
  <c r="J11" i="7" s="1"/>
  <c r="L11" i="7" s="1"/>
  <c r="I10" i="7" a="1"/>
  <c r="I10" i="7" s="1"/>
  <c r="J10" i="7" s="1"/>
  <c r="L10" i="7" s="1"/>
  <c r="I9" i="7" a="1"/>
  <c r="I9" i="7" s="1"/>
  <c r="J9" i="7" s="1"/>
  <c r="L9" i="7" s="1"/>
  <c r="I8" i="7" a="1"/>
  <c r="I8" i="7" s="1"/>
  <c r="J8" i="7" s="1"/>
  <c r="L8" i="7" s="1"/>
  <c r="J13" i="6"/>
  <c r="L13" i="6" s="1"/>
  <c r="J24" i="6"/>
  <c r="L24" i="6" s="1"/>
  <c r="J25" i="6"/>
  <c r="L25" i="6" s="1"/>
  <c r="J37" i="6"/>
  <c r="L37" i="6" s="1"/>
  <c r="J48" i="6"/>
  <c r="L48" i="6" s="1"/>
  <c r="J72" i="6"/>
  <c r="L72" i="6" s="1"/>
  <c r="I9" i="6" a="1"/>
  <c r="I9" i="6" s="1"/>
  <c r="J9" i="6" s="1"/>
  <c r="L9" i="6" s="1"/>
  <c r="I10" i="6" a="1"/>
  <c r="I10" i="6" s="1"/>
  <c r="J10" i="6" s="1"/>
  <c r="L10" i="6" s="1"/>
  <c r="I11" i="6" a="1"/>
  <c r="I11" i="6" s="1"/>
  <c r="J11" i="6" s="1"/>
  <c r="L11" i="6" s="1"/>
  <c r="I12" i="6" a="1"/>
  <c r="I12" i="6" s="1"/>
  <c r="J12" i="6" s="1"/>
  <c r="L12" i="6" s="1"/>
  <c r="I13" i="6" a="1"/>
  <c r="I13" i="6"/>
  <c r="I14" i="6" a="1"/>
  <c r="I14" i="6"/>
  <c r="J14" i="6" s="1"/>
  <c r="L14" i="6" s="1"/>
  <c r="I15" i="6" a="1"/>
  <c r="I15" i="6" s="1"/>
  <c r="J15" i="6" s="1"/>
  <c r="L15" i="6" s="1"/>
  <c r="I16" i="6" a="1"/>
  <c r="I16" i="6" s="1"/>
  <c r="J16" i="6" s="1"/>
  <c r="L16" i="6" s="1"/>
  <c r="I17" i="6" a="1"/>
  <c r="I17" i="6" s="1"/>
  <c r="J17" i="6" s="1"/>
  <c r="L17" i="6" s="1"/>
  <c r="I18" i="6" a="1"/>
  <c r="I18" i="6" s="1"/>
  <c r="J18" i="6" s="1"/>
  <c r="L18" i="6" s="1"/>
  <c r="I19" i="6" a="1"/>
  <c r="I19" i="6" s="1"/>
  <c r="J19" i="6" s="1"/>
  <c r="L19" i="6" s="1"/>
  <c r="I20" i="6" a="1"/>
  <c r="I20" i="6"/>
  <c r="J20" i="6" s="1"/>
  <c r="L20" i="6" s="1"/>
  <c r="I21" i="6" a="1"/>
  <c r="I21" i="6" s="1"/>
  <c r="J21" i="6" s="1"/>
  <c r="L21" i="6" s="1"/>
  <c r="I22" i="6" a="1"/>
  <c r="I22" i="6" s="1"/>
  <c r="J22" i="6" s="1"/>
  <c r="L22" i="6" s="1"/>
  <c r="I23" i="6" a="1"/>
  <c r="I23" i="6" s="1"/>
  <c r="J23" i="6" s="1"/>
  <c r="L23" i="6" s="1"/>
  <c r="I24" i="6" a="1"/>
  <c r="I24" i="6"/>
  <c r="I25" i="6" a="1"/>
  <c r="I25" i="6"/>
  <c r="I26" i="6" a="1"/>
  <c r="I26" i="6"/>
  <c r="J26" i="6" s="1"/>
  <c r="L26" i="6" s="1"/>
  <c r="I27" i="6" a="1"/>
  <c r="I27" i="6" s="1"/>
  <c r="J27" i="6" s="1"/>
  <c r="L27" i="6" s="1"/>
  <c r="I28" i="6" a="1"/>
  <c r="I28" i="6"/>
  <c r="J28" i="6" s="1"/>
  <c r="L28" i="6" s="1"/>
  <c r="I29" i="6" a="1"/>
  <c r="I29" i="6"/>
  <c r="J29" i="6" s="1"/>
  <c r="L29" i="6" s="1"/>
  <c r="I30" i="6" a="1"/>
  <c r="I30" i="6" s="1"/>
  <c r="J30" i="6" s="1"/>
  <c r="L30" i="6" s="1"/>
  <c r="I31" i="6" a="1"/>
  <c r="I31" i="6" s="1"/>
  <c r="J31" i="6" s="1"/>
  <c r="L31" i="6" s="1"/>
  <c r="I32" i="6" a="1"/>
  <c r="I32" i="6" s="1"/>
  <c r="J32" i="6" s="1"/>
  <c r="L32" i="6" s="1"/>
  <c r="I33" i="6" a="1"/>
  <c r="I33" i="6" s="1"/>
  <c r="J33" i="6" s="1"/>
  <c r="L33" i="6" s="1"/>
  <c r="I34" i="6" a="1"/>
  <c r="I34" i="6"/>
  <c r="J34" i="6" s="1"/>
  <c r="L34" i="6" s="1"/>
  <c r="I35" i="6" a="1"/>
  <c r="I35" i="6" s="1"/>
  <c r="J35" i="6" s="1"/>
  <c r="L35" i="6" s="1"/>
  <c r="I36" i="6" a="1"/>
  <c r="I36" i="6" s="1"/>
  <c r="J36" i="6" s="1"/>
  <c r="L36" i="6" s="1"/>
  <c r="I37" i="6" a="1"/>
  <c r="I37" i="6"/>
  <c r="I38" i="6" a="1"/>
  <c r="I38" i="6"/>
  <c r="J38" i="6" s="1"/>
  <c r="L38" i="6" s="1"/>
  <c r="I39" i="6" a="1"/>
  <c r="I39" i="6" s="1"/>
  <c r="J39" i="6" s="1"/>
  <c r="L39" i="6" s="1"/>
  <c r="I40" i="6" a="1"/>
  <c r="I40" i="6" s="1"/>
  <c r="J40" i="6" s="1"/>
  <c r="L40" i="6" s="1"/>
  <c r="I41" i="6" a="1"/>
  <c r="I41" i="6"/>
  <c r="J41" i="6" s="1"/>
  <c r="L41" i="6" s="1"/>
  <c r="I42" i="6" a="1"/>
  <c r="I42" i="6" s="1"/>
  <c r="J42" i="6" s="1"/>
  <c r="L42" i="6" s="1"/>
  <c r="I43" i="6" a="1"/>
  <c r="I43" i="6" s="1"/>
  <c r="J43" i="6" s="1"/>
  <c r="L43" i="6" s="1"/>
  <c r="I44" i="6" a="1"/>
  <c r="I44" i="6" s="1"/>
  <c r="J44" i="6" s="1"/>
  <c r="L44" i="6" s="1"/>
  <c r="I45" i="6" a="1"/>
  <c r="I45" i="6" s="1"/>
  <c r="J45" i="6" s="1"/>
  <c r="L45" i="6" s="1"/>
  <c r="I46" i="6" a="1"/>
  <c r="I46" i="6" s="1"/>
  <c r="J46" i="6" s="1"/>
  <c r="L46" i="6" s="1"/>
  <c r="I47" i="6" a="1"/>
  <c r="I47" i="6" s="1"/>
  <c r="J47" i="6" s="1"/>
  <c r="L47" i="6" s="1"/>
  <c r="I48" i="6" a="1"/>
  <c r="I48" i="6"/>
  <c r="I49" i="6" a="1"/>
  <c r="I49" i="6"/>
  <c r="J49" i="6" s="1"/>
  <c r="L49" i="6" s="1"/>
  <c r="I50" i="6" a="1"/>
  <c r="I50" i="6"/>
  <c r="J50" i="6" s="1"/>
  <c r="L50" i="6" s="1"/>
  <c r="I51" i="6" a="1"/>
  <c r="I51" i="6" s="1"/>
  <c r="J51" i="6" s="1"/>
  <c r="L51" i="6" s="1"/>
  <c r="I52" i="6" a="1"/>
  <c r="I52" i="6" s="1"/>
  <c r="J52" i="6" s="1"/>
  <c r="L52" i="6" s="1"/>
  <c r="I53" i="6" a="1"/>
  <c r="I53" i="6" s="1"/>
  <c r="J53" i="6" s="1"/>
  <c r="L53" i="6" s="1"/>
  <c r="I54" i="6" a="1"/>
  <c r="I54" i="6" s="1"/>
  <c r="J54" i="6" s="1"/>
  <c r="L54" i="6" s="1"/>
  <c r="I55" i="6" a="1"/>
  <c r="I55" i="6"/>
  <c r="J55" i="6" s="1"/>
  <c r="L55" i="6" s="1"/>
  <c r="I56" i="6" a="1"/>
  <c r="I56" i="6"/>
  <c r="J56" i="6" s="1"/>
  <c r="L56" i="6" s="1"/>
  <c r="I57" i="6" a="1"/>
  <c r="I57" i="6" s="1"/>
  <c r="J57" i="6" s="1"/>
  <c r="L57" i="6" s="1"/>
  <c r="I58" i="6" a="1"/>
  <c r="I58" i="6" s="1"/>
  <c r="J58" i="6" s="1"/>
  <c r="L58" i="6" s="1"/>
  <c r="I59" i="6" a="1"/>
  <c r="I59" i="6" s="1"/>
  <c r="J59" i="6" s="1"/>
  <c r="L59" i="6" s="1"/>
  <c r="I60" i="6" a="1"/>
  <c r="I60" i="6" s="1"/>
  <c r="J60" i="6" s="1"/>
  <c r="L60" i="6" s="1"/>
  <c r="I61" i="6" a="1"/>
  <c r="I61" i="6" s="1"/>
  <c r="J61" i="6" s="1"/>
  <c r="L61" i="6" s="1"/>
  <c r="I62" i="6" a="1"/>
  <c r="I62" i="6"/>
  <c r="J62" i="6" s="1"/>
  <c r="L62" i="6" s="1"/>
  <c r="I63" i="6" a="1"/>
  <c r="I63" i="6" s="1"/>
  <c r="J63" i="6" s="1"/>
  <c r="L63" i="6" s="1"/>
  <c r="I64" i="6" a="1"/>
  <c r="I64" i="6" s="1"/>
  <c r="J64" i="6" s="1"/>
  <c r="L64" i="6" s="1"/>
  <c r="I65" i="6" a="1"/>
  <c r="I65" i="6"/>
  <c r="J65" i="6" s="1"/>
  <c r="L65" i="6" s="1"/>
  <c r="I66" i="6" a="1"/>
  <c r="I66" i="6" s="1"/>
  <c r="J66" i="6" s="1"/>
  <c r="L66" i="6" s="1"/>
  <c r="I67" i="6" a="1"/>
  <c r="I67" i="6" s="1"/>
  <c r="J67" i="6" s="1"/>
  <c r="L67" i="6" s="1"/>
  <c r="I68" i="6" a="1"/>
  <c r="I68" i="6" s="1"/>
  <c r="J68" i="6" s="1"/>
  <c r="L68" i="6" s="1"/>
  <c r="I69" i="6" a="1"/>
  <c r="I69" i="6" s="1"/>
  <c r="J69" i="6" s="1"/>
  <c r="L69" i="6" s="1"/>
  <c r="I70" i="6" a="1"/>
  <c r="I70" i="6" s="1"/>
  <c r="J70" i="6" s="1"/>
  <c r="L70" i="6" s="1"/>
  <c r="I71" i="6" a="1"/>
  <c r="I71" i="6"/>
  <c r="J71" i="6" s="1"/>
  <c r="L71" i="6" s="1"/>
  <c r="I72" i="6" a="1"/>
  <c r="I72" i="6"/>
  <c r="I73" i="6" a="1"/>
  <c r="I73" i="6" s="1"/>
  <c r="J73" i="6" s="1"/>
  <c r="L73" i="6" s="1"/>
  <c r="I8" i="6" a="1"/>
  <c r="I8" i="6" s="1"/>
  <c r="J8" i="6" s="1"/>
  <c r="L8" i="6" s="1"/>
  <c r="L45" i="10" l="1"/>
  <c r="L57" i="10"/>
  <c r="L69" i="10"/>
  <c r="L10" i="10"/>
  <c r="L22" i="10"/>
  <c r="L34" i="10"/>
  <c r="L46" i="10"/>
  <c r="L58" i="10"/>
  <c r="L70" i="10"/>
  <c r="J69" i="10"/>
  <c r="J57" i="10"/>
  <c r="J45" i="10"/>
  <c r="J33" i="10"/>
  <c r="L33" i="10" s="1"/>
  <c r="J21" i="10"/>
  <c r="L21" i="10" s="1"/>
  <c r="J9" i="10"/>
  <c r="L9" i="10" s="1"/>
  <c r="L20" i="10"/>
  <c r="L11" i="10"/>
  <c r="L23" i="10"/>
  <c r="L35" i="10"/>
  <c r="L47" i="10"/>
  <c r="L59" i="10"/>
  <c r="L71" i="10"/>
  <c r="J20" i="10"/>
  <c r="L12" i="10"/>
  <c r="L24" i="10"/>
  <c r="L36" i="10"/>
  <c r="L48" i="10"/>
  <c r="L60" i="10"/>
  <c r="L72" i="10"/>
  <c r="L25" i="10"/>
  <c r="L37" i="10"/>
  <c r="L49" i="10"/>
  <c r="J14" i="10"/>
  <c r="L14" i="10" s="1"/>
  <c r="J73" i="10"/>
  <c r="L73" i="10" s="1"/>
  <c r="J61" i="10"/>
  <c r="L61" i="10" s="1"/>
  <c r="J49" i="10"/>
  <c r="J37" i="10"/>
  <c r="J25" i="10"/>
  <c r="J13" i="10"/>
  <c r="L13" i="10" s="1"/>
  <c r="L32" i="10"/>
  <c r="L44" i="10"/>
  <c r="L56" i="10"/>
  <c r="L68" i="10"/>
  <c r="L26" i="10"/>
  <c r="L38" i="10"/>
  <c r="L50" i="10"/>
  <c r="L62" i="10"/>
  <c r="L15" i="10"/>
  <c r="L27" i="10"/>
  <c r="L39" i="10"/>
  <c r="L51" i="10"/>
  <c r="L63" i="10"/>
  <c r="L16" i="10"/>
  <c r="L28" i="10"/>
  <c r="L40" i="10"/>
  <c r="L52" i="10"/>
  <c r="L64" i="10"/>
  <c r="L17" i="10"/>
  <c r="L29" i="10"/>
  <c r="L41" i="10"/>
  <c r="L53" i="10"/>
  <c r="L65" i="10"/>
  <c r="L18" i="10"/>
  <c r="L30" i="10"/>
  <c r="L42" i="10"/>
  <c r="L54" i="10"/>
  <c r="L66" i="10"/>
  <c r="L19" i="10"/>
  <c r="L31" i="10"/>
  <c r="L43" i="10"/>
  <c r="L55" i="10"/>
  <c r="L6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<sst xmlns="http://schemas.openxmlformats.org/spreadsheetml/2006/main" count="8297" uniqueCount="308">
  <si>
    <t xml:space="preserve">Quantify Compound Summary Report </t>
  </si>
  <si>
    <t>Compound 1:  C16 Cer8[NH](D9)</t>
  </si>
  <si>
    <t>Name</t>
  </si>
  <si>
    <t>Sample Text</t>
  </si>
  <si>
    <t>Type</t>
  </si>
  <si>
    <t>Vial</t>
  </si>
  <si>
    <t>Std. Conc</t>
  </si>
  <si>
    <t>RT</t>
  </si>
  <si>
    <t>Area</t>
  </si>
  <si>
    <t>Response</t>
  </si>
  <si>
    <t>ng/mL</t>
  </si>
  <si>
    <t>%Dev</t>
  </si>
  <si>
    <t>S/N</t>
  </si>
  <si>
    <t>Standard</t>
  </si>
  <si>
    <t>1:A,2</t>
  </si>
  <si>
    <t>1:A,3</t>
  </si>
  <si>
    <t>1:A,4</t>
  </si>
  <si>
    <t>1:A,5</t>
  </si>
  <si>
    <t>1:A,6</t>
  </si>
  <si>
    <t>1:A,7</t>
  </si>
  <si>
    <t>1:A,8</t>
  </si>
  <si>
    <t>1:B,1</t>
  </si>
  <si>
    <t>1:B,2</t>
  </si>
  <si>
    <t>Analyte</t>
  </si>
  <si>
    <t>1:B,3</t>
  </si>
  <si>
    <t>1:B,4</t>
  </si>
  <si>
    <t>1:B,5</t>
  </si>
  <si>
    <t>1:B,6</t>
  </si>
  <si>
    <t>1:B,7</t>
  </si>
  <si>
    <t>1:B,8</t>
  </si>
  <si>
    <t>1:C,1</t>
  </si>
  <si>
    <t>1:C,2</t>
  </si>
  <si>
    <t>1:C,3</t>
  </si>
  <si>
    <t>1:C,4</t>
  </si>
  <si>
    <t>1:C,5</t>
  </si>
  <si>
    <t>1:C,6</t>
  </si>
  <si>
    <t>1:C,7</t>
  </si>
  <si>
    <t>1:C,8</t>
  </si>
  <si>
    <t>1:D,1</t>
  </si>
  <si>
    <t>Cermix 17_1 ppb</t>
  </si>
  <si>
    <t>1:E,8</t>
  </si>
  <si>
    <t>Cermix 17_2 ppb</t>
  </si>
  <si>
    <t>1:F,1</t>
  </si>
  <si>
    <t>Cermix 17_5 ppb</t>
  </si>
  <si>
    <t>1:F,2</t>
  </si>
  <si>
    <t>Cermix 17_10 ppb</t>
  </si>
  <si>
    <t>1:F,3</t>
  </si>
  <si>
    <t>Cermix 17_20 ppb</t>
  </si>
  <si>
    <t>1:F,4</t>
  </si>
  <si>
    <t>Cermix 17_50 ppb</t>
  </si>
  <si>
    <t>1:F,5</t>
  </si>
  <si>
    <t>Cermix 17_100 ppb</t>
  </si>
  <si>
    <t>1:F,6</t>
  </si>
  <si>
    <t>Cermix 17_200 ppb</t>
  </si>
  <si>
    <t>1:F,7</t>
  </si>
  <si>
    <t>Cermix 17_500 ppb</t>
  </si>
  <si>
    <t>1:F,8</t>
  </si>
  <si>
    <t>Compound 22:  C18 Cer10[NDS]</t>
  </si>
  <si>
    <t>Compound 25:  C24 Cer10[NDS]</t>
  </si>
  <si>
    <t>1:D,2</t>
  </si>
  <si>
    <t>1:D,3</t>
  </si>
  <si>
    <t>1:D,4</t>
  </si>
  <si>
    <t>1:D,5</t>
  </si>
  <si>
    <t>1:D,6</t>
  </si>
  <si>
    <t>Compound 3:  C18 Cer8[NH]</t>
  </si>
  <si>
    <t>Compound 4:  C20 Cer8[NH]</t>
  </si>
  <si>
    <t>1:D,7</t>
  </si>
  <si>
    <t>1:D,8</t>
  </si>
  <si>
    <t>1:E,1</t>
  </si>
  <si>
    <t>1:E,2</t>
  </si>
  <si>
    <t>1:E,3</t>
  </si>
  <si>
    <t>1:E,4</t>
  </si>
  <si>
    <t>Printed Thu Sep 11 08:52:01 2025</t>
  </si>
  <si>
    <t>Compound 11:  C16 Cer2[NS] (1)</t>
  </si>
  <si>
    <t>CER STD_1_250910_001</t>
  </si>
  <si>
    <t>CER STD_1_250910_002</t>
  </si>
  <si>
    <t>CER STD_1_250910_003</t>
  </si>
  <si>
    <t>CER STD_1_250910_004</t>
  </si>
  <si>
    <t>CER STD_1_250910_005</t>
  </si>
  <si>
    <t>CER STD_1_250910_006</t>
  </si>
  <si>
    <t>CER STD_1_250910_007</t>
  </si>
  <si>
    <t>CER STD_1_250910_008</t>
  </si>
  <si>
    <t>CER STD_1_250910_009</t>
  </si>
  <si>
    <t>Printed Thu Sep 11 08:52:19 2025</t>
  </si>
  <si>
    <t>Compound 12:  C18 Cer2[NS] (1)</t>
  </si>
  <si>
    <t>Printed Thu Sep 11 08:53:02 2025</t>
  </si>
  <si>
    <t>Compound 13:  C20 Cer2[NS] (1)</t>
  </si>
  <si>
    <t>Printed Thu Sep 11 08:53:26 2025</t>
  </si>
  <si>
    <t>Compound 14:  C22 Cer2[NS] (1)</t>
  </si>
  <si>
    <t>Printed Thu Sep 11 08:55:04 2025</t>
  </si>
  <si>
    <t>Compound 15:  C24:1 Cer2[NS] (1)</t>
  </si>
  <si>
    <t>Printed Thu Sep 11 08:55:24 2025</t>
  </si>
  <si>
    <t>Compound 16:  C24 Cer2[NS] (1)</t>
  </si>
  <si>
    <t>Printed Thu Sep 11 09:03:49 2025</t>
  </si>
  <si>
    <t>Printed Thu Sep 11 09:04:39 2025</t>
  </si>
  <si>
    <t>Printed Thu Sep 11 09:08:22 2025</t>
  </si>
  <si>
    <t>Printed Thu Sep 11 11:04:11 2025</t>
  </si>
  <si>
    <t>Cicca B5_SC_Cer_250910_001</t>
  </si>
  <si>
    <t>Cicca B5_SC_Cer_250910_002</t>
  </si>
  <si>
    <t>Cicca B5_SC_Cer_250910_003</t>
  </si>
  <si>
    <t>Cicca B5_SC_Cer_250910_004</t>
  </si>
  <si>
    <t>Cicca B5_SC_Cer_250910_005</t>
  </si>
  <si>
    <t>Cicca B5_SC_Cer_250910_006</t>
  </si>
  <si>
    <t>Cicca B5_SC_Cer_250910_007</t>
  </si>
  <si>
    <t>Cicca B5_SC_Cer_250910_008</t>
  </si>
  <si>
    <t>Cicca B5_SC_Cer_250910_009</t>
  </si>
  <si>
    <t>Cicca B5_SC_Cer_250910_010</t>
  </si>
  <si>
    <t>Cicca B5_SC_Cer_250910_011</t>
  </si>
  <si>
    <t>Cicca B5_SC_Cer_250910_012</t>
  </si>
  <si>
    <t>Cicca B5_SC_Cer_250910_013</t>
  </si>
  <si>
    <t>Cicca B5_SC_Cer_250910_014</t>
  </si>
  <si>
    <t>Cicca B5_SC_Cer_250910_015</t>
  </si>
  <si>
    <t>Cicca B5_SC_Cer_250910_016</t>
  </si>
  <si>
    <t>Cicca B5_SC_Cer_250910_017</t>
  </si>
  <si>
    <t>Cicca B5_SC_Cer_250910_018</t>
  </si>
  <si>
    <t>Cicca B5_SC_Cer_250910_019</t>
  </si>
  <si>
    <t>Cicca B5_SC_Cer_250910_020</t>
  </si>
  <si>
    <t>Cicca B5_SC_Cer_250910_021</t>
  </si>
  <si>
    <t>Cicca B5_SC_Cer_250910_022</t>
  </si>
  <si>
    <t>Cicca B5_SC_Cer_250910_023</t>
  </si>
  <si>
    <t>Cicca B5_SC_Cer_250910_024</t>
  </si>
  <si>
    <t>V1_S24</t>
  </si>
  <si>
    <t>Cicca B5_SC_Cer_250910_025</t>
  </si>
  <si>
    <t>V1_S25</t>
  </si>
  <si>
    <t>Cicca B5_SC_Cer_250910_026</t>
  </si>
  <si>
    <t>V1_S26</t>
  </si>
  <si>
    <t>Cicca B5_SC_Cer_250910_027</t>
  </si>
  <si>
    <t>V1_S27</t>
  </si>
  <si>
    <t>1:E,5</t>
  </si>
  <si>
    <t>Cicca B5_SC_Cer_250910_028</t>
  </si>
  <si>
    <t>V1_S28</t>
  </si>
  <si>
    <t>1:E,6</t>
  </si>
  <si>
    <t>Cicca B5_SC_Cer_250910_029</t>
  </si>
  <si>
    <t>V1_S29</t>
  </si>
  <si>
    <t>1:E,7</t>
  </si>
  <si>
    <t>Cicca B5_SC_Cer_250910_030</t>
  </si>
  <si>
    <t>V1_S30</t>
  </si>
  <si>
    <t>Cicca B5_SC_Cer_250910_031</t>
  </si>
  <si>
    <t>V1_S31</t>
  </si>
  <si>
    <t>Cicca B5_SC_Cer_250910_032</t>
  </si>
  <si>
    <t>V1_S32</t>
  </si>
  <si>
    <t>Cicca B5_SC_Cer_250910_033</t>
  </si>
  <si>
    <t>V1_S33</t>
  </si>
  <si>
    <t>Cicca B5_SC_Cer_250910_034</t>
  </si>
  <si>
    <t>V2_S1</t>
  </si>
  <si>
    <t>Cicca B5_SC_Cer_250910_035</t>
  </si>
  <si>
    <t>V2_S2</t>
  </si>
  <si>
    <t>Cicca B5_SC_Cer_250910_036</t>
  </si>
  <si>
    <t>V2_S3</t>
  </si>
  <si>
    <t>Cicca B5_SC_Cer_250910_037</t>
  </si>
  <si>
    <t>V2_S4</t>
  </si>
  <si>
    <t>Cicca B5_SC_Cer_250910_038</t>
  </si>
  <si>
    <t>V2_S5</t>
  </si>
  <si>
    <t>Cicca B5_SC_Cer_250910_039</t>
  </si>
  <si>
    <t>V2_S6</t>
  </si>
  <si>
    <t>2:A,1</t>
  </si>
  <si>
    <t>Cicca B5_SC_Cer_250910_040</t>
  </si>
  <si>
    <t>V2_S7</t>
  </si>
  <si>
    <t>2:A,2</t>
  </si>
  <si>
    <t>Cicca B5_SC_Cer_250910_041</t>
  </si>
  <si>
    <t>V2_S8</t>
  </si>
  <si>
    <t>2:A,3</t>
  </si>
  <si>
    <t>Cicca B5_SC_Cer_250910_042</t>
  </si>
  <si>
    <t>V2_S9</t>
  </si>
  <si>
    <t>2:A,4</t>
  </si>
  <si>
    <t>Cicca B5_SC_Cer_250910_043</t>
  </si>
  <si>
    <t>V2_S10</t>
  </si>
  <si>
    <t>2:A,5</t>
  </si>
  <si>
    <t>Cicca B5_SC_Cer_250910_044</t>
  </si>
  <si>
    <t>V2_S11</t>
  </si>
  <si>
    <t>2:A,6</t>
  </si>
  <si>
    <t>Cicca B5_SC_Cer_250910_045</t>
  </si>
  <si>
    <t>V2_S12</t>
  </si>
  <si>
    <t>2:A,7</t>
  </si>
  <si>
    <t>Cicca B5_SC_Cer_250910_046</t>
  </si>
  <si>
    <t>V2_S13</t>
  </si>
  <si>
    <t>2:A,8</t>
  </si>
  <si>
    <t>Cicca B5_SC_Cer_250910_047</t>
  </si>
  <si>
    <t>V2_S14</t>
  </si>
  <si>
    <t>2:B,1</t>
  </si>
  <si>
    <t>Cicca B5_SC_Cer_250910_048</t>
  </si>
  <si>
    <t>V2_S15</t>
  </si>
  <si>
    <t>2:B,2</t>
  </si>
  <si>
    <t>Cicca B5_SC_Cer_250910_049</t>
  </si>
  <si>
    <t>V2_S16</t>
  </si>
  <si>
    <t>2:B,3</t>
  </si>
  <si>
    <t>Cicca B5_SC_Cer_250910_050</t>
  </si>
  <si>
    <t>V2_S17</t>
  </si>
  <si>
    <t>2:B,4</t>
  </si>
  <si>
    <t>Cicca B5_SC_Cer_250910_051</t>
  </si>
  <si>
    <t>V2_S18</t>
  </si>
  <si>
    <t>2:B,5</t>
  </si>
  <si>
    <t>Cicca B5_SC_Cer_250910_052</t>
  </si>
  <si>
    <t>V2_S19</t>
  </si>
  <si>
    <t>2:B,6</t>
  </si>
  <si>
    <t>Cicca B5_SC_Cer_250910_053</t>
  </si>
  <si>
    <t>V2_S20</t>
  </si>
  <si>
    <t>2:B,7</t>
  </si>
  <si>
    <t>Cicca B5_SC_Cer_250910_054</t>
  </si>
  <si>
    <t>V2_S21</t>
  </si>
  <si>
    <t>2:B,8</t>
  </si>
  <si>
    <t>Cicca B5_SC_Cer_250910_055</t>
  </si>
  <si>
    <t>V2_S22</t>
  </si>
  <si>
    <t>2:C,1</t>
  </si>
  <si>
    <t>Cicca B5_SC_Cer_250910_056</t>
  </si>
  <si>
    <t>V2_S23</t>
  </si>
  <si>
    <t>2:C,2</t>
  </si>
  <si>
    <t>Cicca B5_SC_Cer_250910_057</t>
  </si>
  <si>
    <t>V2_S24</t>
  </si>
  <si>
    <t>2:C,3</t>
  </si>
  <si>
    <t>Cicca B5_SC_Cer_250910_058</t>
  </si>
  <si>
    <t>V2_S25</t>
  </si>
  <si>
    <t>2:C,4</t>
  </si>
  <si>
    <t>Cicca B5_SC_Cer_250910_059</t>
  </si>
  <si>
    <t>V2_S26</t>
  </si>
  <si>
    <t>2:C,5</t>
  </si>
  <si>
    <t>Cicca B5_SC_Cer_250910_060</t>
  </si>
  <si>
    <t>V2_S27</t>
  </si>
  <si>
    <t>2:C,6</t>
  </si>
  <si>
    <t>Cicca B5_SC_Cer_250910_061</t>
  </si>
  <si>
    <t>V2_S28</t>
  </si>
  <si>
    <t>2:C,7</t>
  </si>
  <si>
    <t>Cicca B5_SC_Cer_250910_062</t>
  </si>
  <si>
    <t>V2_S29</t>
  </si>
  <si>
    <t>2:C,8</t>
  </si>
  <si>
    <t>Cicca B5_SC_Cer_250910_063</t>
  </si>
  <si>
    <t>V2_S30</t>
  </si>
  <si>
    <t>2:D,1</t>
  </si>
  <si>
    <t>Cicca B5_SC_Cer_250910_064</t>
  </si>
  <si>
    <t>V2_S31</t>
  </si>
  <si>
    <t>2:D,2</t>
  </si>
  <si>
    <t>Cicca B5_SC_Cer_250910_065</t>
  </si>
  <si>
    <t>V2_S32</t>
  </si>
  <si>
    <t>2:D,3</t>
  </si>
  <si>
    <t>Cicca B5_SC_Cer_250910_066</t>
  </si>
  <si>
    <t>V2_S33</t>
  </si>
  <si>
    <t>2:D,4</t>
  </si>
  <si>
    <t>blk_250910_005</t>
  </si>
  <si>
    <t>blk</t>
  </si>
  <si>
    <t>Blank</t>
  </si>
  <si>
    <t>1:A,1</t>
  </si>
  <si>
    <t>Printed Thu Sep 11 11:06:04 2025</t>
  </si>
  <si>
    <t>Printed Thu Sep 11 11:06:22 2025</t>
  </si>
  <si>
    <t>Compound 5:  C22 Cer8[NH] (1)</t>
  </si>
  <si>
    <t>Printed Thu Sep 11 11:07:59 2025</t>
  </si>
  <si>
    <t>Compound 6:  C24 Cer8[NH] (1)</t>
  </si>
  <si>
    <t>Printed Thu Sep 11 11:09:15 2025</t>
  </si>
  <si>
    <t>Compound 7:  C25 Cer8[NH] (1)</t>
  </si>
  <si>
    <t>Printed Thu Sep 11 11:09:39 2025</t>
  </si>
  <si>
    <t>Compound 8:  C26 Cer8[NH] (1)</t>
  </si>
  <si>
    <t>Printed Thu Sep 11 11:09:56 2025</t>
  </si>
  <si>
    <t>Compound 9:  C28 Cer8[NH] (1)</t>
  </si>
  <si>
    <t>Printed Thu Sep 11 11:10:08 2025</t>
  </si>
  <si>
    <t>Compound 10:  C30 Cer8[NH] (1)</t>
  </si>
  <si>
    <t>Printed Thu Sep 11 11:14:23 2025</t>
  </si>
  <si>
    <t>Printed Thu Sep 11 11:14:44 2025</t>
  </si>
  <si>
    <t>Printed Thu Sep 11 11:15:01 2025</t>
  </si>
  <si>
    <t>Printed Thu Sep 11 11:15:13 2025</t>
  </si>
  <si>
    <t>Printed Thu Sep 11 11:15:26 2025</t>
  </si>
  <si>
    <t>Printed Thu Sep 11 11:15:38 2025</t>
  </si>
  <si>
    <t>Printed Thu Sep 11 11:15:49 2025</t>
  </si>
  <si>
    <t>Compound 17:  C25 Cer2[NS] (1)</t>
  </si>
  <si>
    <t>Printed Thu Sep 11 11:16:00 2025</t>
  </si>
  <si>
    <t>Compound 18:  C26 Cer2[NS] (1)</t>
  </si>
  <si>
    <t>Printed Thu Sep 11 11:16:11 2025</t>
  </si>
  <si>
    <t>Compound 19:  C28 Cer2[NS] (1)</t>
  </si>
  <si>
    <t>Printed Thu Sep 11 11:16:42 2025</t>
  </si>
  <si>
    <t>Compound 21:  C16 Cer10[NDS] (1)</t>
  </si>
  <si>
    <t>Printed Thu Sep 11 11:16:59 2025</t>
  </si>
  <si>
    <t>Compound 22:  C18 Cer10[NDS] (1)</t>
  </si>
  <si>
    <t>Printed Thu Sep 11 11:17:10 2025</t>
  </si>
  <si>
    <t>Compound 23:  C20 Cer10[NDS] (1)</t>
  </si>
  <si>
    <t>Printed Thu Sep 11 11:17:21 2025</t>
  </si>
  <si>
    <t>Compound 24:  C22 Cer10[NDS] (1)</t>
  </si>
  <si>
    <t>Printed Thu Sep 11 11:17:33 2025</t>
  </si>
  <si>
    <t>Compound 25:  C24 Cer10[NDS] (1)</t>
  </si>
  <si>
    <t>Printed Thu Sep 11 11:17:43 2025</t>
  </si>
  <si>
    <t>Compound 26:  C25 CeR10[NDS] (1)</t>
  </si>
  <si>
    <t>Printed Thu Sep 11 11:17:53 2025</t>
  </si>
  <si>
    <t>Compound 27:  C26 Cer10[NDS] (1)</t>
  </si>
  <si>
    <t>Printed Thu Sep 11 11:18:05 2025</t>
  </si>
  <si>
    <t>Compound 28:  C28 Cer10[NDS] (1)</t>
  </si>
  <si>
    <t xml:space="preserve">희석배수 </t>
    <phoneticPr fontId="1" type="noConversion"/>
  </si>
  <si>
    <t>protein(mg/mL)</t>
    <phoneticPr fontId="1" type="noConversion"/>
  </si>
  <si>
    <t>ng/mg protein</t>
    <phoneticPr fontId="1" type="noConversion"/>
  </si>
  <si>
    <t>V1_S1</t>
  </si>
  <si>
    <t>V1_S2</t>
  </si>
  <si>
    <t>V1_S3</t>
  </si>
  <si>
    <t>V1_S4</t>
  </si>
  <si>
    <t>V1_S5</t>
  </si>
  <si>
    <t>V1_S6</t>
  </si>
  <si>
    <t>V1_S7</t>
  </si>
  <si>
    <t>V1_S8</t>
  </si>
  <si>
    <t>V1_S9</t>
  </si>
  <si>
    <t>V1_S10</t>
  </si>
  <si>
    <t>V1_S11</t>
  </si>
  <si>
    <t>V1_S12</t>
  </si>
  <si>
    <t>V1_S13</t>
  </si>
  <si>
    <t>V1_S14</t>
  </si>
  <si>
    <t>V1_S15</t>
  </si>
  <si>
    <t>V1_S16</t>
  </si>
  <si>
    <t>V1_S17</t>
  </si>
  <si>
    <t>V1_S18</t>
  </si>
  <si>
    <t>V1_S19</t>
  </si>
  <si>
    <t>V1_S20</t>
  </si>
  <si>
    <t>V1_S21</t>
  </si>
  <si>
    <t>V1_S22</t>
  </si>
  <si>
    <t>V1_S23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</si>
</sst>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7E95-33D7-4B8E-B5C8-F7255BC73BF4}">
  <dimension ref="A1:AB73"/>
  <sheetViews>
    <sheetView tabSelected="1" workbookViewId="0">
      <selection activeCell="O23" sqref="O23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96</v>
      </c>
      <c r="P3" t="s">
        <v>95</v>
      </c>
    </row>
    <row r="5" spans="1:28" x14ac:dyDescent="0.3">
      <c r="A5" t="s">
        <v>64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2.36</v>
      </c>
      <c r="G8">
        <v>10690</v>
      </c>
      <c r="H8">
        <v>10690.245999999999</v>
      </c>
      <c r="I8" cm="1">
        <f t="array" ref="I8">TREND($X$8:$X$12,$W$8:$W$12,H8)</f>
        <v>4.4173852428440208</v>
      </c>
      <c r="J8">
        <f>I8/(2/0.2)*3</f>
        <v>1.3252155728532062</v>
      </c>
      <c r="K8">
        <v>0.14813140740266978</v>
      </c>
      <c r="L8" s="1">
        <f>J8/K8</f>
        <v>8.9462160394576919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31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2.37</v>
      </c>
      <c r="G9">
        <v>5565</v>
      </c>
      <c r="H9">
        <v>5564.66</v>
      </c>
      <c r="I9" cm="1">
        <f t="array" ref="I9">TREND($X$8:$X$12,$W$8:$W$12,H9)</f>
        <v>2.4681804310538928</v>
      </c>
      <c r="J9">
        <f>I9/(2/0.2)*3</f>
        <v>0.74045412931616794</v>
      </c>
      <c r="K9">
        <v>0.11673675431760691</v>
      </c>
      <c r="L9" s="1">
        <f t="shared" ref="L9:L72" si="0">J9/K9</f>
        <v>6.3429391509516071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62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2.36</v>
      </c>
      <c r="G10">
        <v>10255</v>
      </c>
      <c r="H10">
        <v>10254.689</v>
      </c>
      <c r="I10" cm="1">
        <f t="array" ref="I10">TREND($X$8:$X$12,$W$8:$W$12,H10)</f>
        <v>4.2517476357081989</v>
      </c>
      <c r="J10">
        <f>I10/(2/0.2)*3</f>
        <v>1.2755242907124598</v>
      </c>
      <c r="K10">
        <v>8.6147092337289247E-2</v>
      </c>
      <c r="L10" s="1">
        <f t="shared" si="0"/>
        <v>14.806353367313154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277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2.36</v>
      </c>
      <c r="G11">
        <v>10347</v>
      </c>
      <c r="H11">
        <v>10346.901</v>
      </c>
      <c r="I11" cm="1">
        <f t="array" ref="I11">TREND($X$8:$X$12,$W$8:$W$12,H11)</f>
        <v>4.2868148600421172</v>
      </c>
      <c r="J11">
        <f>I11/(2/0.2)*3</f>
        <v>1.2860444580126353</v>
      </c>
      <c r="K11">
        <v>8.9367056756270047E-2</v>
      </c>
      <c r="L11" s="1">
        <f t="shared" si="0"/>
        <v>14.390587591130506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346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2.36</v>
      </c>
      <c r="G12">
        <v>10684</v>
      </c>
      <c r="H12">
        <v>10684.328</v>
      </c>
      <c r="I12" cm="1">
        <f t="array" ref="I12">TREND($X$8:$X$12,$W$8:$W$12,H12)</f>
        <v>4.4151346915751173</v>
      </c>
      <c r="J12">
        <f>I12/(2/0.2)*3</f>
        <v>1.3245404074725351</v>
      </c>
      <c r="K12">
        <v>9.3392012279996037E-2</v>
      </c>
      <c r="L12" s="1">
        <f t="shared" si="0"/>
        <v>14.182587730323947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267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2.37</v>
      </c>
      <c r="G13">
        <v>8119</v>
      </c>
      <c r="H13">
        <v>8119.3410000000003</v>
      </c>
      <c r="I13" cm="1">
        <f t="array" ref="I13">TREND($X$8:$X$12,$W$8:$W$12,H13)</f>
        <v>3.4396979312555902</v>
      </c>
      <c r="J13">
        <f>I13/(2/0.2)*3</f>
        <v>1.0319093793766771</v>
      </c>
      <c r="K13">
        <v>0.18918595374467503</v>
      </c>
      <c r="L13" s="1">
        <f t="shared" si="0"/>
        <v>5.4544714285149301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2508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2.36</v>
      </c>
      <c r="G14">
        <v>6008</v>
      </c>
      <c r="H14">
        <v>6008.13</v>
      </c>
      <c r="I14" cm="1">
        <f t="array" ref="I14">TREND($X$8:$X$12,$W$8:$W$12,H14)</f>
        <v>2.6368272663395689</v>
      </c>
      <c r="J14">
        <f>I14/(2/0.2)*3</f>
        <v>0.7910481799018706</v>
      </c>
      <c r="K14">
        <v>9.2587021175250833E-2</v>
      </c>
      <c r="L14" s="1">
        <f t="shared" si="0"/>
        <v>8.5438344366275327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4529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2.36</v>
      </c>
      <c r="G15">
        <v>4038</v>
      </c>
      <c r="H15">
        <v>4038.4520000000002</v>
      </c>
      <c r="I15" cm="1">
        <f t="array" ref="I15">TREND($X$8:$X$12,$W$8:$W$12,H15)</f>
        <v>1.8877800675847034</v>
      </c>
      <c r="J15">
        <f>I15/(2/0.2)*3</f>
        <v>0.56633402027541102</v>
      </c>
      <c r="K15">
        <v>0.14974138961216016</v>
      </c>
      <c r="L15" s="1">
        <f t="shared" si="0"/>
        <v>3.7820807042211415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5264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2.37</v>
      </c>
      <c r="G16">
        <v>15828</v>
      </c>
      <c r="H16">
        <v>15827.821</v>
      </c>
      <c r="I16" cm="1">
        <f t="array" ref="I16">TREND($X$8:$X$12,$W$8:$W$12,H16)</f>
        <v>6.3711493414139548</v>
      </c>
      <c r="J16">
        <f>I16/(2/0.2)*3</f>
        <v>1.9113448024241866</v>
      </c>
      <c r="K16">
        <v>0.19965083810636269</v>
      </c>
      <c r="L16" s="1">
        <f t="shared" si="0"/>
        <v>9.5734374097940425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7600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2.37</v>
      </c>
      <c r="G17">
        <v>21550</v>
      </c>
      <c r="H17">
        <v>21549.559000000001</v>
      </c>
      <c r="I17" cm="1">
        <f t="array" ref="I17">TREND($X$8:$X$12,$W$8:$W$12,H17)</f>
        <v>8.5470642985334777</v>
      </c>
      <c r="J17">
        <f>I17/(2/0.2)*3</f>
        <v>2.5641192895600433</v>
      </c>
      <c r="K17">
        <v>0.22058060682973793</v>
      </c>
      <c r="L17" s="1">
        <f t="shared" si="0"/>
        <v>11.624409445655571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2.36</v>
      </c>
      <c r="G18">
        <v>14126</v>
      </c>
      <c r="H18">
        <v>14126.081</v>
      </c>
      <c r="I18" cm="1">
        <f t="array" ref="I18">TREND($X$8:$X$12,$W$8:$W$12,H18)</f>
        <v>5.7239960605177345</v>
      </c>
      <c r="J18">
        <f>I18/(2/0.2)*3</f>
        <v>1.7171988181553202</v>
      </c>
      <c r="K18">
        <v>0.12720163867929454</v>
      </c>
      <c r="L18" s="1">
        <f t="shared" si="0"/>
        <v>13.499816794693857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2.36</v>
      </c>
      <c r="G19">
        <v>11268</v>
      </c>
      <c r="H19">
        <v>11267.734</v>
      </c>
      <c r="I19" cm="1">
        <f t="array" ref="I19">TREND($X$8:$X$12,$W$8:$W$12,H19)</f>
        <v>4.6369976712280261</v>
      </c>
      <c r="J19">
        <f>I19/(2/0.2)*3</f>
        <v>1.3910993013684076</v>
      </c>
      <c r="K19">
        <v>0.1594012828691026</v>
      </c>
      <c r="L19" s="1">
        <f t="shared" si="0"/>
        <v>8.7270270121398763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2.37</v>
      </c>
      <c r="G20">
        <v>23006</v>
      </c>
      <c r="H20">
        <v>23006.440999999999</v>
      </c>
      <c r="I20" cm="1">
        <f t="array" ref="I20">TREND($X$8:$X$12,$W$8:$W$12,H20)</f>
        <v>9.1011007354619426</v>
      </c>
      <c r="J20">
        <f>I20/(2/0.2)*3</f>
        <v>2.7303302206385824</v>
      </c>
      <c r="K20">
        <v>0.14491144298368897</v>
      </c>
      <c r="L20" s="1">
        <f t="shared" si="0"/>
        <v>18.841370732509404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2.37</v>
      </c>
      <c r="G21">
        <v>12766</v>
      </c>
      <c r="H21">
        <v>12765.505999999999</v>
      </c>
      <c r="I21" cm="1">
        <f t="array" ref="I21">TREND($X$8:$X$12,$W$8:$W$12,H21)</f>
        <v>5.2065841320472419</v>
      </c>
      <c r="J21">
        <f>I21/(2/0.2)*3</f>
        <v>1.5619752396141724</v>
      </c>
      <c r="K21">
        <v>0.24553533107683917</v>
      </c>
      <c r="L21" s="1">
        <f t="shared" si="0"/>
        <v>6.3615090861419015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2.37</v>
      </c>
      <c r="G22">
        <v>12716</v>
      </c>
      <c r="H22">
        <v>12715.754000000001</v>
      </c>
      <c r="I22" cm="1">
        <f t="array" ref="I22">TREND($X$8:$X$12,$W$8:$W$12,H22)</f>
        <v>5.1876639855905875</v>
      </c>
      <c r="J22">
        <f>I22/(2/0.2)*3</f>
        <v>1.5562991956771761</v>
      </c>
      <c r="K22">
        <v>0.3002747261995129</v>
      </c>
      <c r="L22" s="1">
        <f t="shared" si="0"/>
        <v>5.1829177079762525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2.37</v>
      </c>
      <c r="G23">
        <v>6375</v>
      </c>
      <c r="H23">
        <v>6374.835</v>
      </c>
      <c r="I23" cm="1">
        <f t="array" ref="I23">TREND($X$8:$X$12,$W$8:$W$12,H23)</f>
        <v>2.7762812039981117</v>
      </c>
      <c r="J23">
        <f>I23/(2/0.2)*3</f>
        <v>0.83288436119943343</v>
      </c>
      <c r="K23">
        <v>0.17147614944028067</v>
      </c>
      <c r="L23" s="1">
        <f t="shared" si="0"/>
        <v>4.8571440629969294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2.37</v>
      </c>
      <c r="G24">
        <v>11387</v>
      </c>
      <c r="H24">
        <v>11386.504999999999</v>
      </c>
      <c r="I24" cm="1">
        <f t="array" ref="I24">TREND($X$8:$X$12,$W$8:$W$12,H24)</f>
        <v>4.6821649954522462</v>
      </c>
      <c r="J24">
        <f>I24/(2/0.2)*3</f>
        <v>1.4046494986356737</v>
      </c>
      <c r="K24">
        <v>0.18113604269722305</v>
      </c>
      <c r="L24" s="1">
        <f t="shared" si="0"/>
        <v>7.7546659279931811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2.36</v>
      </c>
      <c r="G25">
        <v>12363</v>
      </c>
      <c r="H25">
        <v>12363.165000000001</v>
      </c>
      <c r="I25" cm="1">
        <f t="array" ref="I25">TREND($X$8:$X$12,$W$8:$W$12,H25)</f>
        <v>5.0535782097623665</v>
      </c>
      <c r="J25">
        <f>I25/(2/0.2)*3</f>
        <v>1.5160734629287098</v>
      </c>
      <c r="K25">
        <v>8.2927127918308433E-2</v>
      </c>
      <c r="L25" s="1">
        <f t="shared" si="0"/>
        <v>18.281996506887285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2.36</v>
      </c>
      <c r="G26">
        <v>21098</v>
      </c>
      <c r="H26">
        <v>21098.085999999999</v>
      </c>
      <c r="I26" cm="1">
        <f t="array" ref="I26">TREND($X$8:$X$12,$W$8:$W$12,H26)</f>
        <v>8.3753740090732425</v>
      </c>
      <c r="J26">
        <f>I26/(2/0.2)*3</f>
        <v>2.5126122027219724</v>
      </c>
      <c r="K26">
        <v>0.11593176321286171</v>
      </c>
      <c r="L26" s="1">
        <f t="shared" si="0"/>
        <v>21.673199243149423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2.37</v>
      </c>
      <c r="G27">
        <v>16704</v>
      </c>
      <c r="H27">
        <v>16703.598000000002</v>
      </c>
      <c r="I27" cm="1">
        <f t="array" ref="I27">TREND($X$8:$X$12,$W$8:$W$12,H27)</f>
        <v>6.7041978440544581</v>
      </c>
      <c r="J27">
        <f>I27/(2/0.2)*3</f>
        <v>2.0112593532163374</v>
      </c>
      <c r="K27">
        <v>0.17469611385926145</v>
      </c>
      <c r="L27" s="1">
        <f t="shared" si="0"/>
        <v>11.512902655846407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2.37</v>
      </c>
      <c r="G28">
        <v>11910</v>
      </c>
      <c r="H28">
        <v>11909.683999999999</v>
      </c>
      <c r="I28" cm="1">
        <f t="array" ref="I28">TREND($X$8:$X$12,$W$8:$W$12,H28)</f>
        <v>4.8811242996620567</v>
      </c>
      <c r="J28">
        <f>I28/(2/0.2)*3</f>
        <v>1.4643372898986171</v>
      </c>
      <c r="K28">
        <v>0.17952606048773259</v>
      </c>
      <c r="L28" s="1">
        <f t="shared" si="0"/>
        <v>8.1566836921633357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2.37</v>
      </c>
      <c r="G29">
        <v>18967</v>
      </c>
      <c r="H29">
        <v>18966.870999999999</v>
      </c>
      <c r="I29" cm="1">
        <f t="array" ref="I29">TREND($X$8:$X$12,$W$8:$W$12,H29)</f>
        <v>7.5648960397328979</v>
      </c>
      <c r="J29">
        <f>I29/(2/0.2)*3</f>
        <v>2.2694688119198694</v>
      </c>
      <c r="K29">
        <v>0.19723586479212707</v>
      </c>
      <c r="L29" s="1">
        <f t="shared" si="0"/>
        <v>11.506369869961187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2.36</v>
      </c>
      <c r="G30">
        <v>37196</v>
      </c>
      <c r="H30">
        <v>37196.105000000003</v>
      </c>
      <c r="I30" cm="1">
        <f t="array" ref="I30">TREND($X$8:$X$12,$W$8:$W$12,H30)</f>
        <v>14.497276186714769</v>
      </c>
      <c r="J30">
        <f>I30/(2/0.2)*3</f>
        <v>4.3491828560144308</v>
      </c>
      <c r="K30">
        <v>0.28417490410460888</v>
      </c>
      <c r="L30" s="1">
        <f t="shared" si="0"/>
        <v>15.30459865806248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2.36</v>
      </c>
      <c r="G31">
        <v>17098</v>
      </c>
      <c r="H31">
        <v>17098.351999999999</v>
      </c>
      <c r="I31" cm="1">
        <f t="array" ref="I31">TREND($X$8:$X$12,$W$8:$W$12,H31)</f>
        <v>6.854318512456743</v>
      </c>
      <c r="J31">
        <f>I31/(2/0.2)*3</f>
        <v>2.0562955537370229</v>
      </c>
      <c r="K31">
        <v>0.17872106938298743</v>
      </c>
      <c r="L31" s="1">
        <f t="shared" si="0"/>
        <v>11.505613528590283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2.37</v>
      </c>
      <c r="G32">
        <v>27988</v>
      </c>
      <c r="H32">
        <v>27987.811000000002</v>
      </c>
      <c r="I32" cm="1">
        <f t="array" ref="I32">TREND($X$8:$X$12,$W$8:$W$12,H32)</f>
        <v>10.995461765265558</v>
      </c>
      <c r="J32">
        <f>I32/(2/0.2)*3</f>
        <v>3.2986385295796672</v>
      </c>
      <c r="K32">
        <v>0.19884584700161748</v>
      </c>
      <c r="L32" s="1">
        <f t="shared" si="0"/>
        <v>16.588923426461278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2.37</v>
      </c>
      <c r="G33">
        <v>13468</v>
      </c>
      <c r="H33">
        <v>13468.271000000001</v>
      </c>
      <c r="I33" cm="1">
        <f t="array" ref="I33">TREND($X$8:$X$12,$W$8:$W$12,H33)</f>
        <v>5.4738380459524407</v>
      </c>
      <c r="J33">
        <f>I33/(2/0.2)*3</f>
        <v>1.642151413785732</v>
      </c>
      <c r="K33">
        <v>0.17469611385926145</v>
      </c>
      <c r="L33" s="1">
        <f t="shared" si="0"/>
        <v>9.4000454704372007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2.36</v>
      </c>
      <c r="G34">
        <v>22314</v>
      </c>
      <c r="H34">
        <v>22313.643</v>
      </c>
      <c r="I34" cm="1">
        <f t="array" ref="I34">TREND($X$8:$X$12,$W$8:$W$12,H34)</f>
        <v>8.8376371636481874</v>
      </c>
      <c r="J34">
        <f>I34/(2/0.2)*3</f>
        <v>2.6512911490944564</v>
      </c>
      <c r="K34">
        <v>0.24875529549582001</v>
      </c>
      <c r="L34" s="1">
        <f t="shared" si="0"/>
        <v>10.658229983847752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2.36</v>
      </c>
      <c r="G35">
        <v>15206</v>
      </c>
      <c r="H35">
        <v>15206.26</v>
      </c>
      <c r="I35" cm="1">
        <f t="array" ref="I35">TREND($X$8:$X$12,$W$8:$W$12,H35)</f>
        <v>6.1347764287321489</v>
      </c>
      <c r="J35">
        <f>I35/(2/0.2)*3</f>
        <v>1.8404329286196448</v>
      </c>
      <c r="K35">
        <v>0.18274602490671343</v>
      </c>
      <c r="L35" s="1">
        <f t="shared" si="0"/>
        <v>10.070987478710592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2.36</v>
      </c>
      <c r="G36">
        <v>35049</v>
      </c>
      <c r="H36">
        <v>35048.637000000002</v>
      </c>
      <c r="I36" cm="1">
        <f t="array" ref="I36">TREND($X$8:$X$12,$W$8:$W$12,H36)</f>
        <v>13.680617377601953</v>
      </c>
      <c r="J36">
        <f>I36/(2/0.2)*3</f>
        <v>4.1041852132805863</v>
      </c>
      <c r="K36">
        <v>0.18113604269722305</v>
      </c>
      <c r="L36" s="1">
        <f t="shared" si="0"/>
        <v>22.658026266704493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2.36</v>
      </c>
      <c r="G37">
        <v>18587</v>
      </c>
      <c r="H37">
        <v>18587.463</v>
      </c>
      <c r="I37" cm="1">
        <f t="array" ref="I37">TREND($X$8:$X$12,$W$8:$W$12,H37)</f>
        <v>7.4206112888318954</v>
      </c>
      <c r="J37">
        <f>I37/(2/0.2)*3</f>
        <v>2.2261833866495686</v>
      </c>
      <c r="K37">
        <v>0.12156670094607813</v>
      </c>
      <c r="L37" s="1">
        <f t="shared" si="0"/>
        <v>18.312443862707187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2.37</v>
      </c>
      <c r="G38">
        <v>28458</v>
      </c>
      <c r="H38">
        <v>28458.013999999999</v>
      </c>
      <c r="I38" cm="1">
        <f t="array" ref="I38">TREND($X$8:$X$12,$W$8:$W$12,H38)</f>
        <v>11.174274870755966</v>
      </c>
      <c r="J38">
        <f>I38/(2/0.2)*3</f>
        <v>3.3522824612267894</v>
      </c>
      <c r="K38">
        <v>8.8562065651524843E-2</v>
      </c>
      <c r="L38" s="1">
        <f t="shared" si="0"/>
        <v>37.852351755405003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2.37</v>
      </c>
      <c r="G39">
        <v>23402</v>
      </c>
      <c r="H39">
        <v>23402.383000000002</v>
      </c>
      <c r="I39" cm="1">
        <f t="array" ref="I39">TREND($X$8:$X$12,$W$8:$W$12,H39)</f>
        <v>9.2516731873903293</v>
      </c>
      <c r="J39">
        <f>I39/(2/0.2)*3</f>
        <v>2.7755019562170986</v>
      </c>
      <c r="K39">
        <v>0.13766652304098212</v>
      </c>
      <c r="L39" s="1">
        <f t="shared" si="0"/>
        <v>20.161052192702332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2.36</v>
      </c>
      <c r="G40">
        <v>14407</v>
      </c>
      <c r="H40">
        <v>14406.668</v>
      </c>
      <c r="I40" cm="1">
        <f t="array" ref="I40">TREND($X$8:$X$12,$W$8:$W$12,H40)</f>
        <v>5.8307002560040173</v>
      </c>
      <c r="J40">
        <f>I40/(2/0.2)*3</f>
        <v>1.7492100768012053</v>
      </c>
      <c r="K40">
        <v>8.2122136813563229E-2</v>
      </c>
      <c r="L40" s="1">
        <f t="shared" si="0"/>
        <v>21.300104267529328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2.36</v>
      </c>
      <c r="G41">
        <v>12238</v>
      </c>
      <c r="H41">
        <v>12237.643</v>
      </c>
      <c r="I41" cm="1">
        <f t="array" ref="I41">TREND($X$8:$X$12,$W$8:$W$12,H41)</f>
        <v>5.0058435533961436</v>
      </c>
      <c r="J41">
        <f>I41/(2/0.2)*3</f>
        <v>1.501753066018843</v>
      </c>
      <c r="K41">
        <v>0.10224691443219328</v>
      </c>
      <c r="L41" s="1">
        <f t="shared" si="0"/>
        <v>14.687514771066811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2.37</v>
      </c>
      <c r="G42">
        <v>29304</v>
      </c>
      <c r="H42">
        <v>29304.405999999999</v>
      </c>
      <c r="I42" cm="1">
        <f t="array" ref="I42">TREND($X$8:$X$12,$W$8:$W$12,H42)</f>
        <v>11.496148576330443</v>
      </c>
      <c r="J42">
        <f>I42/(2/0.2)*3</f>
        <v>3.4488445728991328</v>
      </c>
      <c r="K42">
        <v>0.12639664757454935</v>
      </c>
      <c r="L42" s="1">
        <f t="shared" si="0"/>
        <v>27.285886446196983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2.36</v>
      </c>
      <c r="G43">
        <v>9600</v>
      </c>
      <c r="H43">
        <v>9599.5</v>
      </c>
      <c r="I43" cm="1">
        <f t="array" ref="I43">TREND($X$8:$X$12,$W$8:$W$12,H43)</f>
        <v>4.0025863590401336</v>
      </c>
      <c r="J43">
        <f>I43/(2/0.2)*3</f>
        <v>1.2007759077120399</v>
      </c>
      <c r="K43">
        <v>0.15054638071690538</v>
      </c>
      <c r="L43" s="1">
        <f t="shared" si="0"/>
        <v>7.9761193991772972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2.37</v>
      </c>
      <c r="G44">
        <v>12182</v>
      </c>
      <c r="H44">
        <v>12182.17</v>
      </c>
      <c r="I44" cm="1">
        <f t="array" ref="I44">TREND($X$8:$X$12,$W$8:$W$12,H44)</f>
        <v>4.984747772635771</v>
      </c>
      <c r="J44">
        <f>I44/(2/0.2)*3</f>
        <v>1.4954243317907312</v>
      </c>
      <c r="K44">
        <v>0.14893639850741497</v>
      </c>
      <c r="L44" s="1">
        <f t="shared" si="0"/>
        <v>10.040690837010402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2.36</v>
      </c>
      <c r="G45">
        <v>12935</v>
      </c>
      <c r="H45">
        <v>12934.564</v>
      </c>
      <c r="I45" cm="1">
        <f t="array" ref="I45">TREND($X$8:$X$12,$W$8:$W$12,H45)</f>
        <v>5.270875057430529</v>
      </c>
      <c r="J45">
        <f>I45/(2/0.2)*3</f>
        <v>1.5812625172291586</v>
      </c>
      <c r="K45">
        <v>4.0262599366812736E-2</v>
      </c>
      <c r="L45" s="1">
        <f t="shared" si="0"/>
        <v>39.273731505088719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2.36</v>
      </c>
      <c r="G46">
        <v>11362</v>
      </c>
      <c r="H46">
        <v>11362.358</v>
      </c>
      <c r="I46" cm="1">
        <f t="array" ref="I46">TREND($X$8:$X$12,$W$8:$W$12,H46)</f>
        <v>4.6729821530240256</v>
      </c>
      <c r="J46">
        <f>I46/(2/0.2)*3</f>
        <v>1.4018946459072077</v>
      </c>
      <c r="K46">
        <v>0.11351678989862611</v>
      </c>
      <c r="L46" s="1">
        <f t="shared" si="0"/>
        <v>12.349667808252343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2.36</v>
      </c>
      <c r="G47">
        <v>11873</v>
      </c>
      <c r="H47">
        <v>11873.453</v>
      </c>
      <c r="I47" cm="1">
        <f t="array" ref="I47">TREND($X$8:$X$12,$W$8:$W$12,H47)</f>
        <v>4.8673460429835096</v>
      </c>
      <c r="J47">
        <f>I47/(2/0.2)*3</f>
        <v>1.460203812895053</v>
      </c>
      <c r="K47">
        <v>0.10144192332744809</v>
      </c>
      <c r="L47" s="1">
        <f t="shared" si="0"/>
        <v>14.394480753106462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2.36</v>
      </c>
      <c r="G48">
        <v>12215</v>
      </c>
      <c r="H48">
        <v>12214.869000000001</v>
      </c>
      <c r="I48" cm="1">
        <f t="array" ref="I48">TREND($X$8:$X$12,$W$8:$W$12,H48)</f>
        <v>4.9971828479892482</v>
      </c>
      <c r="J48">
        <f>I48/(2/0.2)*3</f>
        <v>1.4991548543967745</v>
      </c>
      <c r="K48">
        <v>8.3732119023053622E-2</v>
      </c>
      <c r="L48" s="1">
        <f t="shared" si="0"/>
        <v>17.904179087884046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2.36</v>
      </c>
      <c r="G49">
        <v>11486</v>
      </c>
      <c r="H49">
        <v>11485.695</v>
      </c>
      <c r="I49" cm="1">
        <f t="array" ref="I49">TREND($X$8:$X$12,$W$8:$W$12,H49)</f>
        <v>4.7198858775682551</v>
      </c>
      <c r="J49">
        <f>I49/(2/0.2)*3</f>
        <v>1.4159657632704765</v>
      </c>
      <c r="K49">
        <v>0.22299558014397355</v>
      </c>
      <c r="L49" s="1">
        <f t="shared" si="0"/>
        <v>6.3497481087126513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2.36</v>
      </c>
      <c r="G50">
        <v>14240</v>
      </c>
      <c r="H50">
        <v>14239.766</v>
      </c>
      <c r="I50" cm="1">
        <f t="array" ref="I50">TREND($X$8:$X$12,$W$8:$W$12,H50)</f>
        <v>5.7672292340569866</v>
      </c>
      <c r="J50">
        <f>I50/(2/0.2)*3</f>
        <v>1.7301687702170958</v>
      </c>
      <c r="K50">
        <v>0.1175417454223521</v>
      </c>
      <c r="L50" s="1">
        <f t="shared" si="0"/>
        <v>14.719611011392056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2.37</v>
      </c>
      <c r="G51">
        <v>12582</v>
      </c>
      <c r="H51">
        <v>12582.067999999999</v>
      </c>
      <c r="I51" cm="1">
        <f t="array" ref="I51">TREND($X$8:$X$12,$W$8:$W$12,H51)</f>
        <v>5.1368246484945015</v>
      </c>
      <c r="J51">
        <f>I51/(2/0.2)*3</f>
        <v>1.5410473945483503</v>
      </c>
      <c r="K51">
        <v>0.11351678989862611</v>
      </c>
      <c r="L51" s="1">
        <f t="shared" si="0"/>
        <v>13.575501878837057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2.36</v>
      </c>
      <c r="G52">
        <v>8985</v>
      </c>
      <c r="H52">
        <v>8984.6239999999998</v>
      </c>
      <c r="I52" cm="1">
        <f t="array" ref="I52">TREND($X$8:$X$12,$W$8:$W$12,H52)</f>
        <v>3.7687556794155461</v>
      </c>
      <c r="J52">
        <f>I52/(2/0.2)*3</f>
        <v>1.1306267038246638</v>
      </c>
      <c r="K52">
        <v>8.4537110127798853E-2</v>
      </c>
      <c r="L52" s="1">
        <f t="shared" si="0"/>
        <v>13.374324034917215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2.37</v>
      </c>
      <c r="G53">
        <v>22419</v>
      </c>
      <c r="H53">
        <v>22419.460999999999</v>
      </c>
      <c r="I53" cm="1">
        <f t="array" ref="I53">TREND($X$8:$X$12,$W$8:$W$12,H53)</f>
        <v>8.8778786023391021</v>
      </c>
      <c r="J53">
        <f>I53/(2/0.2)*3</f>
        <v>2.6633635807017306</v>
      </c>
      <c r="K53">
        <v>0.1078818521654097</v>
      </c>
      <c r="L53" s="1">
        <f t="shared" si="0"/>
        <v>24.687781376038409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2.37</v>
      </c>
      <c r="G54">
        <v>12972</v>
      </c>
      <c r="H54">
        <v>12971.94</v>
      </c>
      <c r="I54" cm="1">
        <f t="array" ref="I54">TREND($X$8:$X$12,$W$8:$W$12,H54)</f>
        <v>5.2850887452011497</v>
      </c>
      <c r="J54">
        <f>I54/(2/0.2)*3</f>
        <v>1.5855266235603449</v>
      </c>
      <c r="K54">
        <v>0.14813140740266978</v>
      </c>
      <c r="L54" s="1">
        <f t="shared" si="0"/>
        <v>10.703514206479948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2.36</v>
      </c>
      <c r="G55">
        <v>24361</v>
      </c>
      <c r="H55">
        <v>24360.773000000001</v>
      </c>
      <c r="I55" cm="1">
        <f t="array" ref="I55">TREND($X$8:$X$12,$W$8:$W$12,H55)</f>
        <v>9.6161385186854318</v>
      </c>
      <c r="J55">
        <f>I55/(2/0.2)*3</f>
        <v>2.8848415556056297</v>
      </c>
      <c r="K55">
        <v>6.6022314718659172E-2</v>
      </c>
      <c r="L55" s="1">
        <f t="shared" si="0"/>
        <v>43.694947199273493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2.36</v>
      </c>
      <c r="G56">
        <v>20177</v>
      </c>
      <c r="H56">
        <v>20176.758000000002</v>
      </c>
      <c r="I56" cm="1">
        <f t="array" ref="I56">TREND($X$8:$X$12,$W$8:$W$12,H56)</f>
        <v>8.0250029547514607</v>
      </c>
      <c r="J56">
        <f>I56/(2/0.2)*3</f>
        <v>2.4075008864254386</v>
      </c>
      <c r="K56">
        <v>0.22621554456295434</v>
      </c>
      <c r="L56" s="1">
        <f t="shared" si="0"/>
        <v>10.64250863518995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2.36</v>
      </c>
      <c r="G57">
        <v>22542</v>
      </c>
      <c r="H57">
        <v>22542.273000000001</v>
      </c>
      <c r="I57" cm="1">
        <f t="array" ref="I57">TREND($X$8:$X$12,$W$8:$W$12,H57)</f>
        <v>8.9245826750725552</v>
      </c>
      <c r="J57">
        <f>I57/(2/0.2)*3</f>
        <v>2.6773748025217667</v>
      </c>
      <c r="K57">
        <v>0.21897062462024752</v>
      </c>
      <c r="L57" s="1">
        <f t="shared" si="0"/>
        <v>12.227095790428677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2.36</v>
      </c>
      <c r="G58">
        <v>54427</v>
      </c>
      <c r="H58">
        <v>54427.063000000002</v>
      </c>
      <c r="I58" cm="1">
        <f t="array" ref="I58">TREND($X$8:$X$12,$W$8:$W$12,H58)</f>
        <v>21.050022788830823</v>
      </c>
      <c r="J58">
        <f>I58/(2/0.2)*3</f>
        <v>6.3150068366492462</v>
      </c>
      <c r="K58">
        <v>0.11271179879388092</v>
      </c>
      <c r="L58" s="1">
        <f t="shared" si="0"/>
        <v>56.027912820357592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2.37</v>
      </c>
      <c r="G59">
        <v>28498</v>
      </c>
      <c r="H59">
        <v>28498.379000000001</v>
      </c>
      <c r="I59" cm="1">
        <f t="array" ref="I59">TREND($X$8:$X$12,$W$8:$W$12,H59)</f>
        <v>11.189625242835939</v>
      </c>
      <c r="J59">
        <f>I59/(2/0.2)*3</f>
        <v>3.3568875728507814</v>
      </c>
      <c r="K59">
        <v>9.1782030070505644E-2</v>
      </c>
      <c r="L59" s="1">
        <f t="shared" si="0"/>
        <v>36.574562256599343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2.36</v>
      </c>
      <c r="G60">
        <v>12037</v>
      </c>
      <c r="H60">
        <v>12036.904</v>
      </c>
      <c r="I60" cm="1">
        <f t="array" ref="I60">TREND($X$8:$X$12,$W$8:$W$12,H60)</f>
        <v>4.9295046870277055</v>
      </c>
      <c r="J60">
        <f>I60/(2/0.2)*3</f>
        <v>1.4788514061083116</v>
      </c>
      <c r="K60">
        <v>0.16584121170706426</v>
      </c>
      <c r="L60" s="1">
        <f t="shared" si="0"/>
        <v>8.9172732813873772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2.37</v>
      </c>
      <c r="G61">
        <v>13267</v>
      </c>
      <c r="H61">
        <v>13267.041999999999</v>
      </c>
      <c r="I61" cm="1">
        <f t="array" ref="I61">TREND($X$8:$X$12,$W$8:$W$12,H61)</f>
        <v>5.3973128378939439</v>
      </c>
      <c r="J61">
        <f>I61/(2/0.2)*3</f>
        <v>1.6191938513681832</v>
      </c>
      <c r="K61">
        <v>0.20850574025855992</v>
      </c>
      <c r="L61" s="1">
        <f t="shared" si="0"/>
        <v>7.7657039530915712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2.36</v>
      </c>
      <c r="G62">
        <v>10397</v>
      </c>
      <c r="H62">
        <v>10397.459000000001</v>
      </c>
      <c r="I62" cm="1">
        <f t="array" ref="I62">TREND($X$8:$X$12,$W$8:$W$12,H62)</f>
        <v>4.3060415195644595</v>
      </c>
      <c r="J62">
        <f>I62/(2/0.2)*3</f>
        <v>1.291812455869338</v>
      </c>
      <c r="K62">
        <v>0.15457133624063138</v>
      </c>
      <c r="L62" s="1">
        <f t="shared" si="0"/>
        <v>8.3573868693111937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2.36</v>
      </c>
      <c r="G63">
        <v>32534</v>
      </c>
      <c r="H63">
        <v>32534.467000000001</v>
      </c>
      <c r="I63" cm="1">
        <f t="array" ref="I63">TREND($X$8:$X$12,$W$8:$W$12,H63)</f>
        <v>12.724505771698082</v>
      </c>
      <c r="J63">
        <f>I63/(2/0.2)*3</f>
        <v>3.817351731509425</v>
      </c>
      <c r="K63">
        <v>0.22863051787718996</v>
      </c>
      <c r="L63" s="1">
        <f t="shared" si="0"/>
        <v>16.696597492553181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2.36</v>
      </c>
      <c r="G64">
        <v>10405</v>
      </c>
      <c r="H64">
        <v>10405.052</v>
      </c>
      <c r="I64" cm="1">
        <f t="array" ref="I64">TREND($X$8:$X$12,$W$8:$W$12,H64)</f>
        <v>4.3089290551820305</v>
      </c>
      <c r="J64">
        <f>I64/(2/0.2)*3</f>
        <v>1.292678716554609</v>
      </c>
      <c r="K64">
        <v>0.19079593595416544</v>
      </c>
      <c r="L64" s="1">
        <f t="shared" si="0"/>
        <v>6.7751899960025712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2.36</v>
      </c>
      <c r="G65">
        <v>10722</v>
      </c>
      <c r="H65">
        <v>10722.474</v>
      </c>
      <c r="I65" cm="1">
        <f t="array" ref="I65">TREND($X$8:$X$12,$W$8:$W$12,H65)</f>
        <v>4.4296412020015445</v>
      </c>
      <c r="J65">
        <f>I65/(2/0.2)*3</f>
        <v>1.3288923606004635</v>
      </c>
      <c r="K65">
        <v>0.13122659420302052</v>
      </c>
      <c r="L65" s="1">
        <f t="shared" si="0"/>
        <v>10.126700069229379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2.36</v>
      </c>
      <c r="G66">
        <v>18693</v>
      </c>
      <c r="H66">
        <v>18692.557000000001</v>
      </c>
      <c r="I66" cm="1">
        <f t="array" ref="I66">TREND($X$8:$X$12,$W$8:$W$12,H66)</f>
        <v>7.4605773981685202</v>
      </c>
      <c r="J66">
        <f>I66/(2/0.2)*3</f>
        <v>2.2381732194505561</v>
      </c>
      <c r="K66">
        <v>0.13927650525047255</v>
      </c>
      <c r="L66" s="1">
        <f t="shared" si="0"/>
        <v>16.069998420950199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2.36</v>
      </c>
      <c r="G67">
        <v>11097</v>
      </c>
      <c r="H67">
        <v>11096.671</v>
      </c>
      <c r="I67" cm="1">
        <f t="array" ref="I67">TREND($X$8:$X$12,$W$8:$W$12,H67)</f>
        <v>4.5719442660721565</v>
      </c>
      <c r="J67">
        <f>I67/(2/0.2)*3</f>
        <v>1.371583279821647</v>
      </c>
      <c r="K67">
        <v>9.7416967803722054E-2</v>
      </c>
      <c r="L67" s="1">
        <f t="shared" si="0"/>
        <v>14.079511103087755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2.36</v>
      </c>
      <c r="G68">
        <v>12023</v>
      </c>
      <c r="H68">
        <v>12023.418</v>
      </c>
      <c r="I68" cm="1">
        <f t="array" ref="I68">TREND($X$8:$X$12,$W$8:$W$12,H68)</f>
        <v>4.9243761073703149</v>
      </c>
      <c r="J68">
        <f>I68/(2/0.2)*3</f>
        <v>1.4773128322110947</v>
      </c>
      <c r="K68">
        <v>7.4877216870856411E-2</v>
      </c>
      <c r="L68" s="1">
        <f t="shared" si="0"/>
        <v>19.72980425753634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2.36</v>
      </c>
      <c r="G69">
        <v>19245</v>
      </c>
      <c r="H69">
        <v>19244.758000000002</v>
      </c>
      <c r="I69" cm="1">
        <f t="array" ref="I69">TREND($X$8:$X$12,$W$8:$W$12,H69)</f>
        <v>7.6705734544780473</v>
      </c>
      <c r="J69">
        <f>I69/(2/0.2)*3</f>
        <v>2.3011720363434138</v>
      </c>
      <c r="K69">
        <v>0.14491144298368897</v>
      </c>
      <c r="L69" s="1">
        <f t="shared" si="0"/>
        <v>15.879850403549089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2.36</v>
      </c>
      <c r="G70">
        <v>11617</v>
      </c>
      <c r="H70">
        <v>11617.450999999999</v>
      </c>
      <c r="I70" cm="1">
        <f t="array" ref="I70">TREND($X$8:$X$12,$W$8:$W$12,H70)</f>
        <v>4.7699912565790097</v>
      </c>
      <c r="J70">
        <f>I70/(2/0.2)*3</f>
        <v>1.430997376973703</v>
      </c>
      <c r="K70">
        <v>0.14571643408843418</v>
      </c>
      <c r="L70" s="1">
        <f t="shared" si="0"/>
        <v>9.8204254442930008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2.36</v>
      </c>
      <c r="G71">
        <v>10139</v>
      </c>
      <c r="H71">
        <v>10139.049999999999</v>
      </c>
      <c r="I71" cm="1">
        <f t="array" ref="I71">TREND($X$8:$X$12,$W$8:$W$12,H71)</f>
        <v>4.2077713771436951</v>
      </c>
      <c r="J71">
        <f>I71/(2/0.2)*3</f>
        <v>1.2623314131431087</v>
      </c>
      <c r="K71">
        <v>0.26405012648597881</v>
      </c>
      <c r="L71" s="1">
        <f t="shared" si="0"/>
        <v>4.7806506663807227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2.36</v>
      </c>
      <c r="G72">
        <v>6626</v>
      </c>
      <c r="H72">
        <v>6626.4319999999998</v>
      </c>
      <c r="I72" cm="1">
        <f t="array" ref="I72">TREND($X$8:$X$12,$W$8:$W$12,H72)</f>
        <v>2.8719608166379076</v>
      </c>
      <c r="J72">
        <f>I72/(2/0.2)*3</f>
        <v>0.86158824499137221</v>
      </c>
      <c r="K72">
        <v>0.17469611385926145</v>
      </c>
      <c r="L72" s="1">
        <f t="shared" si="0"/>
        <v>4.9319256505355593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2.36</v>
      </c>
      <c r="G73">
        <v>4134</v>
      </c>
      <c r="H73">
        <v>4133.8950000000004</v>
      </c>
      <c r="I73" cm="1">
        <f t="array" ref="I73">TREND($X$8:$X$12,$W$8:$W$12,H73)</f>
        <v>1.924076006205514</v>
      </c>
      <c r="J73">
        <f>I73/(2/0.2)*3</f>
        <v>0.5772228018616542</v>
      </c>
      <c r="K73">
        <v>0.1175417454223521</v>
      </c>
      <c r="L73" s="1">
        <f t="shared" ref="L73" si="1">J73/K73</f>
        <v>4.9107897776026022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BAF-069A-4136-8510-4C7484BF89F6}">
  <dimension ref="A1:AB74"/>
  <sheetViews>
    <sheetView topLeftCell="A2" workbookViewId="0">
      <selection activeCell="N18" sqref="N18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241</v>
      </c>
      <c r="P3" t="s">
        <v>95</v>
      </c>
    </row>
    <row r="5" spans="1:28" x14ac:dyDescent="0.3">
      <c r="A5" t="s">
        <v>65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2.61</v>
      </c>
      <c r="G8">
        <v>6121</v>
      </c>
      <c r="H8">
        <v>6120.8050000000003</v>
      </c>
      <c r="I8" cm="1">
        <f t="array" ref="I8">TREND($X$8:$X$12,$W$8:$W$12,H8)</f>
        <v>2.6796763478238037</v>
      </c>
      <c r="J8">
        <f>I8/(2/0.2)*3</f>
        <v>0.80390290434714118</v>
      </c>
      <c r="K8">
        <v>0.14813140740266978</v>
      </c>
      <c r="L8" s="1">
        <f>J8/K8</f>
        <v>5.4269578507538867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2.61</v>
      </c>
      <c r="G9">
        <v>5789</v>
      </c>
      <c r="H9">
        <v>5789.223</v>
      </c>
      <c r="I9" cm="1">
        <f t="array" ref="I9">TREND($X$8:$X$12,$W$8:$W$12,H9)</f>
        <v>2.5535793064507795</v>
      </c>
      <c r="J9">
        <f>I9/(2/0.2)*3</f>
        <v>0.76607379193523384</v>
      </c>
      <c r="K9">
        <v>0.11673675431760691</v>
      </c>
      <c r="L9" s="1">
        <f t="shared" ref="L9:L72" si="0">J9/K9</f>
        <v>6.5624044150736696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2.61</v>
      </c>
      <c r="G10">
        <v>7230</v>
      </c>
      <c r="H10">
        <v>7230.0630000000001</v>
      </c>
      <c r="I10" cm="1">
        <f t="array" ref="I10">TREND($X$8:$X$12,$W$8:$W$12,H10)</f>
        <v>3.1015151446202469</v>
      </c>
      <c r="J10">
        <f>I10/(2/0.2)*3</f>
        <v>0.93045454338607414</v>
      </c>
      <c r="K10">
        <v>8.6147092337289247E-2</v>
      </c>
      <c r="L10" s="1">
        <f t="shared" si="0"/>
        <v>10.800765506316708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2.61</v>
      </c>
      <c r="G11">
        <v>9166</v>
      </c>
      <c r="H11">
        <v>9166.1290000000008</v>
      </c>
      <c r="I11" cm="1">
        <f t="array" ref="I11">TREND($X$8:$X$12,$W$8:$W$12,H11)</f>
        <v>3.8377800640154671</v>
      </c>
      <c r="J11">
        <f>I11/(2/0.2)*3</f>
        <v>1.15133401920464</v>
      </c>
      <c r="K11">
        <v>8.9367056756270047E-2</v>
      </c>
      <c r="L11" s="1">
        <f t="shared" si="0"/>
        <v>12.8832039567406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2.61</v>
      </c>
      <c r="G12">
        <v>6970</v>
      </c>
      <c r="H12">
        <v>6969.7179999999998</v>
      </c>
      <c r="I12" cm="1">
        <f t="array" ref="I12">TREND($X$8:$X$12,$W$8:$W$12,H12)</f>
        <v>3.0025087623791724</v>
      </c>
      <c r="J12">
        <f>I12/(2/0.2)*3</f>
        <v>0.90075262871375172</v>
      </c>
      <c r="K12">
        <v>9.3392012279996037E-2</v>
      </c>
      <c r="L12" s="1">
        <f t="shared" si="0"/>
        <v>9.6448572712324676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2.61</v>
      </c>
      <c r="G13">
        <v>5902</v>
      </c>
      <c r="H13">
        <v>5902.1949999999997</v>
      </c>
      <c r="I13" cm="1">
        <f t="array" ref="I13">TREND($X$8:$X$12,$W$8:$W$12,H13)</f>
        <v>2.5965413338165391</v>
      </c>
      <c r="J13">
        <f>I13/(2/0.2)*3</f>
        <v>0.77896240014496165</v>
      </c>
      <c r="K13">
        <v>0.18918595374467503</v>
      </c>
      <c r="L13" s="1">
        <f t="shared" si="0"/>
        <v>4.1174431014907569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2.61</v>
      </c>
      <c r="G14">
        <v>3666</v>
      </c>
      <c r="H14">
        <v>3666.0329999999999</v>
      </c>
      <c r="I14" cm="1">
        <f t="array" ref="I14">TREND($X$8:$X$12,$W$8:$W$12,H14)</f>
        <v>1.7461531576465874</v>
      </c>
      <c r="J14">
        <f>I14/(2/0.2)*3</f>
        <v>0.52384594729397627</v>
      </c>
      <c r="K14">
        <v>9.2587021175250833E-2</v>
      </c>
      <c r="L14" s="1">
        <f t="shared" si="0"/>
        <v>5.6578766726108256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2.61</v>
      </c>
      <c r="G15">
        <v>2851</v>
      </c>
      <c r="H15">
        <v>2850.951</v>
      </c>
      <c r="I15" cm="1">
        <f t="array" ref="I15">TREND($X$8:$X$12,$W$8:$W$12,H15)</f>
        <v>1.4361863057776456</v>
      </c>
      <c r="J15">
        <f>I15/(2/0.2)*3</f>
        <v>0.43085589173329364</v>
      </c>
      <c r="K15">
        <v>0.14974138961216016</v>
      </c>
      <c r="L15" s="1">
        <f t="shared" si="0"/>
        <v>2.8773333334840698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2.61</v>
      </c>
      <c r="G16">
        <v>15002</v>
      </c>
      <c r="H16">
        <v>15002.321</v>
      </c>
      <c r="I16" cm="1">
        <f t="array" ref="I16">TREND($X$8:$X$12,$W$8:$W$12,H16)</f>
        <v>6.0572206370408832</v>
      </c>
      <c r="J16">
        <f>I16/(2/0.2)*3</f>
        <v>1.817166191112265</v>
      </c>
      <c r="K16">
        <v>0.19965083810636269</v>
      </c>
      <c r="L16" s="1">
        <f t="shared" si="0"/>
        <v>9.10172082595607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2.61</v>
      </c>
      <c r="G17">
        <v>18375</v>
      </c>
      <c r="H17">
        <v>18375.330000000002</v>
      </c>
      <c r="I17" cm="1">
        <f t="array" ref="I17">TREND($X$8:$X$12,$W$8:$W$12,H17)</f>
        <v>7.3399394077358657</v>
      </c>
      <c r="J17">
        <f>I17/(2/0.2)*3</f>
        <v>2.2019818223207599</v>
      </c>
      <c r="K17">
        <v>0.22058060682973793</v>
      </c>
      <c r="L17" s="1">
        <f t="shared" si="0"/>
        <v>9.9826628186784738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2.61</v>
      </c>
      <c r="G18">
        <v>9176</v>
      </c>
      <c r="H18">
        <v>9176.2739999999994</v>
      </c>
      <c r="I18" cm="1">
        <f t="array" ref="I18">TREND($X$8:$X$12,$W$8:$W$12,H18)</f>
        <v>3.841638097577992</v>
      </c>
      <c r="J18">
        <f>I18/(2/0.2)*3</f>
        <v>1.1524914292733976</v>
      </c>
      <c r="K18">
        <v>0.12720163867929454</v>
      </c>
      <c r="L18" s="1">
        <f t="shared" si="0"/>
        <v>9.0603504895019586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2.61</v>
      </c>
      <c r="G19">
        <v>8060</v>
      </c>
      <c r="H19">
        <v>8059.6610000000001</v>
      </c>
      <c r="I19" cm="1">
        <f t="array" ref="I19">TREND($X$8:$X$12,$W$8:$W$12,H19)</f>
        <v>3.4170022739848633</v>
      </c>
      <c r="J19">
        <f>I19/(2/0.2)*3</f>
        <v>1.0251006821954589</v>
      </c>
      <c r="K19">
        <v>0.1594012828691026</v>
      </c>
      <c r="L19" s="1">
        <f t="shared" si="0"/>
        <v>6.4309437398772547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2.61</v>
      </c>
      <c r="G20">
        <v>11131</v>
      </c>
      <c r="H20">
        <v>11130.843000000001</v>
      </c>
      <c r="I20" cm="1">
        <f t="array" ref="I20">TREND($X$8:$X$12,$W$8:$W$12,H20)</f>
        <v>4.5849395073632966</v>
      </c>
      <c r="J20">
        <f>I20/(2/0.2)*3</f>
        <v>1.3754818522089889</v>
      </c>
      <c r="K20">
        <v>0.14491144298368897</v>
      </c>
      <c r="L20" s="1">
        <f t="shared" si="0"/>
        <v>9.4918787908544342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2.61</v>
      </c>
      <c r="G21">
        <v>13358</v>
      </c>
      <c r="H21">
        <v>13358.056</v>
      </c>
      <c r="I21" cm="1">
        <f t="array" ref="I21">TREND($X$8:$X$12,$W$8:$W$12,H21)</f>
        <v>5.4319244758101295</v>
      </c>
      <c r="J21">
        <f>I21/(2/0.2)*3</f>
        <v>1.6295773427430387</v>
      </c>
      <c r="K21">
        <v>0.24553533107683917</v>
      </c>
      <c r="L21" s="1">
        <f t="shared" si="0"/>
        <v>6.6368344449502867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2.61</v>
      </c>
      <c r="G22">
        <v>10786</v>
      </c>
      <c r="H22">
        <v>10785.784</v>
      </c>
      <c r="I22" cm="1">
        <f t="array" ref="I22">TREND($X$8:$X$12,$W$8:$W$12,H22)</f>
        <v>4.453717308935353</v>
      </c>
      <c r="J22">
        <f>I22/(2/0.2)*3</f>
        <v>1.3361151926806061</v>
      </c>
      <c r="K22">
        <v>0.3002747261995129</v>
      </c>
      <c r="L22" s="1">
        <f t="shared" si="0"/>
        <v>4.4496425309962486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2.61</v>
      </c>
      <c r="G23">
        <v>4912</v>
      </c>
      <c r="H23">
        <v>4911.75</v>
      </c>
      <c r="I23" cm="1">
        <f t="array" ref="I23">TREND($X$8:$X$12,$W$8:$W$12,H23)</f>
        <v>2.2198858333891782</v>
      </c>
      <c r="J23">
        <f>I23/(2/0.2)*3</f>
        <v>0.66596575001675351</v>
      </c>
      <c r="K23">
        <v>0.17147614944028067</v>
      </c>
      <c r="L23" s="1">
        <f t="shared" si="0"/>
        <v>3.8837223263442056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2.61</v>
      </c>
      <c r="G24">
        <v>6601</v>
      </c>
      <c r="H24">
        <v>6601.3230000000003</v>
      </c>
      <c r="I24" cm="1">
        <f t="array" ref="I24">TREND($X$8:$X$12,$W$8:$W$12,H24)</f>
        <v>2.8624121360345116</v>
      </c>
      <c r="J24">
        <f>I24/(2/0.2)*3</f>
        <v>0.85872364081035357</v>
      </c>
      <c r="K24">
        <v>0.18113604269722305</v>
      </c>
      <c r="L24" s="1">
        <f t="shared" si="0"/>
        <v>4.7407662661911427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2.61</v>
      </c>
      <c r="G25">
        <v>7778</v>
      </c>
      <c r="H25">
        <v>7778.4229999999998</v>
      </c>
      <c r="I25" cm="1">
        <f t="array" ref="I25">TREND($X$8:$X$12,$W$8:$W$12,H25)</f>
        <v>3.3100505102532174</v>
      </c>
      <c r="J25">
        <f>I25/(2/0.2)*3</f>
        <v>0.99301515307596522</v>
      </c>
      <c r="K25">
        <v>8.2927127918308433E-2</v>
      </c>
      <c r="L25" s="1">
        <f t="shared" si="0"/>
        <v>11.974551368210715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2.61</v>
      </c>
      <c r="G26">
        <v>16320</v>
      </c>
      <c r="H26">
        <v>16320.228999999999</v>
      </c>
      <c r="I26" cm="1">
        <f t="array" ref="I26">TREND($X$8:$X$12,$W$8:$W$12,H26)</f>
        <v>6.5584067677772913</v>
      </c>
      <c r="J26">
        <f>I26/(2/0.2)*3</f>
        <v>1.9675220303331875</v>
      </c>
      <c r="K26">
        <v>0.11593176321286171</v>
      </c>
      <c r="L26" s="1">
        <f t="shared" si="0"/>
        <v>16.971380196474978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2.61</v>
      </c>
      <c r="G27">
        <v>8975</v>
      </c>
      <c r="H27">
        <v>8975.4380000000001</v>
      </c>
      <c r="I27" cm="1">
        <f t="array" ref="I27">TREND($X$8:$X$12,$W$8:$W$12,H27)</f>
        <v>3.7652623431607055</v>
      </c>
      <c r="J27">
        <f>I27/(2/0.2)*3</f>
        <v>1.1295787029482116</v>
      </c>
      <c r="K27">
        <v>0.17469611385926145</v>
      </c>
      <c r="L27" s="1">
        <f t="shared" si="0"/>
        <v>6.4659635408846121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2.61</v>
      </c>
      <c r="G28">
        <v>10984</v>
      </c>
      <c r="H28">
        <v>10983.698</v>
      </c>
      <c r="I28" cm="1">
        <f t="array" ref="I28">TREND($X$8:$X$12,$W$8:$W$12,H28)</f>
        <v>4.5289818584172332</v>
      </c>
      <c r="J28">
        <f>I28/(2/0.2)*3</f>
        <v>1.3586945575251699</v>
      </c>
      <c r="K28">
        <v>0.17952606048773259</v>
      </c>
      <c r="L28" s="1">
        <f t="shared" si="0"/>
        <v>7.5682302270427888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2.61</v>
      </c>
      <c r="G29">
        <v>16566</v>
      </c>
      <c r="H29">
        <v>16566.035</v>
      </c>
      <c r="I29" cm="1">
        <f t="array" ref="I29">TREND($X$8:$X$12,$W$8:$W$12,H29)</f>
        <v>6.6518841258719341</v>
      </c>
      <c r="J29">
        <f>I29/(2/0.2)*3</f>
        <v>1.9955652377615802</v>
      </c>
      <c r="K29">
        <v>0.19723586479212707</v>
      </c>
      <c r="L29" s="1">
        <f t="shared" si="0"/>
        <v>10.117659077190488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2.61</v>
      </c>
      <c r="G30">
        <v>15593</v>
      </c>
      <c r="H30">
        <v>15593.063</v>
      </c>
      <c r="I30" cm="1">
        <f t="array" ref="I30">TREND($X$8:$X$12,$W$8:$W$12,H30)</f>
        <v>6.2818734179963736</v>
      </c>
      <c r="J30">
        <f>I30/(2/0.2)*3</f>
        <v>1.8845620253989119</v>
      </c>
      <c r="K30">
        <v>0.28417490410460888</v>
      </c>
      <c r="L30" s="1">
        <f t="shared" si="0"/>
        <v>6.6316975854601763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2.61</v>
      </c>
      <c r="G31">
        <v>12352</v>
      </c>
      <c r="H31">
        <v>12352.324000000001</v>
      </c>
      <c r="I31" cm="1">
        <f t="array" ref="I31">TREND($X$8:$X$12,$W$8:$W$12,H31)</f>
        <v>5.0494554949421255</v>
      </c>
      <c r="J31">
        <f>I31/(2/0.2)*3</f>
        <v>1.5148366484826377</v>
      </c>
      <c r="K31">
        <v>0.17872106938298743</v>
      </c>
      <c r="L31" s="1">
        <f t="shared" si="0"/>
        <v>8.475982455299901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2.61</v>
      </c>
      <c r="G32">
        <v>13453</v>
      </c>
      <c r="H32">
        <v>13452.538</v>
      </c>
      <c r="I32" cm="1">
        <f t="array" ref="I32">TREND($X$8:$X$12,$W$8:$W$12,H32)</f>
        <v>5.4678549565449286</v>
      </c>
      <c r="J32">
        <f>I32/(2/0.2)*3</f>
        <v>1.6403564869634786</v>
      </c>
      <c r="K32">
        <v>0.19884584700161748</v>
      </c>
      <c r="L32" s="1">
        <f t="shared" si="0"/>
        <v>8.2493877126341761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2.61</v>
      </c>
      <c r="G33">
        <v>8488</v>
      </c>
      <c r="H33">
        <v>8488.1039999999994</v>
      </c>
      <c r="I33" cm="1">
        <f t="array" ref="I33">TREND($X$8:$X$12,$W$8:$W$12,H33)</f>
        <v>3.5799345040123756</v>
      </c>
      <c r="J33">
        <f>I33/(2/0.2)*3</f>
        <v>1.0739803512037125</v>
      </c>
      <c r="K33">
        <v>0.17469611385926145</v>
      </c>
      <c r="L33" s="1">
        <f t="shared" si="0"/>
        <v>6.147706022063729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2.61</v>
      </c>
      <c r="G34">
        <v>18541</v>
      </c>
      <c r="H34">
        <v>18541.18</v>
      </c>
      <c r="I34" cm="1">
        <f t="array" ref="I34">TREND($X$8:$X$12,$W$8:$W$12,H34)</f>
        <v>7.4030103654830173</v>
      </c>
      <c r="J34">
        <f>I34/(2/0.2)*3</f>
        <v>2.220903109644905</v>
      </c>
      <c r="K34">
        <v>0.24875529549582001</v>
      </c>
      <c r="L34" s="1">
        <f t="shared" si="0"/>
        <v>8.9280636426983087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2.61</v>
      </c>
      <c r="G35">
        <v>11149</v>
      </c>
      <c r="H35">
        <v>11149.380999999999</v>
      </c>
      <c r="I35" cm="1">
        <f t="array" ref="I35">TREND($X$8:$X$12,$W$8:$W$12,H35)</f>
        <v>4.5919893078740994</v>
      </c>
      <c r="J35">
        <f>I35/(2/0.2)*3</f>
        <v>1.3775967923622296</v>
      </c>
      <c r="K35">
        <v>0.18274602490671343</v>
      </c>
      <c r="L35" s="1">
        <f t="shared" si="0"/>
        <v>7.5383133125081816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2.61</v>
      </c>
      <c r="G36">
        <v>18277</v>
      </c>
      <c r="H36">
        <v>18276.605</v>
      </c>
      <c r="I36" cm="1">
        <f t="array" ref="I36">TREND($X$8:$X$12,$W$8:$W$12,H36)</f>
        <v>7.3023953600808298</v>
      </c>
      <c r="J36">
        <f>I36/(2/0.2)*3</f>
        <v>2.1907186080242491</v>
      </c>
      <c r="K36">
        <v>0.18113604269722305</v>
      </c>
      <c r="L36" s="1">
        <f t="shared" si="0"/>
        <v>12.094327420446811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2.61</v>
      </c>
      <c r="G37">
        <v>15106</v>
      </c>
      <c r="H37">
        <v>15105.869000000001</v>
      </c>
      <c r="I37" cm="1">
        <f t="array" ref="I37">TREND($X$8:$X$12,$W$8:$W$12,H37)</f>
        <v>6.0965988193309171</v>
      </c>
      <c r="J37">
        <f>I37/(2/0.2)*3</f>
        <v>1.8289796457992753</v>
      </c>
      <c r="K37">
        <v>0.12156670094607813</v>
      </c>
      <c r="L37" s="1">
        <f t="shared" si="0"/>
        <v>15.045070990373702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2.61</v>
      </c>
      <c r="G38">
        <v>20363</v>
      </c>
      <c r="H38">
        <v>20363.002</v>
      </c>
      <c r="I38" cm="1">
        <f t="array" ref="I38">TREND($X$8:$X$12,$W$8:$W$12,H38)</f>
        <v>8.0958295296966547</v>
      </c>
      <c r="J38">
        <f>I38/(2/0.2)*3</f>
        <v>2.4287488589089961</v>
      </c>
      <c r="K38">
        <v>8.8562065651524843E-2</v>
      </c>
      <c r="L38" s="1">
        <f t="shared" si="0"/>
        <v>27.424257113261884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2.61</v>
      </c>
      <c r="G39">
        <v>14194</v>
      </c>
      <c r="H39">
        <v>14193.955</v>
      </c>
      <c r="I39" cm="1">
        <f t="array" ref="I39">TREND($X$8:$X$12,$W$8:$W$12,H39)</f>
        <v>5.7498078071932257</v>
      </c>
      <c r="J39">
        <f>I39/(2/0.2)*3</f>
        <v>1.7249423421579677</v>
      </c>
      <c r="K39">
        <v>0.13766652304098212</v>
      </c>
      <c r="L39" s="1">
        <f t="shared" si="0"/>
        <v>12.529860593954766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2.61</v>
      </c>
      <c r="G40">
        <v>9584</v>
      </c>
      <c r="H40">
        <v>9584.4429999999993</v>
      </c>
      <c r="I40" cm="1">
        <f t="array" ref="I40">TREND($X$8:$X$12,$W$8:$W$12,H40)</f>
        <v>3.9968603451070677</v>
      </c>
      <c r="J40">
        <f>I40/(2/0.2)*3</f>
        <v>1.1990581035321204</v>
      </c>
      <c r="K40">
        <v>8.2122136813563229E-2</v>
      </c>
      <c r="L40" s="1">
        <f t="shared" si="0"/>
        <v>14.600912129871478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2.61</v>
      </c>
      <c r="G41">
        <v>7889</v>
      </c>
      <c r="H41">
        <v>7889.3029999999999</v>
      </c>
      <c r="I41" cm="1">
        <f t="array" ref="I41">TREND($X$8:$X$12,$W$8:$W$12,H41)</f>
        <v>3.3522169726891788</v>
      </c>
      <c r="J41">
        <f>I41/(2/0.2)*3</f>
        <v>1.0056650918067536</v>
      </c>
      <c r="K41">
        <v>0.10224691443219328</v>
      </c>
      <c r="L41" s="1">
        <f t="shared" si="0"/>
        <v>9.8356522286418429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2.61</v>
      </c>
      <c r="G42">
        <v>19761</v>
      </c>
      <c r="H42">
        <v>19761.259999999998</v>
      </c>
      <c r="I42" cm="1">
        <f t="array" ref="I42">TREND($X$8:$X$12,$W$8:$W$12,H42)</f>
        <v>7.8669935679439451</v>
      </c>
      <c r="J42">
        <f>I42/(2/0.2)*3</f>
        <v>2.3600980703831835</v>
      </c>
      <c r="K42">
        <v>0.12639664757454935</v>
      </c>
      <c r="L42" s="1">
        <f t="shared" si="0"/>
        <v>18.672157178782658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2.61</v>
      </c>
      <c r="G43">
        <v>6229</v>
      </c>
      <c r="H43">
        <v>6228.5360000000001</v>
      </c>
      <c r="I43" cm="1">
        <f t="array" ref="I43">TREND($X$8:$X$12,$W$8:$W$12,H43)</f>
        <v>2.7206452796842706</v>
      </c>
      <c r="J43">
        <f>I43/(2/0.2)*3</f>
        <v>0.81619358390528118</v>
      </c>
      <c r="K43">
        <v>0.15054638071690538</v>
      </c>
      <c r="L43" s="1">
        <f t="shared" si="0"/>
        <v>5.4215423846029926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2.61</v>
      </c>
      <c r="G44">
        <v>10016</v>
      </c>
      <c r="H44">
        <v>10015.674000000001</v>
      </c>
      <c r="I44" cm="1">
        <f t="array" ref="I44">TREND($X$8:$X$12,$W$8:$W$12,H44)</f>
        <v>4.1608528213220941</v>
      </c>
      <c r="J44">
        <f>I44/(2/0.2)*3</f>
        <v>1.2482558463966282</v>
      </c>
      <c r="K44">
        <v>0.14893639850741497</v>
      </c>
      <c r="L44" s="1">
        <f t="shared" si="0"/>
        <v>8.3811335503354627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2.61</v>
      </c>
      <c r="G45">
        <v>9039</v>
      </c>
      <c r="H45">
        <v>9038.9519999999993</v>
      </c>
      <c r="I45" cm="1">
        <f t="array" ref="I45">TREND($X$8:$X$12,$W$8:$W$12,H45)</f>
        <v>3.7894160290838443</v>
      </c>
      <c r="J45">
        <f>I45/(2/0.2)*3</f>
        <v>1.1368248087251533</v>
      </c>
      <c r="K45">
        <v>4.0262599366812736E-2</v>
      </c>
      <c r="L45" s="1">
        <f t="shared" si="0"/>
        <v>28.235256208077917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2.61</v>
      </c>
      <c r="G46">
        <v>9569</v>
      </c>
      <c r="H46">
        <v>9569.4380000000001</v>
      </c>
      <c r="I46" cm="1">
        <f t="array" ref="I46">TREND($X$8:$X$12,$W$8:$W$12,H46)</f>
        <v>3.9911541062104985</v>
      </c>
      <c r="J46">
        <f>I46/(2/0.2)*3</f>
        <v>1.1973462318631496</v>
      </c>
      <c r="K46">
        <v>0.11351678989862611</v>
      </c>
      <c r="L46" s="1">
        <f t="shared" si="0"/>
        <v>10.547745694116399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2.61</v>
      </c>
      <c r="G47">
        <v>7731</v>
      </c>
      <c r="H47">
        <v>7730.6850000000004</v>
      </c>
      <c r="I47" cm="1">
        <f t="array" ref="I47">TREND($X$8:$X$12,$W$8:$W$12,H47)</f>
        <v>3.2918962661716167</v>
      </c>
      <c r="J47">
        <f>I47/(2/0.2)*3</f>
        <v>0.987568879851485</v>
      </c>
      <c r="K47">
        <v>0.10144192332744809</v>
      </c>
      <c r="L47" s="1">
        <f t="shared" si="0"/>
        <v>9.7353130486660362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2.6</v>
      </c>
      <c r="G48">
        <v>9019</v>
      </c>
      <c r="H48">
        <v>9018.893</v>
      </c>
      <c r="I48" cm="1">
        <f t="array" ref="I48">TREND($X$8:$X$12,$W$8:$W$12,H48)</f>
        <v>3.7817878087555354</v>
      </c>
      <c r="J48">
        <f>I48/(2/0.2)*3</f>
        <v>1.1345363426266606</v>
      </c>
      <c r="K48">
        <v>8.3732119023053622E-2</v>
      </c>
      <c r="L48" s="1">
        <f t="shared" si="0"/>
        <v>13.549595494105354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2.61</v>
      </c>
      <c r="G49">
        <v>10216</v>
      </c>
      <c r="H49">
        <v>10216.396000000001</v>
      </c>
      <c r="I49" cm="1">
        <f t="array" ref="I49">TREND($X$8:$X$12,$W$8:$W$12,H49)</f>
        <v>4.2371852227747553</v>
      </c>
      <c r="J49">
        <f>I49/(2/0.2)*3</f>
        <v>1.2711555668324266</v>
      </c>
      <c r="K49">
        <v>0.22299558014397355</v>
      </c>
      <c r="L49" s="1">
        <f t="shared" si="0"/>
        <v>5.7003621596971792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2.61</v>
      </c>
      <c r="G50">
        <v>11785</v>
      </c>
      <c r="H50">
        <v>11784.739</v>
      </c>
      <c r="I50" cm="1">
        <f t="array" ref="I50">TREND($X$8:$X$12,$W$8:$W$12,H50)</f>
        <v>4.8336090701431074</v>
      </c>
      <c r="J50">
        <f>I50/(2/0.2)*3</f>
        <v>1.4500827210429321</v>
      </c>
      <c r="K50">
        <v>0.1175417454223521</v>
      </c>
      <c r="L50" s="1">
        <f t="shared" si="0"/>
        <v>12.33674653913366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2.61</v>
      </c>
      <c r="G51">
        <v>9359</v>
      </c>
      <c r="H51">
        <v>9359.0840000000007</v>
      </c>
      <c r="I51" cm="1">
        <f t="array" ref="I51">TREND($X$8:$X$12,$W$8:$W$12,H51)</f>
        <v>3.9111587595361281</v>
      </c>
      <c r="J51">
        <f>I51/(2/0.2)*3</f>
        <v>1.1733476278608383</v>
      </c>
      <c r="K51">
        <v>0.11351678989862611</v>
      </c>
      <c r="L51" s="1">
        <f t="shared" si="0"/>
        <v>10.336335522777492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2.61</v>
      </c>
      <c r="G52">
        <v>7446</v>
      </c>
      <c r="H52">
        <v>7446.2579999999998</v>
      </c>
      <c r="I52" cm="1">
        <f t="array" ref="I52">TREND($X$8:$X$12,$W$8:$W$12,H52)</f>
        <v>3.1837317602979405</v>
      </c>
      <c r="J52">
        <f>I52/(2/0.2)*3</f>
        <v>0.95511952808938205</v>
      </c>
      <c r="K52">
        <v>8.4537110127798853E-2</v>
      </c>
      <c r="L52" s="1">
        <f t="shared" si="0"/>
        <v>11.298227803688599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2.61</v>
      </c>
      <c r="G53">
        <v>10767</v>
      </c>
      <c r="H53">
        <v>10766.98</v>
      </c>
      <c r="I53" cm="1">
        <f t="array" ref="I53">TREND($X$8:$X$12,$W$8:$W$12,H53)</f>
        <v>4.4465663515070899</v>
      </c>
      <c r="J53">
        <f>I53/(2/0.2)*3</f>
        <v>1.3339699054521268</v>
      </c>
      <c r="K53">
        <v>0.1078818521654097</v>
      </c>
      <c r="L53" s="1">
        <f t="shared" si="0"/>
        <v>12.36510014128066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2.61</v>
      </c>
      <c r="G54">
        <v>9654</v>
      </c>
      <c r="H54">
        <v>9653.5709999999999</v>
      </c>
      <c r="I54" cm="1">
        <f t="array" ref="I54">TREND($X$8:$X$12,$W$8:$W$12,H54)</f>
        <v>4.0231489743934414</v>
      </c>
      <c r="J54">
        <f>I54/(2/0.2)*3</f>
        <v>1.2069446923180323</v>
      </c>
      <c r="K54">
        <v>0.14813140740266978</v>
      </c>
      <c r="L54" s="1">
        <f t="shared" si="0"/>
        <v>8.1477973745105956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2.6</v>
      </c>
      <c r="G55">
        <v>20999</v>
      </c>
      <c r="H55">
        <v>20999.331999999999</v>
      </c>
      <c r="I55" cm="1">
        <f t="array" ref="I55">TREND($X$8:$X$12,$W$8:$W$12,H55)</f>
        <v>8.3378189330324695</v>
      </c>
      <c r="J55">
        <f>I55/(2/0.2)*3</f>
        <v>2.5013456799097407</v>
      </c>
      <c r="K55">
        <v>6.6022314718659172E-2</v>
      </c>
      <c r="L55" s="1">
        <f t="shared" si="0"/>
        <v>37.88636751935649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2.61</v>
      </c>
      <c r="G56">
        <v>9855</v>
      </c>
      <c r="H56">
        <v>9854.607</v>
      </c>
      <c r="I56" cm="1">
        <f t="array" ref="I56">TREND($X$8:$X$12,$W$8:$W$12,H56)</f>
        <v>4.0996007866434052</v>
      </c>
      <c r="J56">
        <f>I56/(2/0.2)*3</f>
        <v>1.2298802359930217</v>
      </c>
      <c r="K56">
        <v>0.22621554456295434</v>
      </c>
      <c r="L56" s="1">
        <f t="shared" si="0"/>
        <v>5.436762705096748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2.6</v>
      </c>
      <c r="G57">
        <v>12410</v>
      </c>
      <c r="H57">
        <v>12410.073</v>
      </c>
      <c r="I57" cm="1">
        <f t="array" ref="I57">TREND($X$8:$X$12,$W$8:$W$12,H57)</f>
        <v>5.0714168138383586</v>
      </c>
      <c r="J57">
        <f>I57/(2/0.2)*3</f>
        <v>1.5214250441515076</v>
      </c>
      <c r="K57">
        <v>0.21897062462024752</v>
      </c>
      <c r="L57" s="1">
        <f t="shared" si="0"/>
        <v>6.9480782949313751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2.61</v>
      </c>
      <c r="G58">
        <v>19490</v>
      </c>
      <c r="H58">
        <v>19489.879000000001</v>
      </c>
      <c r="I58" cm="1">
        <f t="array" ref="I58">TREND($X$8:$X$12,$W$8:$W$12,H58)</f>
        <v>7.763790314495771</v>
      </c>
      <c r="J58">
        <f>I58/(2/0.2)*3</f>
        <v>2.3291370943487313</v>
      </c>
      <c r="K58">
        <v>0.11271179879388092</v>
      </c>
      <c r="L58" s="1">
        <f t="shared" si="0"/>
        <v>20.664536625913374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2.61</v>
      </c>
      <c r="G59">
        <v>22316</v>
      </c>
      <c r="H59">
        <v>22316.111000000001</v>
      </c>
      <c r="I59" cm="1">
        <f t="array" ref="I59">TREND($X$8:$X$12,$W$8:$W$12,H59)</f>
        <v>8.838575717303419</v>
      </c>
      <c r="J59">
        <f>I59/(2/0.2)*3</f>
        <v>2.6515727151910253</v>
      </c>
      <c r="K59">
        <v>9.1782030070505644E-2</v>
      </c>
      <c r="L59" s="1">
        <f t="shared" si="0"/>
        <v>28.889889591177326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2.61</v>
      </c>
      <c r="G60">
        <v>5849</v>
      </c>
      <c r="H60">
        <v>5849.3580000000002</v>
      </c>
      <c r="I60" cm="1">
        <f t="array" ref="I60">TREND($X$8:$X$12,$W$8:$W$12,H60)</f>
        <v>2.5764479952908457</v>
      </c>
      <c r="J60">
        <f>I60/(2/0.2)*3</f>
        <v>0.77293439858725377</v>
      </c>
      <c r="K60">
        <v>0.16584121170706426</v>
      </c>
      <c r="L60" s="1">
        <f t="shared" si="0"/>
        <v>4.6606895272360669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2.6</v>
      </c>
      <c r="G61">
        <v>12473</v>
      </c>
      <c r="H61">
        <v>12473.200999999999</v>
      </c>
      <c r="I61" cm="1">
        <f t="array" ref="I61">TREND($X$8:$X$12,$W$8:$W$12,H61)</f>
        <v>5.0954237081444314</v>
      </c>
      <c r="J61">
        <f>I61/(2/0.2)*3</f>
        <v>1.5286271124433293</v>
      </c>
      <c r="K61">
        <v>0.20850574025855992</v>
      </c>
      <c r="L61" s="1">
        <f t="shared" si="0"/>
        <v>7.3313430630146579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2.61</v>
      </c>
      <c r="G62">
        <v>8077</v>
      </c>
      <c r="H62">
        <v>8076.9579999999996</v>
      </c>
      <c r="I62" cm="1">
        <f t="array" ref="I62">TREND($X$8:$X$12,$W$8:$W$12,H62)</f>
        <v>3.4235801356439075</v>
      </c>
      <c r="J62">
        <f>I62/(2/0.2)*3</f>
        <v>1.0270740406931722</v>
      </c>
      <c r="K62">
        <v>0.15457133624063138</v>
      </c>
      <c r="L62" s="1">
        <f t="shared" si="0"/>
        <v>6.6446604245838854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2.61</v>
      </c>
      <c r="G63">
        <v>15435</v>
      </c>
      <c r="H63">
        <v>15435.147999999999</v>
      </c>
      <c r="I63" cm="1">
        <f t="array" ref="I63">TREND($X$8:$X$12,$W$8:$W$12,H63)</f>
        <v>6.221820054760669</v>
      </c>
      <c r="J63">
        <f>I63/(2/0.2)*3</f>
        <v>1.8665460164282008</v>
      </c>
      <c r="K63">
        <v>0.22863051787718996</v>
      </c>
      <c r="L63" s="1">
        <f t="shared" si="0"/>
        <v>8.1640282922808467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2.6</v>
      </c>
      <c r="G64">
        <v>8898</v>
      </c>
      <c r="H64">
        <v>8897.89</v>
      </c>
      <c r="I64" cm="1">
        <f t="array" ref="I64">TREND($X$8:$X$12,$W$8:$W$12,H64)</f>
        <v>3.7357716791186424</v>
      </c>
      <c r="J64">
        <f>I64/(2/0.2)*3</f>
        <v>1.1207315037355927</v>
      </c>
      <c r="K64">
        <v>0.19079593595416544</v>
      </c>
      <c r="L64" s="1">
        <f t="shared" si="0"/>
        <v>5.8739799573342273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2.61</v>
      </c>
      <c r="G65">
        <v>8118</v>
      </c>
      <c r="H65">
        <v>8117.6620000000003</v>
      </c>
      <c r="I65" cm="1">
        <f t="array" ref="I65">TREND($X$8:$X$12,$W$8:$W$12,H65)</f>
        <v>3.4390594257502691</v>
      </c>
      <c r="J65">
        <f>I65/(2/0.2)*3</f>
        <v>1.0317178277250809</v>
      </c>
      <c r="K65">
        <v>0.13122659420302052</v>
      </c>
      <c r="L65" s="1">
        <f t="shared" si="0"/>
        <v>7.8621093078809272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2.61</v>
      </c>
      <c r="G66">
        <v>9558</v>
      </c>
      <c r="H66">
        <v>9557.82</v>
      </c>
      <c r="I66" cm="1">
        <f t="array" ref="I66">TREND($X$8:$X$12,$W$8:$W$12,H66)</f>
        <v>3.986735906710309</v>
      </c>
      <c r="J66">
        <f>I66/(2/0.2)*3</f>
        <v>1.1960207720130929</v>
      </c>
      <c r="K66">
        <v>0.13927650525047255</v>
      </c>
      <c r="L66" s="1">
        <f t="shared" si="0"/>
        <v>8.5873835638120664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2.6</v>
      </c>
      <c r="G67">
        <v>10820</v>
      </c>
      <c r="H67">
        <v>10820.361999999999</v>
      </c>
      <c r="I67" cm="1">
        <f t="array" ref="I67">TREND($X$8:$X$12,$W$8:$W$12,H67)</f>
        <v>4.4668669476268272</v>
      </c>
      <c r="J67">
        <f>I67/(2/0.2)*3</f>
        <v>1.3400600842880483</v>
      </c>
      <c r="K67">
        <v>9.7416967803722054E-2</v>
      </c>
      <c r="L67" s="1">
        <f t="shared" si="0"/>
        <v>13.755920703547581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2.61</v>
      </c>
      <c r="G68">
        <v>13796</v>
      </c>
      <c r="H68">
        <v>13796.166999999999</v>
      </c>
      <c r="I68" cm="1">
        <f t="array" ref="I68">TREND($X$8:$X$12,$W$8:$W$12,H68)</f>
        <v>5.5985333414692331</v>
      </c>
      <c r="J68">
        <f>I68/(2/0.2)*3</f>
        <v>1.6795600024407698</v>
      </c>
      <c r="K68">
        <v>7.4877216870856411E-2</v>
      </c>
      <c r="L68" s="1">
        <f t="shared" si="0"/>
        <v>22.430855106935542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2.61</v>
      </c>
      <c r="G69">
        <v>13181</v>
      </c>
      <c r="H69">
        <v>13181.477000000001</v>
      </c>
      <c r="I69" cm="1">
        <f t="array" ref="I69">TREND($X$8:$X$12,$W$8:$W$12,H69)</f>
        <v>5.3647733956290367</v>
      </c>
      <c r="J69">
        <f>I69/(2/0.2)*3</f>
        <v>1.609432018688711</v>
      </c>
      <c r="K69">
        <v>0.14491144298368897</v>
      </c>
      <c r="L69" s="1">
        <f t="shared" si="0"/>
        <v>11.106314211983014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2.6</v>
      </c>
      <c r="G70">
        <v>7517</v>
      </c>
      <c r="H70">
        <v>7516.7060000000001</v>
      </c>
      <c r="I70" cm="1">
        <f t="array" ref="I70">TREND($X$8:$X$12,$W$8:$W$12,H70)</f>
        <v>3.2105223712799806</v>
      </c>
      <c r="J70">
        <f>I70/(2/0.2)*3</f>
        <v>0.96315671138399428</v>
      </c>
      <c r="K70">
        <v>0.14571643408843418</v>
      </c>
      <c r="L70" s="1">
        <f t="shared" si="0"/>
        <v>6.6098015464711546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2.61</v>
      </c>
      <c r="G71">
        <v>7404</v>
      </c>
      <c r="H71">
        <v>7404.2290000000003</v>
      </c>
      <c r="I71" cm="1">
        <f t="array" ref="I71">TREND($X$8:$X$12,$W$8:$W$12,H71)</f>
        <v>3.1677485870500961</v>
      </c>
      <c r="J71">
        <f>I71/(2/0.2)*3</f>
        <v>0.95032457611502874</v>
      </c>
      <c r="K71">
        <v>0.26405012648597881</v>
      </c>
      <c r="L71" s="1">
        <f t="shared" si="0"/>
        <v>3.5990309444729291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2.61</v>
      </c>
      <c r="G72">
        <v>3622</v>
      </c>
      <c r="H72">
        <v>3621.511</v>
      </c>
      <c r="I72" cm="1">
        <f t="array" ref="I72">TREND($X$8:$X$12,$W$8:$W$12,H72)</f>
        <v>1.7292219235144277</v>
      </c>
      <c r="J72">
        <f>I72/(2/0.2)*3</f>
        <v>0.51876657705432827</v>
      </c>
      <c r="K72">
        <v>0.17469611385926145</v>
      </c>
      <c r="L72" s="1">
        <f t="shared" si="0"/>
        <v>2.9695370182776739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2.61</v>
      </c>
      <c r="G73">
        <v>3321</v>
      </c>
      <c r="H73">
        <v>3320.5720000000001</v>
      </c>
      <c r="I73" cm="1">
        <f t="array" ref="I73">TREND($X$8:$X$12,$W$8:$W$12,H73)</f>
        <v>1.6147780829749636</v>
      </c>
      <c r="J73">
        <f>I73/(2/0.2)*3</f>
        <v>0.48443342489248908</v>
      </c>
      <c r="K73">
        <v>0.1175417454223521</v>
      </c>
      <c r="L73" s="1">
        <f t="shared" ref="L73" si="1">J73/K73</f>
        <v>4.121373416328117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2.6</v>
      </c>
      <c r="G74">
        <v>267</v>
      </c>
      <c r="H74">
        <v>267.49299999999999</v>
      </c>
      <c r="I74">
        <v>392.82900000000001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5196-3184-41BC-882D-27D02166BF8B}">
  <dimension ref="A1:AB73"/>
  <sheetViews>
    <sheetView topLeftCell="A5" workbookViewId="0">
      <selection activeCell="L5" activeCellId="2" sqref="I1:I1048576 K1:K1048576 L1:L1048576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242</v>
      </c>
      <c r="P3" t="s">
        <v>95</v>
      </c>
    </row>
    <row r="5" spans="1:28" x14ac:dyDescent="0.3">
      <c r="A5" t="s">
        <v>243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2.83</v>
      </c>
      <c r="G8">
        <v>20505</v>
      </c>
      <c r="H8">
        <v>20504.581999999999</v>
      </c>
      <c r="I8" cm="1">
        <f t="array" ref="I8">TREND($X$8:$X$13,$W$8:$W$13,H8)</f>
        <v>8.358224629763912</v>
      </c>
      <c r="J8">
        <f>I8/(2/0.2)*3</f>
        <v>2.5074673889291734</v>
      </c>
      <c r="K8">
        <v>0.14813140740266978</v>
      </c>
      <c r="L8" s="1">
        <f>J8/K8</f>
        <v>16.927317662709125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2.84</v>
      </c>
      <c r="G9">
        <v>17944</v>
      </c>
      <c r="H9">
        <v>17944.338</v>
      </c>
      <c r="I9" cm="1">
        <f t="array" ref="I9">TREND($X$8:$X$13,$W$8:$W$13,H9)</f>
        <v>7.2737797030628206</v>
      </c>
      <c r="J9">
        <f>I9/(2/0.2)*3</f>
        <v>2.182133910918846</v>
      </c>
      <c r="K9">
        <v>0.11673675431760691</v>
      </c>
      <c r="L9" s="1">
        <f t="shared" ref="L9:L72" si="0">J9/K9</f>
        <v>18.692775241822222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2.84</v>
      </c>
      <c r="G10">
        <v>22268</v>
      </c>
      <c r="H10">
        <v>22268.425999999999</v>
      </c>
      <c r="I10" cm="1">
        <f t="array" ref="I10">TREND($X$8:$X$13,$W$8:$W$13,H10)</f>
        <v>9.1053376694945651</v>
      </c>
      <c r="J10">
        <f>I10/(2/0.2)*3</f>
        <v>2.7316013008483697</v>
      </c>
      <c r="K10">
        <v>8.6147092337289247E-2</v>
      </c>
      <c r="L10" s="1">
        <f t="shared" si="0"/>
        <v>31.708572242385259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2.83</v>
      </c>
      <c r="G11">
        <v>33665</v>
      </c>
      <c r="H11">
        <v>33665.277000000002</v>
      </c>
      <c r="I11" cm="1">
        <f t="array" ref="I11">TREND($X$8:$X$13,$W$8:$W$13,H11)</f>
        <v>13.932712422572113</v>
      </c>
      <c r="J11">
        <f>I11/(2/0.2)*3</f>
        <v>4.1798137267716342</v>
      </c>
      <c r="K11">
        <v>8.9367056756270047E-2</v>
      </c>
      <c r="L11" s="1">
        <f t="shared" si="0"/>
        <v>46.771303414089175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2.84</v>
      </c>
      <c r="G12">
        <v>23834</v>
      </c>
      <c r="H12">
        <v>23833.723000000002</v>
      </c>
      <c r="I12" cm="1">
        <f t="array" ref="I12">TREND($X$8:$X$13,$W$8:$W$13,H12)</f>
        <v>9.7683519722057284</v>
      </c>
      <c r="J12">
        <f>I12/(2/0.2)*3</f>
        <v>2.9305055916617189</v>
      </c>
      <c r="K12">
        <v>9.3392012279996037E-2</v>
      </c>
      <c r="L12" s="1">
        <f t="shared" si="0"/>
        <v>31.378546410113213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2.83</v>
      </c>
      <c r="G13">
        <v>21314</v>
      </c>
      <c r="H13">
        <v>21313.873</v>
      </c>
      <c r="I13" cm="1">
        <f t="array" ref="I13">TREND($X$8:$X$13,$W$8:$W$13,H13)</f>
        <v>8.701016769565765</v>
      </c>
      <c r="J13">
        <f>I13/(2/0.2)*3</f>
        <v>2.6103050308697293</v>
      </c>
      <c r="K13">
        <v>0.18918595374467503</v>
      </c>
      <c r="L13" s="1">
        <f t="shared" si="0"/>
        <v>13.797562552622651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2.84</v>
      </c>
      <c r="G14">
        <v>13335</v>
      </c>
      <c r="H14">
        <v>13334.574000000001</v>
      </c>
      <c r="I14" cm="1">
        <f t="array" ref="I14">TREND($X$8:$X$13,$W$8:$W$13,H14)</f>
        <v>5.3212176882355884</v>
      </c>
      <c r="J14">
        <f>I14/(2/0.2)*3</f>
        <v>1.5963653064706766</v>
      </c>
      <c r="K14">
        <v>9.2587021175250833E-2</v>
      </c>
      <c r="L14" s="1">
        <f t="shared" si="0"/>
        <v>17.241782770492637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2.83</v>
      </c>
      <c r="G15">
        <v>11342</v>
      </c>
      <c r="H15">
        <v>11342.468999999999</v>
      </c>
      <c r="I15" cm="1">
        <f t="array" ref="I15">TREND($X$8:$X$13,$W$8:$W$13,H15)</f>
        <v>4.4774199249341686</v>
      </c>
      <c r="J15">
        <f>I15/(2/0.2)*3</f>
        <v>1.3432259774802504</v>
      </c>
      <c r="K15">
        <v>0.14974138961216016</v>
      </c>
      <c r="L15" s="1">
        <f t="shared" si="0"/>
        <v>8.9703052773805041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2.83</v>
      </c>
      <c r="G16">
        <v>63727</v>
      </c>
      <c r="H16">
        <v>63726.879000000001</v>
      </c>
      <c r="I16" cm="1">
        <f t="array" ref="I16">TREND($X$8:$X$13,$W$8:$W$13,H16)</f>
        <v>26.665933075528397</v>
      </c>
      <c r="J16">
        <f>I16/(2/0.2)*3</f>
        <v>7.9997799226585196</v>
      </c>
      <c r="K16">
        <v>0.19965083810636269</v>
      </c>
      <c r="L16" s="1">
        <f t="shared" si="0"/>
        <v>40.068852194833703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2.83</v>
      </c>
      <c r="G17">
        <v>65253</v>
      </c>
      <c r="H17">
        <v>65253.233999999997</v>
      </c>
      <c r="I17" cm="1">
        <f t="array" ref="I17">TREND($X$8:$X$13,$W$8:$W$13,H17)</f>
        <v>27.312452679165723</v>
      </c>
      <c r="J17">
        <f>I17/(2/0.2)*3</f>
        <v>8.1937358037497177</v>
      </c>
      <c r="K17">
        <v>0.22058060682973793</v>
      </c>
      <c r="L17" s="1">
        <f t="shared" si="0"/>
        <v>37.146220248067003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2.83</v>
      </c>
      <c r="G18">
        <v>31829</v>
      </c>
      <c r="H18">
        <v>31829.478999999999</v>
      </c>
      <c r="I18" cm="1">
        <f t="array" ref="I18">TREND($X$8:$X$13,$W$8:$W$13,H18)</f>
        <v>13.155121760296167</v>
      </c>
      <c r="J18">
        <f>I18/(2/0.2)*3</f>
        <v>3.94653652808885</v>
      </c>
      <c r="K18">
        <v>0.12720163867929454</v>
      </c>
      <c r="L18" s="1">
        <f t="shared" si="0"/>
        <v>31.025830870300368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2.84</v>
      </c>
      <c r="G19">
        <v>20776</v>
      </c>
      <c r="H19">
        <v>20775.905999999999</v>
      </c>
      <c r="I19" cm="1">
        <f t="array" ref="I19">TREND($X$8:$X$13,$W$8:$W$13,H19)</f>
        <v>8.4731495882023466</v>
      </c>
      <c r="J19">
        <f>I19/(2/0.2)*3</f>
        <v>2.541944876460704</v>
      </c>
      <c r="K19">
        <v>0.1594012828691026</v>
      </c>
      <c r="L19" s="1">
        <f t="shared" si="0"/>
        <v>15.946828223133576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2.84</v>
      </c>
      <c r="G20">
        <v>52262</v>
      </c>
      <c r="H20">
        <v>52262.078000000001</v>
      </c>
      <c r="I20" cm="1">
        <f t="array" ref="I20">TREND($X$8:$X$13,$W$8:$W$13,H20)</f>
        <v>21.809776677900825</v>
      </c>
      <c r="J20">
        <f>I20/(2/0.2)*3</f>
        <v>6.5429330033702469</v>
      </c>
      <c r="K20">
        <v>0.14491144298368897</v>
      </c>
      <c r="L20" s="1">
        <f t="shared" si="0"/>
        <v>45.151251472298917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2.83</v>
      </c>
      <c r="G21">
        <v>54550</v>
      </c>
      <c r="H21">
        <v>54550.050999999999</v>
      </c>
      <c r="I21" cm="1">
        <f t="array" ref="I21">TREND($X$8:$X$13,$W$8:$W$13,H21)</f>
        <v>22.778895524494772</v>
      </c>
      <c r="J21">
        <f>I21/(2/0.2)*3</f>
        <v>6.833668657348432</v>
      </c>
      <c r="K21">
        <v>0.24553533107683917</v>
      </c>
      <c r="L21" s="1">
        <f t="shared" si="0"/>
        <v>27.831712150663428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2.83</v>
      </c>
      <c r="G22">
        <v>36721</v>
      </c>
      <c r="H22">
        <v>36720.593999999997</v>
      </c>
      <c r="I22" cm="1">
        <f t="array" ref="I22">TREND($X$8:$X$13,$W$8:$W$13,H22)</f>
        <v>15.226855879255771</v>
      </c>
      <c r="J22">
        <f>I22/(2/0.2)*3</f>
        <v>4.5680567637767311</v>
      </c>
      <c r="K22">
        <v>0.3002747261995129</v>
      </c>
      <c r="L22" s="1">
        <f t="shared" si="0"/>
        <v>15.212924582742128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2.83</v>
      </c>
      <c r="G23">
        <v>17819</v>
      </c>
      <c r="H23">
        <v>17819.393</v>
      </c>
      <c r="I23" cm="1">
        <f t="array" ref="I23">TREND($X$8:$X$13,$W$8:$W$13,H23)</f>
        <v>7.2208566334777862</v>
      </c>
      <c r="J23">
        <f>I23/(2/0.2)*3</f>
        <v>2.1662569900433359</v>
      </c>
      <c r="K23">
        <v>0.17147614944028067</v>
      </c>
      <c r="L23" s="1">
        <f t="shared" si="0"/>
        <v>12.632992967909919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2.83</v>
      </c>
      <c r="G24">
        <v>31339</v>
      </c>
      <c r="H24">
        <v>31338.805</v>
      </c>
      <c r="I24" cm="1">
        <f t="array" ref="I24">TREND($X$8:$X$13,$W$8:$W$13,H24)</f>
        <v>12.947286518825381</v>
      </c>
      <c r="J24">
        <f>I24/(2/0.2)*3</f>
        <v>3.8841859556476139</v>
      </c>
      <c r="K24">
        <v>0.18113604269722305</v>
      </c>
      <c r="L24" s="1">
        <f t="shared" si="0"/>
        <v>21.443473633462354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2.83</v>
      </c>
      <c r="G25">
        <v>31110</v>
      </c>
      <c r="H25">
        <v>31109.758000000002</v>
      </c>
      <c r="I25" cm="1">
        <f t="array" ref="I25">TREND($X$8:$X$13,$W$8:$W$13,H25)</f>
        <v>12.850268868505292</v>
      </c>
      <c r="J25">
        <f>I25/(2/0.2)*3</f>
        <v>3.8550806605515877</v>
      </c>
      <c r="K25">
        <v>8.2927127918308433E-2</v>
      </c>
      <c r="L25" s="1">
        <f t="shared" si="0"/>
        <v>46.487569958400464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2.83</v>
      </c>
      <c r="G26">
        <v>70461</v>
      </c>
      <c r="H26">
        <v>70461</v>
      </c>
      <c r="I26" cm="1">
        <f t="array" ref="I26">TREND($X$8:$X$13,$W$8:$W$13,H26)</f>
        <v>29.518310956012165</v>
      </c>
      <c r="J26">
        <f>I26/(2/0.2)*3</f>
        <v>8.8554932868036502</v>
      </c>
      <c r="K26">
        <v>0.11593176321286171</v>
      </c>
      <c r="L26" s="1">
        <f t="shared" si="0"/>
        <v>76.385392936223397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2.83</v>
      </c>
      <c r="G27">
        <v>39944</v>
      </c>
      <c r="H27">
        <v>39944.125</v>
      </c>
      <c r="I27" cm="1">
        <f t="array" ref="I27">TREND($X$8:$X$13,$W$8:$W$13,H27)</f>
        <v>16.592249896003278</v>
      </c>
      <c r="J27">
        <f>I27/(2/0.2)*3</f>
        <v>4.9776749688009829</v>
      </c>
      <c r="K27">
        <v>0.17469611385926145</v>
      </c>
      <c r="L27" s="1">
        <f t="shared" si="0"/>
        <v>28.493335420220586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2.83</v>
      </c>
      <c r="G28">
        <v>43198</v>
      </c>
      <c r="H28">
        <v>43198.351999999999</v>
      </c>
      <c r="I28" cm="1">
        <f t="array" ref="I28">TREND($X$8:$X$13,$W$8:$W$13,H28)</f>
        <v>17.970645845953246</v>
      </c>
      <c r="J28">
        <f>I28/(2/0.2)*3</f>
        <v>5.3911937537859735</v>
      </c>
      <c r="K28">
        <v>0.17952606048773259</v>
      </c>
      <c r="L28" s="1">
        <f t="shared" si="0"/>
        <v>30.030145702185482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2.83</v>
      </c>
      <c r="G29">
        <v>60522</v>
      </c>
      <c r="H29">
        <v>60521.788999999997</v>
      </c>
      <c r="I29" cm="1">
        <f t="array" ref="I29">TREND($X$8:$X$13,$W$8:$W$13,H29)</f>
        <v>25.308350130262081</v>
      </c>
      <c r="J29">
        <f>I29/(2/0.2)*3</f>
        <v>7.5925050390786248</v>
      </c>
      <c r="K29">
        <v>0.19723586479212707</v>
      </c>
      <c r="L29" s="1">
        <f t="shared" si="0"/>
        <v>38.494545842768503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2.83</v>
      </c>
      <c r="G30">
        <v>65910</v>
      </c>
      <c r="H30">
        <v>65909.773000000001</v>
      </c>
      <c r="I30" cm="1">
        <f t="array" ref="I30">TREND($X$8:$X$13,$W$8:$W$13,H30)</f>
        <v>27.590543512590745</v>
      </c>
      <c r="J30">
        <f>I30/(2/0.2)*3</f>
        <v>8.2771630537772243</v>
      </c>
      <c r="K30">
        <v>0.28417490410460888</v>
      </c>
      <c r="L30" s="1">
        <f t="shared" si="0"/>
        <v>29.127002188519366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2.83</v>
      </c>
      <c r="G31">
        <v>52941</v>
      </c>
      <c r="H31">
        <v>52941.218999999997</v>
      </c>
      <c r="I31" cm="1">
        <f t="array" ref="I31">TREND($X$8:$X$13,$W$8:$W$13,H31)</f>
        <v>22.09744106143798</v>
      </c>
      <c r="J31">
        <f>I31/(2/0.2)*3</f>
        <v>6.6292323184313933</v>
      </c>
      <c r="K31">
        <v>0.17872106938298743</v>
      </c>
      <c r="L31" s="1">
        <f t="shared" si="0"/>
        <v>37.092617794410053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2.83</v>
      </c>
      <c r="G32">
        <v>75295</v>
      </c>
      <c r="H32">
        <v>75295.422000000006</v>
      </c>
      <c r="I32" cm="1">
        <f t="array" ref="I32">TREND($X$8:$X$13,$W$8:$W$13,H32)</f>
        <v>31.566031568356987</v>
      </c>
      <c r="J32">
        <f>I32/(2/0.2)*3</f>
        <v>9.4698094705070961</v>
      </c>
      <c r="K32">
        <v>0.19884584700161748</v>
      </c>
      <c r="L32" s="1">
        <f t="shared" si="0"/>
        <v>47.623873534708849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2.83</v>
      </c>
      <c r="G33">
        <v>42650</v>
      </c>
      <c r="H33">
        <v>42649.82</v>
      </c>
      <c r="I33" cm="1">
        <f t="array" ref="I33">TREND($X$8:$X$13,$W$8:$W$13,H33)</f>
        <v>17.738303637736685</v>
      </c>
      <c r="J33">
        <f>I33/(2/0.2)*3</f>
        <v>5.3214910913210058</v>
      </c>
      <c r="K33">
        <v>0.17469611385926145</v>
      </c>
      <c r="L33" s="1">
        <f t="shared" si="0"/>
        <v>30.46141653504726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2.83</v>
      </c>
      <c r="G34">
        <v>77041</v>
      </c>
      <c r="H34">
        <v>77041.148000000001</v>
      </c>
      <c r="I34" cm="1">
        <f t="array" ref="I34">TREND($X$8:$X$13,$W$8:$W$13,H34)</f>
        <v>32.305470350016151</v>
      </c>
      <c r="J34">
        <f>I34/(2/0.2)*3</f>
        <v>9.6916411050048445</v>
      </c>
      <c r="K34">
        <v>0.24875529549582001</v>
      </c>
      <c r="L34" s="1">
        <f t="shared" si="0"/>
        <v>38.960541867812012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2.83</v>
      </c>
      <c r="G35">
        <v>46515</v>
      </c>
      <c r="H35">
        <v>46515.41</v>
      </c>
      <c r="I35" cm="1">
        <f t="array" ref="I35">TREND($X$8:$X$13,$W$8:$W$13,H35)</f>
        <v>19.375655180873387</v>
      </c>
      <c r="J35">
        <f>I35/(2/0.2)*3</f>
        <v>5.8126965542620166</v>
      </c>
      <c r="K35">
        <v>0.18274602490671343</v>
      </c>
      <c r="L35" s="1">
        <f t="shared" si="0"/>
        <v>31.807512952630461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2.83</v>
      </c>
      <c r="G36">
        <v>76888</v>
      </c>
      <c r="H36">
        <v>76888.164000000004</v>
      </c>
      <c r="I36" cm="1">
        <f t="array" ref="I36">TREND($X$8:$X$13,$W$8:$W$13,H36)</f>
        <v>32.240670775184057</v>
      </c>
      <c r="J36">
        <f>I36/(2/0.2)*3</f>
        <v>9.6722012325552171</v>
      </c>
      <c r="K36">
        <v>0.18113604269722305</v>
      </c>
      <c r="L36" s="1">
        <f t="shared" si="0"/>
        <v>53.397441439762112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2.83</v>
      </c>
      <c r="G37">
        <v>52477</v>
      </c>
      <c r="H37">
        <v>52476.612999999998</v>
      </c>
      <c r="I37" cm="1">
        <f t="array" ref="I37">TREND($X$8:$X$13,$W$8:$W$13,H37)</f>
        <v>21.900647466915391</v>
      </c>
      <c r="J37">
        <f>I37/(2/0.2)*3</f>
        <v>6.5701942400746178</v>
      </c>
      <c r="K37">
        <v>0.12156670094607813</v>
      </c>
      <c r="L37" s="1">
        <f t="shared" si="0"/>
        <v>54.046002638410656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2.83</v>
      </c>
      <c r="G38">
        <v>72095</v>
      </c>
      <c r="H38">
        <v>72095.077999999994</v>
      </c>
      <c r="I38" cm="1">
        <f t="array" ref="I38">TREND($X$8:$X$13,$W$8:$W$13,H38)</f>
        <v>30.210458890714428</v>
      </c>
      <c r="J38">
        <f>I38/(2/0.2)*3</f>
        <v>9.0631376672143276</v>
      </c>
      <c r="K38">
        <v>8.8562065651524843E-2</v>
      </c>
      <c r="L38" s="1">
        <f t="shared" si="0"/>
        <v>102.33656589352915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2.83</v>
      </c>
      <c r="G39">
        <v>63281</v>
      </c>
      <c r="H39">
        <v>63280.641000000003</v>
      </c>
      <c r="I39" cm="1">
        <f t="array" ref="I39">TREND($X$8:$X$13,$W$8:$W$13,H39)</f>
        <v>26.476919631809267</v>
      </c>
      <c r="J39">
        <f>I39/(2/0.2)*3</f>
        <v>7.9430758895427793</v>
      </c>
      <c r="K39">
        <v>0.13766652304098212</v>
      </c>
      <c r="L39" s="1">
        <f t="shared" si="0"/>
        <v>57.697948012954427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2.83</v>
      </c>
      <c r="G40">
        <v>39426</v>
      </c>
      <c r="H40">
        <v>39426.137000000002</v>
      </c>
      <c r="I40" cm="1">
        <f t="array" ref="I40">TREND($X$8:$X$13,$W$8:$W$13,H40)</f>
        <v>16.372845238208143</v>
      </c>
      <c r="J40">
        <f>I40/(2/0.2)*3</f>
        <v>4.9118535714624425</v>
      </c>
      <c r="K40">
        <v>8.2122136813563229E-2</v>
      </c>
      <c r="L40" s="1">
        <f t="shared" si="0"/>
        <v>59.811565578395964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2.83</v>
      </c>
      <c r="G41">
        <v>33153</v>
      </c>
      <c r="H41">
        <v>33152.593999999997</v>
      </c>
      <c r="I41" cm="1">
        <f t="array" ref="I41">TREND($X$8:$X$13,$W$8:$W$13,H41)</f>
        <v>13.715554808549426</v>
      </c>
      <c r="J41">
        <f>I41/(2/0.2)*3</f>
        <v>4.1146664425648281</v>
      </c>
      <c r="K41">
        <v>0.10224691443219328</v>
      </c>
      <c r="L41" s="1">
        <f t="shared" si="0"/>
        <v>40.242450986562893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2.83</v>
      </c>
      <c r="G42">
        <v>71406</v>
      </c>
      <c r="H42">
        <v>71405.773000000001</v>
      </c>
      <c r="I42" cm="1">
        <f t="array" ref="I42">TREND($X$8:$X$13,$W$8:$W$13,H42)</f>
        <v>29.918489332266216</v>
      </c>
      <c r="J42">
        <f>I42/(2/0.2)*3</f>
        <v>8.975546799679865</v>
      </c>
      <c r="K42">
        <v>0.12639664757454935</v>
      </c>
      <c r="L42" s="1">
        <f t="shared" si="0"/>
        <v>71.010956159941216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2.83</v>
      </c>
      <c r="G43">
        <v>18272</v>
      </c>
      <c r="H43">
        <v>18272.465</v>
      </c>
      <c r="I43" cm="1">
        <f t="array" ref="I43">TREND($X$8:$X$13,$W$8:$W$13,H43)</f>
        <v>7.4127647609181073</v>
      </c>
      <c r="J43">
        <f>I43/(2/0.2)*3</f>
        <v>2.2238294282754323</v>
      </c>
      <c r="K43">
        <v>0.15054638071690538</v>
      </c>
      <c r="L43" s="1">
        <f t="shared" si="0"/>
        <v>14.771722957971521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2.83</v>
      </c>
      <c r="G44">
        <v>37246</v>
      </c>
      <c r="H44">
        <v>37246.391000000003</v>
      </c>
      <c r="I44" cm="1">
        <f t="array" ref="I44">TREND($X$8:$X$13,$W$8:$W$13,H44)</f>
        <v>15.449568202426789</v>
      </c>
      <c r="J44">
        <f>I44/(2/0.2)*3</f>
        <v>4.6348704607280364</v>
      </c>
      <c r="K44">
        <v>0.14893639850741497</v>
      </c>
      <c r="L44" s="1">
        <f t="shared" si="0"/>
        <v>31.119796820501765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2.83</v>
      </c>
      <c r="G45">
        <v>37765</v>
      </c>
      <c r="H45">
        <v>37765.343999999997</v>
      </c>
      <c r="I45" cm="1">
        <f t="array" ref="I45">TREND($X$8:$X$13,$W$8:$W$13,H45)</f>
        <v>15.669381606167333</v>
      </c>
      <c r="J45">
        <f>I45/(2/0.2)*3</f>
        <v>4.7008144818502</v>
      </c>
      <c r="K45">
        <v>4.0262599366812736E-2</v>
      </c>
      <c r="L45" s="1">
        <f t="shared" si="0"/>
        <v>116.75387470698034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2.83</v>
      </c>
      <c r="G46">
        <v>38658</v>
      </c>
      <c r="H46">
        <v>38658.394999999997</v>
      </c>
      <c r="I46" cm="1">
        <f t="array" ref="I46">TREND($X$8:$X$13,$W$8:$W$13,H46)</f>
        <v>16.04765204688913</v>
      </c>
      <c r="J46">
        <f>I46/(2/0.2)*3</f>
        <v>4.8142956140667383</v>
      </c>
      <c r="K46">
        <v>0.11351678989862611</v>
      </c>
      <c r="L46" s="1">
        <f t="shared" si="0"/>
        <v>42.410427729378611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2.83</v>
      </c>
      <c r="G47">
        <v>30813</v>
      </c>
      <c r="H47">
        <v>30813.313999999998</v>
      </c>
      <c r="I47" cm="1">
        <f t="array" ref="I47">TREND($X$8:$X$13,$W$8:$W$13,H47)</f>
        <v>12.724703808358299</v>
      </c>
      <c r="J47">
        <f>I47/(2/0.2)*3</f>
        <v>3.8174111425074901</v>
      </c>
      <c r="K47">
        <v>0.10144192332744809</v>
      </c>
      <c r="L47" s="1">
        <f t="shared" si="0"/>
        <v>37.631494132708127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2.83</v>
      </c>
      <c r="G48">
        <v>33812</v>
      </c>
      <c r="H48">
        <v>33812.105000000003</v>
      </c>
      <c r="I48" cm="1">
        <f t="array" ref="I48">TREND($X$8:$X$13,$W$8:$W$13,H48)</f>
        <v>13.994904494772133</v>
      </c>
      <c r="J48">
        <f>I48/(2/0.2)*3</f>
        <v>4.1984713484316405</v>
      </c>
      <c r="K48">
        <v>8.3732119023053622E-2</v>
      </c>
      <c r="L48" s="1">
        <f t="shared" si="0"/>
        <v>50.141706640383632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2.83</v>
      </c>
      <c r="G49">
        <v>49632</v>
      </c>
      <c r="H49">
        <v>49631.917999999998</v>
      </c>
      <c r="I49" cm="1">
        <f t="array" ref="I49">TREND($X$8:$X$13,$W$8:$W$13,H49)</f>
        <v>20.695717366205475</v>
      </c>
      <c r="J49">
        <f>I49/(2/0.2)*3</f>
        <v>6.2087152098616425</v>
      </c>
      <c r="K49">
        <v>0.22299558014397355</v>
      </c>
      <c r="L49" s="1">
        <f t="shared" si="0"/>
        <v>27.8423240758991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2.83</v>
      </c>
      <c r="G50">
        <v>54578</v>
      </c>
      <c r="H50">
        <v>54578.254000000001</v>
      </c>
      <c r="I50" cm="1">
        <f t="array" ref="I50">TREND($X$8:$X$13,$W$8:$W$13,H50)</f>
        <v>22.790841495374014</v>
      </c>
      <c r="J50">
        <f>I50/(2/0.2)*3</f>
        <v>6.8372524486122037</v>
      </c>
      <c r="K50">
        <v>0.1175417454223521</v>
      </c>
      <c r="L50" s="1">
        <f t="shared" si="0"/>
        <v>58.168716348770594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2.83</v>
      </c>
      <c r="G51">
        <v>35035</v>
      </c>
      <c r="H51">
        <v>35034.625</v>
      </c>
      <c r="I51" cm="1">
        <f t="array" ref="I51">TREND($X$8:$X$13,$W$8:$W$13,H51)</f>
        <v>14.512728425534441</v>
      </c>
      <c r="J51">
        <f>I51/(2/0.2)*3</f>
        <v>4.3538185276603318</v>
      </c>
      <c r="K51">
        <v>0.11351678989862611</v>
      </c>
      <c r="L51" s="1">
        <f t="shared" si="0"/>
        <v>38.353960956334497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2.83</v>
      </c>
      <c r="G52">
        <v>32062</v>
      </c>
      <c r="H52">
        <v>32061.822</v>
      </c>
      <c r="I52" cm="1">
        <f t="array" ref="I52">TREND($X$8:$X$13,$W$8:$W$13,H52)</f>
        <v>13.253535500394577</v>
      </c>
      <c r="J52">
        <f>I52/(2/0.2)*3</f>
        <v>3.9760606501183733</v>
      </c>
      <c r="K52">
        <v>8.4537110127798853E-2</v>
      </c>
      <c r="L52" s="1">
        <f t="shared" si="0"/>
        <v>47.033316422900775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2.83</v>
      </c>
      <c r="G53">
        <v>52048</v>
      </c>
      <c r="H53">
        <v>52048.391000000003</v>
      </c>
      <c r="I53" cm="1">
        <f t="array" ref="I53">TREND($X$8:$X$13,$W$8:$W$13,H53)</f>
        <v>21.719265077033103</v>
      </c>
      <c r="J53">
        <f>I53/(2/0.2)*3</f>
        <v>6.5157795231099316</v>
      </c>
      <c r="K53">
        <v>0.1078818521654097</v>
      </c>
      <c r="L53" s="1">
        <f t="shared" si="0"/>
        <v>60.39736426771411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2.83</v>
      </c>
      <c r="G54">
        <v>48948</v>
      </c>
      <c r="H54">
        <v>48948.163999999997</v>
      </c>
      <c r="I54" cm="1">
        <f t="array" ref="I54">TREND($X$8:$X$13,$W$8:$W$13,H54)</f>
        <v>20.406099049977964</v>
      </c>
      <c r="J54">
        <f>I54/(2/0.2)*3</f>
        <v>6.1218297149933898</v>
      </c>
      <c r="K54">
        <v>0.14813140740266978</v>
      </c>
      <c r="L54" s="1">
        <f t="shared" si="0"/>
        <v>41.327020530846966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2.83</v>
      </c>
      <c r="G55">
        <v>74430</v>
      </c>
      <c r="H55">
        <v>74430.460999999996</v>
      </c>
      <c r="I55" cm="1">
        <f t="array" ref="I55">TREND($X$8:$X$13,$W$8:$W$13,H55)</f>
        <v>31.199659234999572</v>
      </c>
      <c r="J55">
        <f>I55/(2/0.2)*3</f>
        <v>9.3598977704998703</v>
      </c>
      <c r="K55">
        <v>6.6022314718659172E-2</v>
      </c>
      <c r="L55" s="1">
        <f t="shared" si="0"/>
        <v>141.76870063379621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2.83</v>
      </c>
      <c r="G56">
        <v>46642</v>
      </c>
      <c r="H56">
        <v>46642.406000000003</v>
      </c>
      <c r="I56" cm="1">
        <f t="array" ref="I56">TREND($X$8:$X$13,$W$8:$W$13,H56)</f>
        <v>19.429446994431522</v>
      </c>
      <c r="J56">
        <f>I56/(2/0.2)*3</f>
        <v>5.8288340983294571</v>
      </c>
      <c r="K56">
        <v>0.22621554456295434</v>
      </c>
      <c r="L56" s="1">
        <f t="shared" si="0"/>
        <v>25.766726639368187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2.83</v>
      </c>
      <c r="G57">
        <v>59920</v>
      </c>
      <c r="H57">
        <v>59920.082000000002</v>
      </c>
      <c r="I57" cm="1">
        <f t="array" ref="I57">TREND($X$8:$X$13,$W$8:$W$13,H57)</f>
        <v>25.05348453795505</v>
      </c>
      <c r="J57">
        <f>I57/(2/0.2)*3</f>
        <v>7.5160453613865146</v>
      </c>
      <c r="K57">
        <v>0.21897062462024752</v>
      </c>
      <c r="L57" s="1">
        <f t="shared" si="0"/>
        <v>34.324445913333392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2.83</v>
      </c>
      <c r="G58">
        <v>76986</v>
      </c>
      <c r="H58">
        <v>76986.070000000007</v>
      </c>
      <c r="I58" cm="1">
        <f t="array" ref="I58">TREND($X$8:$X$13,$W$8:$W$13,H58)</f>
        <v>32.282140910449911</v>
      </c>
      <c r="J58">
        <f>I58/(2/0.2)*3</f>
        <v>9.6846422731349726</v>
      </c>
      <c r="K58">
        <v>0.11271179879388092</v>
      </c>
      <c r="L58" s="1">
        <f t="shared" si="0"/>
        <v>85.923943870734746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2.83</v>
      </c>
      <c r="G59">
        <v>112185</v>
      </c>
      <c r="H59">
        <v>112184.70299999999</v>
      </c>
      <c r="I59" cm="1">
        <f t="array" ref="I59">TREND($X$8:$X$13,$W$8:$W$13,H59)</f>
        <v>47.191258550668437</v>
      </c>
      <c r="J59">
        <f>I59/(2/0.2)*3</f>
        <v>14.157377565200532</v>
      </c>
      <c r="K59">
        <v>9.1782030070505644E-2</v>
      </c>
      <c r="L59" s="1">
        <f t="shared" si="0"/>
        <v>154.24999375504157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2.83</v>
      </c>
      <c r="G60">
        <v>31927</v>
      </c>
      <c r="H60">
        <v>31926.506000000001</v>
      </c>
      <c r="I60" cm="1">
        <f t="array" ref="I60">TREND($X$8:$X$13,$W$8:$W$13,H60)</f>
        <v>13.196219576716411</v>
      </c>
      <c r="J60">
        <f>I60/(2/0.2)*3</f>
        <v>3.9588658730149229</v>
      </c>
      <c r="K60">
        <v>0.16584121170706426</v>
      </c>
      <c r="L60" s="1">
        <f t="shared" si="0"/>
        <v>23.871423949842551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2.83</v>
      </c>
      <c r="G61">
        <v>52610</v>
      </c>
      <c r="H61">
        <v>52610.237999999998</v>
      </c>
      <c r="I61" cm="1">
        <f t="array" ref="I61">TREND($X$8:$X$13,$W$8:$W$13,H61)</f>
        <v>21.9572471321545</v>
      </c>
      <c r="J61">
        <f>I61/(2/0.2)*3</f>
        <v>6.5871741396463506</v>
      </c>
      <c r="K61">
        <v>0.20850574025855992</v>
      </c>
      <c r="L61" s="1">
        <f t="shared" si="0"/>
        <v>31.592291567022809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2.83</v>
      </c>
      <c r="G62">
        <v>36547</v>
      </c>
      <c r="H62">
        <v>36547.262000000002</v>
      </c>
      <c r="I62" cm="1">
        <f t="array" ref="I62">TREND($X$8:$X$13,$W$8:$W$13,H62)</f>
        <v>15.153437483182994</v>
      </c>
      <c r="J62">
        <f>I62/(2/0.2)*3</f>
        <v>4.5460312449548983</v>
      </c>
      <c r="K62">
        <v>0.15457133624063138</v>
      </c>
      <c r="L62" s="1">
        <f t="shared" si="0"/>
        <v>29.410570908682526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2.83</v>
      </c>
      <c r="G63">
        <v>66819</v>
      </c>
      <c r="H63">
        <v>66818.733999999997</v>
      </c>
      <c r="I63" cm="1">
        <f t="array" ref="I63">TREND($X$8:$X$13,$W$8:$W$13,H63)</f>
        <v>27.975552966775247</v>
      </c>
      <c r="J63">
        <f>I63/(2/0.2)*3</f>
        <v>8.3926658900325748</v>
      </c>
      <c r="K63">
        <v>0.22863051787718996</v>
      </c>
      <c r="L63" s="1">
        <f t="shared" si="0"/>
        <v>36.708423564612389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2.83</v>
      </c>
      <c r="G64">
        <v>33423</v>
      </c>
      <c r="H64">
        <v>33422.542999999998</v>
      </c>
      <c r="I64" cm="1">
        <f t="array" ref="I64">TREND($X$8:$X$13,$W$8:$W$13,H64)</f>
        <v>13.829897356962011</v>
      </c>
      <c r="J64">
        <f>I64/(2/0.2)*3</f>
        <v>4.1489692070886033</v>
      </c>
      <c r="K64">
        <v>0.19079593595416544</v>
      </c>
      <c r="L64" s="1">
        <f t="shared" si="0"/>
        <v>21.745584812064877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2.83</v>
      </c>
      <c r="G65">
        <v>29599</v>
      </c>
      <c r="H65">
        <v>29599.313999999998</v>
      </c>
      <c r="I65" cm="1">
        <f t="array" ref="I65">TREND($X$8:$X$13,$W$8:$W$13,H65)</f>
        <v>12.2104887019016</v>
      </c>
      <c r="J65">
        <f>I65/(2/0.2)*3</f>
        <v>3.6631466105704802</v>
      </c>
      <c r="K65">
        <v>0.13122659420302052</v>
      </c>
      <c r="L65" s="1">
        <f t="shared" si="0"/>
        <v>27.914666480661918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2.83</v>
      </c>
      <c r="G66">
        <v>46197</v>
      </c>
      <c r="H66">
        <v>46196.968999999997</v>
      </c>
      <c r="I66" cm="1">
        <f t="array" ref="I66">TREND($X$8:$X$13,$W$8:$W$13,H66)</f>
        <v>19.240772831025627</v>
      </c>
      <c r="J66">
        <f>I66/(2/0.2)*3</f>
        <v>5.7722318493076887</v>
      </c>
      <c r="K66">
        <v>0.13927650525047255</v>
      </c>
      <c r="L66" s="1">
        <f t="shared" si="0"/>
        <v>41.444404703628962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2.83</v>
      </c>
      <c r="G67">
        <v>45486</v>
      </c>
      <c r="H67">
        <v>45485.5</v>
      </c>
      <c r="I67" cm="1">
        <f t="array" ref="I67">TREND($X$8:$X$13,$W$8:$W$13,H67)</f>
        <v>18.939415246531688</v>
      </c>
      <c r="J67">
        <f>I67/(2/0.2)*3</f>
        <v>5.6818245739595064</v>
      </c>
      <c r="K67">
        <v>9.7416967803722054E-2</v>
      </c>
      <c r="L67" s="1">
        <f t="shared" si="0"/>
        <v>58.324793945623284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2.83</v>
      </c>
      <c r="G68">
        <v>43360</v>
      </c>
      <c r="H68">
        <v>43359.862999999998</v>
      </c>
      <c r="I68" cm="1">
        <f t="array" ref="I68">TREND($X$8:$X$13,$W$8:$W$13,H68)</f>
        <v>18.039057210087456</v>
      </c>
      <c r="J68">
        <f>I68/(2/0.2)*3</f>
        <v>5.4117171630262373</v>
      </c>
      <c r="K68">
        <v>7.4877216870856411E-2</v>
      </c>
      <c r="L68" s="1">
        <f t="shared" si="0"/>
        <v>72.274550112620133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2.83</v>
      </c>
      <c r="G69">
        <v>48328</v>
      </c>
      <c r="H69">
        <v>48327.777000000002</v>
      </c>
      <c r="I69" cm="1">
        <f t="array" ref="I69">TREND($X$8:$X$13,$W$8:$W$13,H69)</f>
        <v>20.143321152737975</v>
      </c>
      <c r="J69">
        <f>I69/(2/0.2)*3</f>
        <v>6.0429963458213933</v>
      </c>
      <c r="K69">
        <v>0.14491144298368897</v>
      </c>
      <c r="L69" s="1">
        <f t="shared" si="0"/>
        <v>41.701305441431458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2.83</v>
      </c>
      <c r="G70">
        <v>41379</v>
      </c>
      <c r="H70">
        <v>41379.050999999999</v>
      </c>
      <c r="I70" cm="1">
        <f t="array" ref="I70">TREND($X$8:$X$13,$W$8:$W$13,H70)</f>
        <v>17.200042833274683</v>
      </c>
      <c r="J70">
        <f>I70/(2/0.2)*3</f>
        <v>5.1600128499824045</v>
      </c>
      <c r="K70">
        <v>0.14571643408843418</v>
      </c>
      <c r="L70" s="1">
        <f t="shared" si="0"/>
        <v>35.411330796434619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2.83</v>
      </c>
      <c r="G71">
        <v>31642</v>
      </c>
      <c r="H71">
        <v>31642.074000000001</v>
      </c>
      <c r="I71" cm="1">
        <f t="array" ref="I71">TREND($X$8:$X$13,$W$8:$W$13,H71)</f>
        <v>13.075742450555214</v>
      </c>
      <c r="J71">
        <f>I71/(2/0.2)*3</f>
        <v>3.9227227351665643</v>
      </c>
      <c r="K71">
        <v>0.26405012648597881</v>
      </c>
      <c r="L71" s="1">
        <f t="shared" si="0"/>
        <v>14.855977489466808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2.83</v>
      </c>
      <c r="G72">
        <v>17468</v>
      </c>
      <c r="H72">
        <v>17468.393</v>
      </c>
      <c r="I72" cm="1">
        <f t="array" ref="I72">TREND($X$8:$X$13,$W$8:$W$13,H72)</f>
        <v>7.0721832377889049</v>
      </c>
      <c r="J72">
        <f>I72/(2/0.2)*3</f>
        <v>2.1216549713366715</v>
      </c>
      <c r="K72">
        <v>0.17469611385926145</v>
      </c>
      <c r="L72" s="1">
        <f t="shared" si="0"/>
        <v>12.144832099962553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2.84</v>
      </c>
      <c r="G73">
        <v>12801</v>
      </c>
      <c r="H73">
        <v>12800.636</v>
      </c>
      <c r="I73" cm="1">
        <f t="array" ref="I73">TREND($X$8:$X$13,$W$8:$W$13,H73)</f>
        <v>5.095057074140632</v>
      </c>
      <c r="J73">
        <f>I73/(2/0.2)*3</f>
        <v>1.5285171222421896</v>
      </c>
      <c r="K73">
        <v>0.1175417454223521</v>
      </c>
      <c r="L73" s="1">
        <f t="shared" ref="L73" si="1">J73/K73</f>
        <v>13.004036283023598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C638-763C-428A-9620-33E62FC57826}">
  <dimension ref="A1:AB73"/>
  <sheetViews>
    <sheetView topLeftCell="A5" workbookViewId="0">
      <selection activeCell="L5" activeCellId="2" sqref="I1:I1048576 K1:K1048576 L1:L1048576"/>
    </sheetView>
  </sheetViews>
  <sheetFormatPr defaultRowHeight="16.5" x14ac:dyDescent="0.3"/>
  <cols>
    <col min="2" max="2" width="26.75" bestFit="1" customWidth="1"/>
    <col min="3" max="3" width="11.875" bestFit="1" customWidth="1"/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244</v>
      </c>
      <c r="P3" t="s">
        <v>95</v>
      </c>
    </row>
    <row r="5" spans="1:28" x14ac:dyDescent="0.3">
      <c r="A5" t="s">
        <v>245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3.03</v>
      </c>
      <c r="G8">
        <v>310579</v>
      </c>
      <c r="H8">
        <v>310579.46899999998</v>
      </c>
      <c r="I8" cm="1">
        <f t="array" ref="I8">TREND($X$8:$X$16,$W$8:$W$16,H8)</f>
        <v>135.62465116631654</v>
      </c>
      <c r="J8">
        <f>I8/(2/0.2)*3</f>
        <v>40.687395349894956</v>
      </c>
      <c r="K8">
        <v>0.14813140740266978</v>
      </c>
      <c r="L8" s="1">
        <f>J8/K8</f>
        <v>274.67095643865224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3.03</v>
      </c>
      <c r="G9">
        <v>288803</v>
      </c>
      <c r="H9">
        <v>288802.84399999998</v>
      </c>
      <c r="I9" cm="1">
        <f t="array" ref="I9">TREND($X$8:$X$16,$W$8:$W$16,H9)</f>
        <v>125.93005533314302</v>
      </c>
      <c r="J9">
        <f>I9/(2/0.2)*3</f>
        <v>37.779016599942906</v>
      </c>
      <c r="K9">
        <v>0.11673675431760691</v>
      </c>
      <c r="L9" s="1">
        <f t="shared" ref="L9:L72" si="0">J9/K9</f>
        <v>323.62572371300593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3.03</v>
      </c>
      <c r="G10">
        <v>379791</v>
      </c>
      <c r="H10">
        <v>379790.59399999998</v>
      </c>
      <c r="I10" cm="1">
        <f t="array" ref="I10">TREND($X$8:$X$16,$W$8:$W$16,H10)</f>
        <v>166.43630742775525</v>
      </c>
      <c r="J10">
        <f>I10/(2/0.2)*3</f>
        <v>49.93089222832657</v>
      </c>
      <c r="K10">
        <v>8.6147092337289247E-2</v>
      </c>
      <c r="L10" s="1">
        <f t="shared" si="0"/>
        <v>579.60043541381037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3.03</v>
      </c>
      <c r="G11">
        <v>550963</v>
      </c>
      <c r="H11">
        <v>550962.5</v>
      </c>
      <c r="I11" cm="1">
        <f t="array" ref="I11">TREND($X$8:$X$16,$W$8:$W$16,H11)</f>
        <v>242.63922898534156</v>
      </c>
      <c r="J11">
        <f>I11/(2/0.2)*3</f>
        <v>72.791768695602457</v>
      </c>
      <c r="K11">
        <v>8.9367056756270047E-2</v>
      </c>
      <c r="L11" s="1">
        <f t="shared" si="0"/>
        <v>814.52574738056751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3.03</v>
      </c>
      <c r="G12">
        <v>439411</v>
      </c>
      <c r="H12">
        <v>439410.65600000002</v>
      </c>
      <c r="I12" cm="1">
        <f t="array" ref="I12">TREND($X$8:$X$16,$W$8:$W$16,H12)</f>
        <v>192.97817994651098</v>
      </c>
      <c r="J12">
        <f>I12/(2/0.2)*3</f>
        <v>57.893453983953293</v>
      </c>
      <c r="K12">
        <v>9.3392012279996037E-2</v>
      </c>
      <c r="L12" s="1">
        <f t="shared" si="0"/>
        <v>619.89727569403385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3.03</v>
      </c>
      <c r="G13">
        <v>315829</v>
      </c>
      <c r="H13">
        <v>315828.96899999998</v>
      </c>
      <c r="I13" cm="1">
        <f t="array" ref="I13">TREND($X$8:$X$16,$W$8:$W$16,H13)</f>
        <v>137.96164235876461</v>
      </c>
      <c r="J13">
        <f>I13/(2/0.2)*3</f>
        <v>41.388492707629382</v>
      </c>
      <c r="K13">
        <v>0.18918595374467503</v>
      </c>
      <c r="L13" s="1">
        <f t="shared" si="0"/>
        <v>218.77148851910647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3.03</v>
      </c>
      <c r="G14">
        <v>249849</v>
      </c>
      <c r="H14">
        <v>249849.141</v>
      </c>
      <c r="I14" cm="1">
        <f t="array" ref="I14">TREND($X$8:$X$16,$W$8:$W$16,H14)</f>
        <v>108.58850645720474</v>
      </c>
      <c r="J14">
        <f>I14/(2/0.2)*3</f>
        <v>32.576551937161426</v>
      </c>
      <c r="K14">
        <v>9.2587021175250833E-2</v>
      </c>
      <c r="L14" s="1">
        <f t="shared" si="0"/>
        <v>351.84793207138375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3.03</v>
      </c>
      <c r="G15">
        <v>213103</v>
      </c>
      <c r="H15">
        <v>213102.78099999999</v>
      </c>
      <c r="I15" cm="1">
        <f t="array" ref="I15">TREND($X$8:$X$16,$W$8:$W$16,H15)</f>
        <v>92.229630435769153</v>
      </c>
      <c r="J15">
        <f>I15/(2/0.2)*3</f>
        <v>27.668889130730744</v>
      </c>
      <c r="K15">
        <v>0.14974138961216016</v>
      </c>
      <c r="L15" s="1">
        <f t="shared" si="0"/>
        <v>184.77783064785859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3.03</v>
      </c>
      <c r="G16">
        <v>837928</v>
      </c>
      <c r="H16">
        <v>837927.875</v>
      </c>
      <c r="I16" cm="1">
        <f t="array" ref="I16">TREND($X$8:$X$16,$W$8:$W$16,H16)</f>
        <v>370.39150137558022</v>
      </c>
      <c r="J16">
        <f>I16/(2/0.2)*3</f>
        <v>111.11745041267407</v>
      </c>
      <c r="K16">
        <v>0.19965083810636269</v>
      </c>
      <c r="L16" s="1">
        <f t="shared" si="0"/>
        <v>556.55889785685235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3.03</v>
      </c>
      <c r="G17">
        <v>950852</v>
      </c>
      <c r="H17">
        <v>950852.43799999997</v>
      </c>
      <c r="I17" cm="1">
        <f t="array" ref="I17">TREND($X$8:$X$16,$W$8:$W$16,H17)</f>
        <v>420.66366237035061</v>
      </c>
      <c r="J17">
        <f>I17/(2/0.2)*3</f>
        <v>126.19909871110519</v>
      </c>
      <c r="K17">
        <v>0.22058060682973793</v>
      </c>
      <c r="L17" s="1">
        <f t="shared" si="0"/>
        <v>572.12236617209021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3.03</v>
      </c>
      <c r="G18">
        <v>681305</v>
      </c>
      <c r="H18">
        <v>681304.68799999997</v>
      </c>
      <c r="I18" cm="1">
        <f t="array" ref="I18">TREND($X$8:$X$16,$W$8:$W$16,H18)</f>
        <v>300.66543059700183</v>
      </c>
      <c r="J18">
        <f>I18/(2/0.2)*3</f>
        <v>90.199629179100555</v>
      </c>
      <c r="K18">
        <v>0.12720163867929454</v>
      </c>
      <c r="L18" s="1">
        <f t="shared" si="0"/>
        <v>709.10744637901394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3.03</v>
      </c>
      <c r="G19">
        <v>432759</v>
      </c>
      <c r="H19">
        <v>432758.5</v>
      </c>
      <c r="I19" cm="1">
        <f t="array" ref="I19">TREND($X$8:$X$16,$W$8:$W$16,H19)</f>
        <v>190.01674933734995</v>
      </c>
      <c r="J19">
        <f>I19/(2/0.2)*3</f>
        <v>57.005024801204989</v>
      </c>
      <c r="K19">
        <v>0.1594012828691026</v>
      </c>
      <c r="L19" s="1">
        <f t="shared" si="0"/>
        <v>357.61961117976989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3.03</v>
      </c>
      <c r="G20">
        <v>1058790</v>
      </c>
      <c r="H20">
        <v>1058789.75</v>
      </c>
      <c r="I20" cm="1">
        <f t="array" ref="I20">TREND($X$8:$X$16,$W$8:$W$16,H20)</f>
        <v>468.71558112080675</v>
      </c>
      <c r="J20">
        <f>I20/(2/0.2)*3</f>
        <v>140.61467433624205</v>
      </c>
      <c r="K20">
        <v>0.14491144298368897</v>
      </c>
      <c r="L20" s="1">
        <f t="shared" si="0"/>
        <v>970.34900378481109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3.03</v>
      </c>
      <c r="G21">
        <v>1113163</v>
      </c>
      <c r="H21">
        <v>1113163.125</v>
      </c>
      <c r="I21" cm="1">
        <f t="array" ref="I21">TREND($X$8:$X$16,$W$8:$W$16,H21)</f>
        <v>492.92171474851915</v>
      </c>
      <c r="J21">
        <f>I21/(2/0.2)*3</f>
        <v>147.87651442455575</v>
      </c>
      <c r="K21">
        <v>0.24553533107683917</v>
      </c>
      <c r="L21" s="1">
        <f t="shared" si="0"/>
        <v>602.26165324565227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3.03</v>
      </c>
      <c r="G22">
        <v>583108</v>
      </c>
      <c r="H22">
        <v>583107.75</v>
      </c>
      <c r="I22" cm="1">
        <f t="array" ref="I22">TREND($X$8:$X$16,$W$8:$W$16,H22)</f>
        <v>256.94976639443598</v>
      </c>
      <c r="J22">
        <f>I22/(2/0.2)*3</f>
        <v>77.084929918330801</v>
      </c>
      <c r="K22">
        <v>0.3002747261995129</v>
      </c>
      <c r="L22" s="1">
        <f t="shared" si="0"/>
        <v>256.71467890079072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3.03</v>
      </c>
      <c r="G23">
        <v>347766</v>
      </c>
      <c r="H23">
        <v>347765.875</v>
      </c>
      <c r="I23" cm="1">
        <f t="array" ref="I23">TREND($X$8:$X$16,$W$8:$W$16,H23)</f>
        <v>152.17942844049469</v>
      </c>
      <c r="J23">
        <f>I23/(2/0.2)*3</f>
        <v>45.65382853214841</v>
      </c>
      <c r="K23">
        <v>0.17147614944028067</v>
      </c>
      <c r="L23" s="1">
        <f t="shared" si="0"/>
        <v>266.24010791686277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3.03</v>
      </c>
      <c r="G24">
        <v>478907</v>
      </c>
      <c r="H24">
        <v>478906.78100000002</v>
      </c>
      <c r="I24" cm="1">
        <f t="array" ref="I24">TREND($X$8:$X$16,$W$8:$W$16,H24)</f>
        <v>210.56120618916799</v>
      </c>
      <c r="J24">
        <f>I24/(2/0.2)*3</f>
        <v>63.168361856750401</v>
      </c>
      <c r="K24">
        <v>0.18113604269722305</v>
      </c>
      <c r="L24" s="1">
        <f t="shared" si="0"/>
        <v>348.7343596345379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3.03</v>
      </c>
      <c r="G25">
        <v>454498</v>
      </c>
      <c r="H25">
        <v>454497.78100000002</v>
      </c>
      <c r="I25" cm="1">
        <f t="array" ref="I25">TREND($X$8:$X$16,$W$8:$W$16,H25)</f>
        <v>199.69472023498855</v>
      </c>
      <c r="J25">
        <f>I25/(2/0.2)*3</f>
        <v>59.908416070496571</v>
      </c>
      <c r="K25">
        <v>8.2927127918308433E-2</v>
      </c>
      <c r="L25" s="1">
        <f t="shared" si="0"/>
        <v>722.42241561184164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3.03</v>
      </c>
      <c r="G26">
        <v>929952</v>
      </c>
      <c r="H26">
        <v>929951.56299999997</v>
      </c>
      <c r="I26" cm="1">
        <f t="array" ref="I26">TREND($X$8:$X$16,$W$8:$W$16,H26)</f>
        <v>411.35893605556674</v>
      </c>
      <c r="J26">
        <f>I26/(2/0.2)*3</f>
        <v>123.40768081667002</v>
      </c>
      <c r="K26">
        <v>0.11593176321286171</v>
      </c>
      <c r="L26" s="1">
        <f t="shared" si="0"/>
        <v>1064.4854990265421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3.03</v>
      </c>
      <c r="G27">
        <v>820999</v>
      </c>
      <c r="H27">
        <v>820998.93799999997</v>
      </c>
      <c r="I27" cm="1">
        <f t="array" ref="I27">TREND($X$8:$X$16,$W$8:$W$16,H27)</f>
        <v>362.8550166310315</v>
      </c>
      <c r="J27">
        <f>I27/(2/0.2)*3</f>
        <v>108.85650498930944</v>
      </c>
      <c r="K27">
        <v>0.17469611385926145</v>
      </c>
      <c r="L27" s="1">
        <f t="shared" si="0"/>
        <v>623.11921304103157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3.03</v>
      </c>
      <c r="G28">
        <v>634653</v>
      </c>
      <c r="H28">
        <v>634652.93799999997</v>
      </c>
      <c r="I28" cm="1">
        <f t="array" ref="I28">TREND($X$8:$X$16,$W$8:$W$16,H28)</f>
        <v>279.89683761437692</v>
      </c>
      <c r="J28">
        <f>I28/(2/0.2)*3</f>
        <v>83.969051284313082</v>
      </c>
      <c r="K28">
        <v>0.17952606048773259</v>
      </c>
      <c r="L28" s="1">
        <f t="shared" si="0"/>
        <v>467.72625130963019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3.03</v>
      </c>
      <c r="G29">
        <v>861097</v>
      </c>
      <c r="H29">
        <v>861096.75</v>
      </c>
      <c r="I29" cm="1">
        <f t="array" ref="I29">TREND($X$8:$X$16,$W$8:$W$16,H29)</f>
        <v>380.70590404515451</v>
      </c>
      <c r="J29">
        <f>I29/(2/0.2)*3</f>
        <v>114.21177121354634</v>
      </c>
      <c r="K29">
        <v>0.19723586479212707</v>
      </c>
      <c r="L29" s="1">
        <f t="shared" si="0"/>
        <v>579.06188275604757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3.03</v>
      </c>
      <c r="G30">
        <v>1192706</v>
      </c>
      <c r="H30">
        <v>1192706.125</v>
      </c>
      <c r="I30" cm="1">
        <f t="array" ref="I30">TREND($X$8:$X$16,$W$8:$W$16,H30)</f>
        <v>528.3329520893891</v>
      </c>
      <c r="J30">
        <f>I30/(2/0.2)*3</f>
        <v>158.49988562681671</v>
      </c>
      <c r="K30">
        <v>0.28417490410460888</v>
      </c>
      <c r="L30" s="1">
        <f t="shared" si="0"/>
        <v>557.75469028915586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3.03</v>
      </c>
      <c r="G31">
        <v>739161</v>
      </c>
      <c r="H31">
        <v>739161.06299999997</v>
      </c>
      <c r="I31" cm="1">
        <f t="array" ref="I31">TREND($X$8:$X$16,$W$8:$W$16,H31)</f>
        <v>326.42213862671372</v>
      </c>
      <c r="J31">
        <f>I31/(2/0.2)*3</f>
        <v>97.926641588014107</v>
      </c>
      <c r="K31">
        <v>0.17872106938298743</v>
      </c>
      <c r="L31" s="1">
        <f t="shared" si="0"/>
        <v>547.93003380124026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3.03</v>
      </c>
      <c r="G32">
        <v>1180118</v>
      </c>
      <c r="H32">
        <v>1180117.75</v>
      </c>
      <c r="I32" cm="1">
        <f t="array" ref="I32">TREND($X$8:$X$16,$W$8:$W$16,H32)</f>
        <v>522.72881426631386</v>
      </c>
      <c r="J32">
        <f>I32/(2/0.2)*3</f>
        <v>156.81864427989416</v>
      </c>
      <c r="K32">
        <v>0.19884584700161748</v>
      </c>
      <c r="L32" s="1">
        <f t="shared" si="0"/>
        <v>788.64430233043061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3.03</v>
      </c>
      <c r="G33">
        <v>674478</v>
      </c>
      <c r="H33">
        <v>674478.375</v>
      </c>
      <c r="I33" cm="1">
        <f t="array" ref="I33">TREND($X$8:$X$16,$W$8:$W$16,H33)</f>
        <v>297.62646815145581</v>
      </c>
      <c r="J33">
        <f>I33/(2/0.2)*3</f>
        <v>89.287940445436732</v>
      </c>
      <c r="K33">
        <v>0.17469611385926145</v>
      </c>
      <c r="L33" s="1">
        <f t="shared" si="0"/>
        <v>511.10433124670885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3.03</v>
      </c>
      <c r="G34">
        <v>989382</v>
      </c>
      <c r="H34">
        <v>989382.43799999997</v>
      </c>
      <c r="I34" cm="1">
        <f t="array" ref="I34">TREND($X$8:$X$16,$W$8:$W$16,H34)</f>
        <v>437.81658562876078</v>
      </c>
      <c r="J34">
        <f>I34/(2/0.2)*3</f>
        <v>131.34497568862821</v>
      </c>
      <c r="K34">
        <v>0.24875529549582001</v>
      </c>
      <c r="L34" s="1">
        <f t="shared" si="0"/>
        <v>528.0087622932042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3.03</v>
      </c>
      <c r="G35">
        <v>744971</v>
      </c>
      <c r="H35">
        <v>744971.06299999997</v>
      </c>
      <c r="I35" cm="1">
        <f t="array" ref="I35">TREND($X$8:$X$16,$W$8:$W$16,H35)</f>
        <v>329.00865521460275</v>
      </c>
      <c r="J35">
        <f>I35/(2/0.2)*3</f>
        <v>98.702596564380826</v>
      </c>
      <c r="K35">
        <v>0.18274602490671343</v>
      </c>
      <c r="L35" s="1">
        <f t="shared" si="0"/>
        <v>540.10803580961965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3.03</v>
      </c>
      <c r="G36">
        <v>1357195</v>
      </c>
      <c r="H36">
        <v>1357194.625</v>
      </c>
      <c r="I36" cm="1">
        <f t="array" ref="I36">TREND($X$8:$X$16,$W$8:$W$16,H36)</f>
        <v>601.56053105100352</v>
      </c>
      <c r="J36">
        <f>I36/(2/0.2)*3</f>
        <v>180.46815931530108</v>
      </c>
      <c r="K36">
        <v>0.18113604269722305</v>
      </c>
      <c r="L36" s="1">
        <f t="shared" si="0"/>
        <v>996.31280792062807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3.03</v>
      </c>
      <c r="G37">
        <v>983324</v>
      </c>
      <c r="H37">
        <v>983323.75</v>
      </c>
      <c r="I37" cm="1">
        <f t="array" ref="I37">TREND($X$8:$X$16,$W$8:$W$16,H37)</f>
        <v>435.11935722723859</v>
      </c>
      <c r="J37">
        <f>I37/(2/0.2)*3</f>
        <v>130.53580716817157</v>
      </c>
      <c r="K37">
        <v>0.12156670094607813</v>
      </c>
      <c r="L37" s="1">
        <f t="shared" si="0"/>
        <v>1073.7793010116459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3.03</v>
      </c>
      <c r="G38">
        <v>909313</v>
      </c>
      <c r="H38">
        <v>909313.06299999997</v>
      </c>
      <c r="I38" cm="1">
        <f t="array" ref="I38">TREND($X$8:$X$16,$W$8:$W$16,H38)</f>
        <v>402.17101478204745</v>
      </c>
      <c r="J38">
        <f>I38/(2/0.2)*3</f>
        <v>120.65130443461425</v>
      </c>
      <c r="K38">
        <v>8.8562065651524843E-2</v>
      </c>
      <c r="L38" s="1">
        <f t="shared" si="0"/>
        <v>1362.3361599237596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3.03</v>
      </c>
      <c r="G39">
        <v>962139</v>
      </c>
      <c r="H39">
        <v>962139.25</v>
      </c>
      <c r="I39" cm="1">
        <f t="array" ref="I39">TREND($X$8:$X$16,$W$8:$W$16,H39)</f>
        <v>425.68836572015863</v>
      </c>
      <c r="J39">
        <f>I39/(2/0.2)*3</f>
        <v>127.70650971604758</v>
      </c>
      <c r="K39">
        <v>0.13766652304098212</v>
      </c>
      <c r="L39" s="1">
        <f t="shared" si="0"/>
        <v>927.65115944731508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3.03</v>
      </c>
      <c r="G40">
        <v>575996</v>
      </c>
      <c r="H40">
        <v>575996</v>
      </c>
      <c r="I40" cm="1">
        <f t="array" ref="I40">TREND($X$8:$X$16,$W$8:$W$16,H40)</f>
        <v>253.78373208395067</v>
      </c>
      <c r="J40">
        <f>I40/(2/0.2)*3</f>
        <v>76.135119625185212</v>
      </c>
      <c r="K40">
        <v>8.2122136813563229E-2</v>
      </c>
      <c r="L40" s="1">
        <f t="shared" si="0"/>
        <v>927.09618355438113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3.03</v>
      </c>
      <c r="G41">
        <v>612863</v>
      </c>
      <c r="H41">
        <v>612862.81299999997</v>
      </c>
      <c r="I41" cm="1">
        <f t="array" ref="I41">TREND($X$8:$X$16,$W$8:$W$16,H41)</f>
        <v>270.19623180290108</v>
      </c>
      <c r="J41">
        <f>I41/(2/0.2)*3</f>
        <v>81.058869540870319</v>
      </c>
      <c r="K41">
        <v>0.10224691443219328</v>
      </c>
      <c r="L41" s="1">
        <f t="shared" si="0"/>
        <v>792.77570370718468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3.03</v>
      </c>
      <c r="G42">
        <v>1118560</v>
      </c>
      <c r="H42">
        <v>1118559.75</v>
      </c>
      <c r="I42" cm="1">
        <f t="array" ref="I42">TREND($X$8:$X$16,$W$8:$W$16,H42)</f>
        <v>495.32420357487308</v>
      </c>
      <c r="J42">
        <f>I42/(2/0.2)*3</f>
        <v>148.59726107246195</v>
      </c>
      <c r="K42">
        <v>0.12639664757454935</v>
      </c>
      <c r="L42" s="1">
        <f t="shared" si="0"/>
        <v>1175.6424234655319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3.03</v>
      </c>
      <c r="G43">
        <v>356325</v>
      </c>
      <c r="H43">
        <v>356324.81300000002</v>
      </c>
      <c r="I43" cm="1">
        <f t="array" ref="I43">TREND($X$8:$X$16,$W$8:$W$16,H43)</f>
        <v>155.9897270827862</v>
      </c>
      <c r="J43">
        <f>I43/(2/0.2)*3</f>
        <v>46.796918124835855</v>
      </c>
      <c r="K43">
        <v>0.15054638071690538</v>
      </c>
      <c r="L43" s="1">
        <f t="shared" si="0"/>
        <v>310.84718145987858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3.03</v>
      </c>
      <c r="G44">
        <v>689251</v>
      </c>
      <c r="H44">
        <v>689251.125</v>
      </c>
      <c r="I44" cm="1">
        <f t="array" ref="I44">TREND($X$8:$X$16,$W$8:$W$16,H44)</f>
        <v>304.20305385261543</v>
      </c>
      <c r="J44">
        <f>I44/(2/0.2)*3</f>
        <v>91.260916155784628</v>
      </c>
      <c r="K44">
        <v>0.14893639850741497</v>
      </c>
      <c r="L44" s="1">
        <f t="shared" si="0"/>
        <v>612.75092637103819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3.03</v>
      </c>
      <c r="G45">
        <v>590172</v>
      </c>
      <c r="H45">
        <v>590172.18799999997</v>
      </c>
      <c r="I45" cm="1">
        <f t="array" ref="I45">TREND($X$8:$X$16,$W$8:$W$16,H45)</f>
        <v>260.09473817948128</v>
      </c>
      <c r="J45">
        <f>I45/(2/0.2)*3</f>
        <v>78.028421453844373</v>
      </c>
      <c r="K45">
        <v>4.0262599366812736E-2</v>
      </c>
      <c r="L45" s="1">
        <f t="shared" si="0"/>
        <v>1937.9876779183035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3.03</v>
      </c>
      <c r="G46">
        <v>601496</v>
      </c>
      <c r="H46">
        <v>601495.875</v>
      </c>
      <c r="I46" cm="1">
        <f t="array" ref="I46">TREND($X$8:$X$16,$W$8:$W$16,H46)</f>
        <v>265.13585767372626</v>
      </c>
      <c r="J46">
        <f>I46/(2/0.2)*3</f>
        <v>79.540757302117868</v>
      </c>
      <c r="K46">
        <v>0.11351678989862611</v>
      </c>
      <c r="L46" s="1">
        <f t="shared" si="0"/>
        <v>700.6959708176222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3.03</v>
      </c>
      <c r="G47">
        <v>486601</v>
      </c>
      <c r="H47">
        <v>486600.53100000002</v>
      </c>
      <c r="I47" cm="1">
        <f t="array" ref="I47">TREND($X$8:$X$16,$W$8:$W$16,H47)</f>
        <v>213.98633734202014</v>
      </c>
      <c r="J47">
        <f>I47/(2/0.2)*3</f>
        <v>64.195901202606052</v>
      </c>
      <c r="K47">
        <v>0.10144192332744809</v>
      </c>
      <c r="L47" s="1">
        <f t="shared" si="0"/>
        <v>632.83403051602011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3.03</v>
      </c>
      <c r="G48">
        <v>578355</v>
      </c>
      <c r="H48">
        <v>578355.125</v>
      </c>
      <c r="I48" cm="1">
        <f t="array" ref="I48">TREND($X$8:$X$16,$W$8:$W$16,H48)</f>
        <v>254.83397579228176</v>
      </c>
      <c r="J48">
        <f>I48/(2/0.2)*3</f>
        <v>76.450192737684517</v>
      </c>
      <c r="K48">
        <v>8.3732119023053622E-2</v>
      </c>
      <c r="L48" s="1">
        <f t="shared" si="0"/>
        <v>913.03305863590765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3.03</v>
      </c>
      <c r="G49">
        <v>749097</v>
      </c>
      <c r="H49">
        <v>749096.875</v>
      </c>
      <c r="I49" cm="1">
        <f t="array" ref="I49">TREND($X$8:$X$16,$W$8:$W$16,H49)</f>
        <v>330.84539896271144</v>
      </c>
      <c r="J49">
        <f>I49/(2/0.2)*3</f>
        <v>99.253619688813444</v>
      </c>
      <c r="K49">
        <v>0.22299558014397355</v>
      </c>
      <c r="L49" s="1">
        <f t="shared" si="0"/>
        <v>445.0923180842056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3.03</v>
      </c>
      <c r="G50">
        <v>836687</v>
      </c>
      <c r="H50">
        <v>836687.06299999997</v>
      </c>
      <c r="I50" cm="1">
        <f t="array" ref="I50">TREND($X$8:$X$16,$W$8:$W$16,H50)</f>
        <v>369.83911224985701</v>
      </c>
      <c r="J50">
        <f>I50/(2/0.2)*3</f>
        <v>110.95173367495711</v>
      </c>
      <c r="K50">
        <v>0.1175417454223521</v>
      </c>
      <c r="L50" s="1">
        <f t="shared" si="0"/>
        <v>943.934712525191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3.03</v>
      </c>
      <c r="G51">
        <v>1049298</v>
      </c>
      <c r="H51">
        <v>1049297.75</v>
      </c>
      <c r="I51" cm="1">
        <f t="array" ref="I51">TREND($X$8:$X$16,$W$8:$W$16,H51)</f>
        <v>464.48989859890617</v>
      </c>
      <c r="J51">
        <f>I51/(2/0.2)*3</f>
        <v>139.34696957967185</v>
      </c>
      <c r="K51">
        <v>0.11351678989862611</v>
      </c>
      <c r="L51" s="1">
        <f t="shared" si="0"/>
        <v>1227.5450151833297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3.03</v>
      </c>
      <c r="G52">
        <v>449426</v>
      </c>
      <c r="H52">
        <v>449425.93800000002</v>
      </c>
      <c r="I52" cm="1">
        <f t="array" ref="I52">TREND($X$8:$X$16,$W$8:$W$16,H52)</f>
        <v>197.43681902144834</v>
      </c>
      <c r="J52">
        <f>I52/(2/0.2)*3</f>
        <v>59.231045706434507</v>
      </c>
      <c r="K52">
        <v>8.4537110127798853E-2</v>
      </c>
      <c r="L52" s="1">
        <f t="shared" si="0"/>
        <v>700.65141352587113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3.03</v>
      </c>
      <c r="G53">
        <v>1493647</v>
      </c>
      <c r="H53">
        <v>1493647.375</v>
      </c>
      <c r="I53" cm="1">
        <f t="array" ref="I53">TREND($X$8:$X$16,$W$8:$W$16,H53)</f>
        <v>662.30705451710855</v>
      </c>
      <c r="J53">
        <f>I53/(2/0.2)*3</f>
        <v>198.69211635513258</v>
      </c>
      <c r="K53">
        <v>0.1078818521654097</v>
      </c>
      <c r="L53" s="1">
        <f t="shared" si="0"/>
        <v>1841.7566288210196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3.03</v>
      </c>
      <c r="G54">
        <v>962717</v>
      </c>
      <c r="H54">
        <v>962717.18799999997</v>
      </c>
      <c r="I54" cm="1">
        <f t="array" ref="I54">TREND($X$8:$X$16,$W$8:$W$16,H54)</f>
        <v>425.94565422683183</v>
      </c>
      <c r="J54">
        <f>I54/(2/0.2)*3</f>
        <v>127.78369626804954</v>
      </c>
      <c r="K54">
        <v>0.14813140740266978</v>
      </c>
      <c r="L54" s="1">
        <f t="shared" si="0"/>
        <v>862.6374278662696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3.03</v>
      </c>
      <c r="G55">
        <v>704817</v>
      </c>
      <c r="H55">
        <v>704817.31299999997</v>
      </c>
      <c r="I55" cm="1">
        <f t="array" ref="I55">TREND($X$8:$X$16,$W$8:$W$16,H55)</f>
        <v>311.13286512149637</v>
      </c>
      <c r="J55">
        <f>I55/(2/0.2)*3</f>
        <v>93.339859536448898</v>
      </c>
      <c r="K55">
        <v>6.6022314718659172E-2</v>
      </c>
      <c r="L55" s="1">
        <f t="shared" si="0"/>
        <v>1413.7623004312702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3.03</v>
      </c>
      <c r="G56">
        <v>929769</v>
      </c>
      <c r="H56">
        <v>929768.56299999997</v>
      </c>
      <c r="I56" cm="1">
        <f t="array" ref="I56">TREND($X$8:$X$16,$W$8:$W$16,H56)</f>
        <v>411.27746746080186</v>
      </c>
      <c r="J56">
        <f>I56/(2/0.2)*3</f>
        <v>123.38324023824055</v>
      </c>
      <c r="K56">
        <v>0.22621554456295434</v>
      </c>
      <c r="L56" s="1">
        <f t="shared" si="0"/>
        <v>545.42335044488414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3.03</v>
      </c>
      <c r="G57">
        <v>868170</v>
      </c>
      <c r="H57">
        <v>868170.25</v>
      </c>
      <c r="I57" cm="1">
        <f t="array" ref="I57">TREND($X$8:$X$16,$W$8:$W$16,H57)</f>
        <v>383.85491008378324</v>
      </c>
      <c r="J57">
        <f>I57/(2/0.2)*3</f>
        <v>115.15647302513497</v>
      </c>
      <c r="K57">
        <v>0.21897062462024752</v>
      </c>
      <c r="L57" s="1">
        <f t="shared" si="0"/>
        <v>525.89918499271982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3.03</v>
      </c>
      <c r="G58">
        <v>1240610</v>
      </c>
      <c r="H58">
        <v>1240610.375</v>
      </c>
      <c r="I58" cm="1">
        <f t="array" ref="I58">TREND($X$8:$X$16,$W$8:$W$16,H58)</f>
        <v>549.65913750339632</v>
      </c>
      <c r="J58">
        <f>I58/(2/0.2)*3</f>
        <v>164.89774125101889</v>
      </c>
      <c r="K58">
        <v>0.11271179879388092</v>
      </c>
      <c r="L58" s="1">
        <f t="shared" si="0"/>
        <v>1463.0033680198094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3.03</v>
      </c>
      <c r="G59">
        <v>1446082</v>
      </c>
      <c r="H59">
        <v>1446082.125</v>
      </c>
      <c r="I59" cm="1">
        <f t="array" ref="I59">TREND($X$8:$X$16,$W$8:$W$16,H59)</f>
        <v>641.13178633602638</v>
      </c>
      <c r="J59">
        <f>I59/(2/0.2)*3</f>
        <v>192.33953590080793</v>
      </c>
      <c r="K59">
        <v>9.1782030070505644E-2</v>
      </c>
      <c r="L59" s="1">
        <f t="shared" si="0"/>
        <v>2095.6121340207387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3.03</v>
      </c>
      <c r="G60">
        <v>680687</v>
      </c>
      <c r="H60">
        <v>680687.375</v>
      </c>
      <c r="I60" cm="1">
        <f t="array" ref="I60">TREND($X$8:$X$16,$W$8:$W$16,H60)</f>
        <v>300.39061298694685</v>
      </c>
      <c r="J60">
        <f>I60/(2/0.2)*3</f>
        <v>90.117183896084043</v>
      </c>
      <c r="K60">
        <v>0.16584121170706426</v>
      </c>
      <c r="L60" s="1">
        <f t="shared" si="0"/>
        <v>543.39438893671183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3.03</v>
      </c>
      <c r="G61">
        <v>962310</v>
      </c>
      <c r="H61">
        <v>962310.31299999997</v>
      </c>
      <c r="I61" cm="1">
        <f t="array" ref="I61">TREND($X$8:$X$16,$W$8:$W$16,H61)</f>
        <v>425.76452015855347</v>
      </c>
      <c r="J61">
        <f>I61/(2/0.2)*3</f>
        <v>127.72935604756603</v>
      </c>
      <c r="K61">
        <v>0.20850574025855992</v>
      </c>
      <c r="L61" s="1">
        <f t="shared" si="0"/>
        <v>612.59395491545592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3.03</v>
      </c>
      <c r="G62">
        <v>583612</v>
      </c>
      <c r="H62">
        <v>583611.875</v>
      </c>
      <c r="I62" cm="1">
        <f t="array" ref="I62">TREND($X$8:$X$16,$W$8:$W$16,H62)</f>
        <v>257.17419456567001</v>
      </c>
      <c r="J62">
        <f>I62/(2/0.2)*3</f>
        <v>77.152258369701002</v>
      </c>
      <c r="K62">
        <v>0.15457133624063138</v>
      </c>
      <c r="L62" s="1">
        <f t="shared" si="0"/>
        <v>499.13690497954292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3.03</v>
      </c>
      <c r="G63">
        <v>1107836</v>
      </c>
      <c r="H63">
        <v>1107835.5</v>
      </c>
      <c r="I63" cm="1">
        <f t="array" ref="I63">TREND($X$8:$X$16,$W$8:$W$16,H63)</f>
        <v>490.54994358904372</v>
      </c>
      <c r="J63">
        <f>I63/(2/0.2)*3</f>
        <v>147.16498307671313</v>
      </c>
      <c r="K63">
        <v>0.22863051787718996</v>
      </c>
      <c r="L63" s="1">
        <f t="shared" si="0"/>
        <v>643.68039946339775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3.03</v>
      </c>
      <c r="G64">
        <v>634335</v>
      </c>
      <c r="H64">
        <v>634335.18799999997</v>
      </c>
      <c r="I64" cm="1">
        <f t="array" ref="I64">TREND($X$8:$X$16,$W$8:$W$16,H64)</f>
        <v>279.75538053248334</v>
      </c>
      <c r="J64">
        <f>I64/(2/0.2)*3</f>
        <v>83.926614159745014</v>
      </c>
      <c r="K64">
        <v>0.19079593595416544</v>
      </c>
      <c r="L64" s="1">
        <f t="shared" si="0"/>
        <v>439.87631990183769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3.03</v>
      </c>
      <c r="G65">
        <v>648022</v>
      </c>
      <c r="H65">
        <v>648021.56299999997</v>
      </c>
      <c r="I65" cm="1">
        <f t="array" ref="I65">TREND($X$8:$X$16,$W$8:$W$16,H65)</f>
        <v>285.84832992414761</v>
      </c>
      <c r="J65">
        <f>I65/(2/0.2)*3</f>
        <v>85.754498977244282</v>
      </c>
      <c r="K65">
        <v>0.13122659420302052</v>
      </c>
      <c r="L65" s="1">
        <f t="shared" si="0"/>
        <v>653.48414700585454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3.03</v>
      </c>
      <c r="G66">
        <v>899592</v>
      </c>
      <c r="H66">
        <v>899592.25</v>
      </c>
      <c r="I66" cm="1">
        <f t="array" ref="I66">TREND($X$8:$X$16,$W$8:$W$16,H66)</f>
        <v>397.8434684701254</v>
      </c>
      <c r="J66">
        <f>I66/(2/0.2)*3</f>
        <v>119.35304054103763</v>
      </c>
      <c r="K66">
        <v>0.13927650525047255</v>
      </c>
      <c r="L66" s="1">
        <f t="shared" si="0"/>
        <v>856.95028265101212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3.03</v>
      </c>
      <c r="G67">
        <v>680554</v>
      </c>
      <c r="H67">
        <v>680554.06299999997</v>
      </c>
      <c r="I67" cm="1">
        <f t="array" ref="I67">TREND($X$8:$X$16,$W$8:$W$16,H67)</f>
        <v>300.33126467380316</v>
      </c>
      <c r="J67">
        <f>I67/(2/0.2)*3</f>
        <v>90.099379402140954</v>
      </c>
      <c r="K67">
        <v>9.7416967803722054E-2</v>
      </c>
      <c r="L67" s="1">
        <f t="shared" si="0"/>
        <v>924.8838414235521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3.03</v>
      </c>
      <c r="G68">
        <v>634891</v>
      </c>
      <c r="H68">
        <v>634891.18799999997</v>
      </c>
      <c r="I68" cm="1">
        <f t="array" ref="I68">TREND($X$8:$X$16,$W$8:$W$16,H68)</f>
        <v>280.00290260182351</v>
      </c>
      <c r="J68">
        <f>I68/(2/0.2)*3</f>
        <v>84.000870780547046</v>
      </c>
      <c r="K68">
        <v>7.4877216870856411E-2</v>
      </c>
      <c r="L68" s="1">
        <f t="shared" si="0"/>
        <v>1121.8481975021393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3.03</v>
      </c>
      <c r="G69">
        <v>869828</v>
      </c>
      <c r="H69">
        <v>869827.68799999997</v>
      </c>
      <c r="I69" cm="1">
        <f t="array" ref="I69">TREND($X$8:$X$16,$W$8:$W$16,H69)</f>
        <v>384.59277426285337</v>
      </c>
      <c r="J69">
        <f>I69/(2/0.2)*3</f>
        <v>115.37783227885602</v>
      </c>
      <c r="K69">
        <v>0.14491144298368897</v>
      </c>
      <c r="L69" s="1">
        <f t="shared" si="0"/>
        <v>796.19545498448178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3.03</v>
      </c>
      <c r="G70">
        <v>942899</v>
      </c>
      <c r="H70">
        <v>942898.81299999997</v>
      </c>
      <c r="I70" cm="1">
        <f t="array" ref="I70">TREND($X$8:$X$16,$W$8:$W$16,H70)</f>
        <v>417.12283913517871</v>
      </c>
      <c r="J70">
        <f>I70/(2/0.2)*3</f>
        <v>125.13685174055362</v>
      </c>
      <c r="K70">
        <v>0.14571643408843418</v>
      </c>
      <c r="L70" s="1">
        <f t="shared" si="0"/>
        <v>858.76965438647119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3.03</v>
      </c>
      <c r="G71">
        <v>537687</v>
      </c>
      <c r="H71">
        <v>537687.43799999997</v>
      </c>
      <c r="I71" cm="1">
        <f t="array" ref="I71">TREND($X$8:$X$16,$W$8:$W$16,H71)</f>
        <v>236.7293893866746</v>
      </c>
      <c r="J71">
        <f>I71/(2/0.2)*3</f>
        <v>71.018816816002385</v>
      </c>
      <c r="K71">
        <v>0.26405012648597881</v>
      </c>
      <c r="L71" s="1">
        <f t="shared" si="0"/>
        <v>268.95960157691314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3.03</v>
      </c>
      <c r="G72">
        <v>288545</v>
      </c>
      <c r="H72">
        <v>288544.68800000002</v>
      </c>
      <c r="I72" cm="1">
        <f t="array" ref="I72">TREND($X$8:$X$16,$W$8:$W$16,H72)</f>
        <v>125.81512852139379</v>
      </c>
      <c r="J72">
        <f>I72/(2/0.2)*3</f>
        <v>37.744538556418135</v>
      </c>
      <c r="K72">
        <v>0.17469611385926145</v>
      </c>
      <c r="L72" s="1">
        <f t="shared" si="0"/>
        <v>216.05826095722921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3.03</v>
      </c>
      <c r="G73">
        <v>178517</v>
      </c>
      <c r="H73">
        <v>178517.29699999999</v>
      </c>
      <c r="I73" cm="1">
        <f t="array" ref="I73">TREND($X$8:$X$16,$W$8:$W$16,H73)</f>
        <v>76.832740923519665</v>
      </c>
      <c r="J73">
        <f>I73/(2/0.2)*3</f>
        <v>23.049822277055902</v>
      </c>
      <c r="K73">
        <v>0.1175417454223521</v>
      </c>
      <c r="L73" s="1">
        <f t="shared" ref="L73" si="1">J73/K73</f>
        <v>196.09903012953453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01A1-600D-4D13-B36C-BE4737F52E04}">
  <dimension ref="A1:AB73"/>
  <sheetViews>
    <sheetView topLeftCell="A2" workbookViewId="0">
      <selection activeCell="L2" activeCellId="2" sqref="I1:I1048576 K1:K1048576 L1:L1048576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246</v>
      </c>
      <c r="P3" t="s">
        <v>95</v>
      </c>
    </row>
    <row r="5" spans="1:28" x14ac:dyDescent="0.3">
      <c r="A5" t="s">
        <v>247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3.12</v>
      </c>
      <c r="G8">
        <v>162200</v>
      </c>
      <c r="H8">
        <v>162200.375</v>
      </c>
      <c r="I8" cm="1">
        <f t="array" ref="I8">TREND($X$8:$X$16,$W$8:$W$16,H8)</f>
        <v>69.568715206430014</v>
      </c>
      <c r="J8">
        <f>I8/(2/0.2)*3</f>
        <v>20.870614561929003</v>
      </c>
      <c r="K8">
        <v>0.14813140740266978</v>
      </c>
      <c r="L8" s="1">
        <f>J8/K8</f>
        <v>140.89256915784119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3.12</v>
      </c>
      <c r="G9">
        <v>160755</v>
      </c>
      <c r="H9">
        <v>160755.29699999999</v>
      </c>
      <c r="I9" cm="1">
        <f t="array" ref="I9">TREND($X$8:$X$12,$W$8:$W$12,H9)</f>
        <v>61.48549794073476</v>
      </c>
      <c r="J9">
        <f>I9/(2/0.2)*3</f>
        <v>18.445649382220431</v>
      </c>
      <c r="K9">
        <v>0.11673675431760691</v>
      </c>
      <c r="L9" s="1">
        <f t="shared" ref="L9:L72" si="0">J9/K9</f>
        <v>158.01064103628545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3.12</v>
      </c>
      <c r="G10">
        <v>227307</v>
      </c>
      <c r="H10">
        <v>227307.46900000001</v>
      </c>
      <c r="I10" cm="1">
        <f t="array" ref="I10">TREND($X$8:$X$12,$W$8:$W$12,H10)</f>
        <v>86.794567751968899</v>
      </c>
      <c r="J10">
        <f>I10/(2/0.2)*3</f>
        <v>26.03837032559067</v>
      </c>
      <c r="K10">
        <v>8.6147092337289247E-2</v>
      </c>
      <c r="L10" s="1">
        <f t="shared" si="0"/>
        <v>302.25477864816821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3.12</v>
      </c>
      <c r="G11">
        <v>286521</v>
      </c>
      <c r="H11">
        <v>286520.53100000002</v>
      </c>
      <c r="I11" cm="1">
        <f t="array" ref="I11">TREND($X$8:$X$12,$W$8:$W$12,H11)</f>
        <v>109.31265356132361</v>
      </c>
      <c r="J11">
        <f>I11/(2/0.2)*3</f>
        <v>32.793796068397086</v>
      </c>
      <c r="K11">
        <v>8.9367056756270047E-2</v>
      </c>
      <c r="L11" s="1">
        <f t="shared" si="0"/>
        <v>366.95620577317777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3.12</v>
      </c>
      <c r="G12">
        <v>177411</v>
      </c>
      <c r="H12">
        <v>177410.984</v>
      </c>
      <c r="I12" cm="1">
        <f t="array" ref="I12">TREND($X$8:$X$12,$W$8:$W$12,H12)</f>
        <v>67.819475215542028</v>
      </c>
      <c r="J12">
        <f>I12/(2/0.2)*3</f>
        <v>20.345842564662611</v>
      </c>
      <c r="K12">
        <v>9.3392012279996037E-2</v>
      </c>
      <c r="L12" s="1">
        <f t="shared" si="0"/>
        <v>217.85420474359518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3.12</v>
      </c>
      <c r="G13">
        <v>153796</v>
      </c>
      <c r="H13">
        <v>153795.859</v>
      </c>
      <c r="I13" cm="1">
        <f t="array" ref="I13">TREND($X$8:$X$12,$W$8:$W$12,H13)</f>
        <v>58.838899086095495</v>
      </c>
      <c r="J13">
        <f>I13/(2/0.2)*3</f>
        <v>17.651669725828647</v>
      </c>
      <c r="K13">
        <v>0.18918595374467503</v>
      </c>
      <c r="L13" s="1">
        <f t="shared" si="0"/>
        <v>93.303278475162614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3.12</v>
      </c>
      <c r="G14">
        <v>137398</v>
      </c>
      <c r="H14">
        <v>137397.92199999999</v>
      </c>
      <c r="I14" cm="1">
        <f t="array" ref="I14">TREND($X$8:$X$12,$W$8:$W$12,H14)</f>
        <v>52.60294134315032</v>
      </c>
      <c r="J14">
        <f>I14/(2/0.2)*3</f>
        <v>15.780882402945096</v>
      </c>
      <c r="K14">
        <v>9.2587021175250833E-2</v>
      </c>
      <c r="L14" s="1">
        <f t="shared" si="0"/>
        <v>170.44378577721687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3.12</v>
      </c>
      <c r="G15">
        <v>114167</v>
      </c>
      <c r="H15">
        <v>114166.859</v>
      </c>
      <c r="I15" cm="1">
        <f t="array" ref="I15">TREND($X$8:$X$12,$W$8:$W$12,H15)</f>
        <v>43.768419830371172</v>
      </c>
      <c r="J15">
        <f>I15/(2/0.2)*3</f>
        <v>13.130525949111352</v>
      </c>
      <c r="K15">
        <v>0.14974138961216016</v>
      </c>
      <c r="L15" s="1">
        <f t="shared" si="0"/>
        <v>87.688019879608831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3.12</v>
      </c>
      <c r="G16">
        <v>308403</v>
      </c>
      <c r="H16">
        <v>308403.25</v>
      </c>
      <c r="I16" cm="1">
        <f t="array" ref="I16">TREND($X$8:$X$12,$W$8:$W$12,H16)</f>
        <v>117.6344144623896</v>
      </c>
      <c r="J16">
        <f>I16/(2/0.2)*3</f>
        <v>35.290324338716886</v>
      </c>
      <c r="K16">
        <v>0.19965083810636269</v>
      </c>
      <c r="L16" s="1">
        <f t="shared" si="0"/>
        <v>176.76021134414771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3.12</v>
      </c>
      <c r="G17">
        <v>420673</v>
      </c>
      <c r="H17">
        <v>420672.81300000002</v>
      </c>
      <c r="I17" cm="1">
        <f t="array" ref="I17">TREND($X$8:$X$12,$W$8:$W$12,H17)</f>
        <v>160.32931264908962</v>
      </c>
      <c r="J17">
        <f>I17/(2/0.2)*3</f>
        <v>48.09879379472688</v>
      </c>
      <c r="K17">
        <v>0.22058060682973793</v>
      </c>
      <c r="L17" s="1">
        <f t="shared" si="0"/>
        <v>218.0554060758997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3.12</v>
      </c>
      <c r="G18">
        <v>366806</v>
      </c>
      <c r="H18">
        <v>366805.56300000002</v>
      </c>
      <c r="I18" cm="1">
        <f t="array" ref="I18">TREND($X$8:$X$12,$W$8:$W$12,H18)</f>
        <v>139.84418121282033</v>
      </c>
      <c r="J18">
        <f>I18/(2/0.2)*3</f>
        <v>41.953254363846099</v>
      </c>
      <c r="K18">
        <v>0.12720163867929454</v>
      </c>
      <c r="L18" s="1">
        <f t="shared" si="0"/>
        <v>329.81693317348049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3.12</v>
      </c>
      <c r="G19">
        <v>226506</v>
      </c>
      <c r="H19">
        <v>226506.18799999999</v>
      </c>
      <c r="I19" cm="1">
        <f t="array" ref="I19">TREND($X$8:$X$12,$W$8:$W$12,H19)</f>
        <v>86.489849270843806</v>
      </c>
      <c r="J19">
        <f>I19/(2/0.2)*3</f>
        <v>25.946954781253144</v>
      </c>
      <c r="K19">
        <v>0.1594012828691026</v>
      </c>
      <c r="L19" s="1">
        <f t="shared" si="0"/>
        <v>162.77757816140229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3.12</v>
      </c>
      <c r="G20">
        <v>452392</v>
      </c>
      <c r="H20">
        <v>452392.21899999998</v>
      </c>
      <c r="I20" cm="1">
        <f t="array" ref="I20">TREND($X$8:$X$12,$W$8:$W$12,H20)</f>
        <v>172.39185901985087</v>
      </c>
      <c r="J20">
        <f>I20/(2/0.2)*3</f>
        <v>51.717557705955265</v>
      </c>
      <c r="K20">
        <v>0.14491144298368897</v>
      </c>
      <c r="L20" s="1">
        <f t="shared" si="0"/>
        <v>356.89077854104676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3.12</v>
      </c>
      <c r="G21">
        <v>534122</v>
      </c>
      <c r="H21">
        <v>534122.125</v>
      </c>
      <c r="I21" cm="1">
        <f t="array" ref="I21">TREND($X$8:$X$12,$W$8:$W$12,H21)</f>
        <v>203.47285659600215</v>
      </c>
      <c r="J21">
        <f>I21/(2/0.2)*3</f>
        <v>61.041856978800638</v>
      </c>
      <c r="K21">
        <v>0.24553533107683917</v>
      </c>
      <c r="L21" s="1">
        <f t="shared" si="0"/>
        <v>248.6072236980749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3.12</v>
      </c>
      <c r="G22">
        <v>293662</v>
      </c>
      <c r="H22">
        <v>293661.93800000002</v>
      </c>
      <c r="I22" cm="1">
        <f t="array" ref="I22">TREND($X$8:$X$12,$W$8:$W$12,H22)</f>
        <v>112.02845325473461</v>
      </c>
      <c r="J22">
        <f>I22/(2/0.2)*3</f>
        <v>33.608535976420384</v>
      </c>
      <c r="K22">
        <v>0.3002747261995129</v>
      </c>
      <c r="L22" s="1">
        <f t="shared" si="0"/>
        <v>111.92595661244468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3.12</v>
      </c>
      <c r="G23">
        <v>230619</v>
      </c>
      <c r="H23">
        <v>230618.891</v>
      </c>
      <c r="I23" cm="1">
        <f t="array" ref="I23">TREND($X$8:$X$12,$W$8:$W$12,H23)</f>
        <v>88.053865653958567</v>
      </c>
      <c r="J23">
        <f>I23/(2/0.2)*3</f>
        <v>26.41615969618757</v>
      </c>
      <c r="K23">
        <v>0.17147614944028067</v>
      </c>
      <c r="L23" s="1">
        <f t="shared" si="0"/>
        <v>154.05150968465981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3.12</v>
      </c>
      <c r="G24">
        <v>206921</v>
      </c>
      <c r="H24">
        <v>206920.93799999999</v>
      </c>
      <c r="I24" cm="1">
        <f t="array" ref="I24">TREND($X$8:$X$12,$W$8:$W$12,H24)</f>
        <v>79.041790933687309</v>
      </c>
      <c r="J24">
        <f>I24/(2/0.2)*3</f>
        <v>23.71253728010619</v>
      </c>
      <c r="K24">
        <v>0.18113604269722305</v>
      </c>
      <c r="L24" s="1">
        <f t="shared" si="0"/>
        <v>130.91009898975628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3.12</v>
      </c>
      <c r="G25">
        <v>221943</v>
      </c>
      <c r="H25">
        <v>221943.359</v>
      </c>
      <c r="I25" cm="1">
        <f t="array" ref="I25">TREND($X$8:$X$12,$W$8:$W$12,H25)</f>
        <v>84.754654847771874</v>
      </c>
      <c r="J25">
        <f>I25/(2/0.2)*3</f>
        <v>25.426396454331559</v>
      </c>
      <c r="K25">
        <v>8.2927127918308433E-2</v>
      </c>
      <c r="L25" s="1">
        <f t="shared" si="0"/>
        <v>306.61132361148594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3.12</v>
      </c>
      <c r="G26">
        <v>451217</v>
      </c>
      <c r="H26">
        <v>451217.25</v>
      </c>
      <c r="I26" cm="1">
        <f t="array" ref="I26">TREND($X$8:$X$12,$W$8:$W$12,H26)</f>
        <v>171.94503104183934</v>
      </c>
      <c r="J26">
        <f>I26/(2/0.2)*3</f>
        <v>51.583509312551797</v>
      </c>
      <c r="K26">
        <v>0.11593176321286171</v>
      </c>
      <c r="L26" s="1">
        <f t="shared" si="0"/>
        <v>444.94716446121487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3.12</v>
      </c>
      <c r="G27">
        <v>460135</v>
      </c>
      <c r="H27">
        <v>460135.21899999998</v>
      </c>
      <c r="I27" cm="1">
        <f t="array" ref="I27">TREND($X$8:$X$12,$W$8:$W$12,H27)</f>
        <v>175.33643801192923</v>
      </c>
      <c r="J27">
        <f>I27/(2/0.2)*3</f>
        <v>52.60093140357877</v>
      </c>
      <c r="K27">
        <v>0.17469611385926145</v>
      </c>
      <c r="L27" s="1">
        <f t="shared" si="0"/>
        <v>301.09960800819584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3.12</v>
      </c>
      <c r="G28">
        <v>310727</v>
      </c>
      <c r="H28">
        <v>310726.625</v>
      </c>
      <c r="I28" cm="1">
        <f t="array" ref="I28">TREND($X$8:$X$12,$W$8:$W$12,H28)</f>
        <v>118.51796879736573</v>
      </c>
      <c r="J28">
        <f>I28/(2/0.2)*3</f>
        <v>35.555390639209719</v>
      </c>
      <c r="K28">
        <v>0.17952606048773259</v>
      </c>
      <c r="L28" s="1">
        <f t="shared" si="0"/>
        <v>198.05141683950279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3.12</v>
      </c>
      <c r="G29">
        <v>401288</v>
      </c>
      <c r="H29">
        <v>401288.03100000002</v>
      </c>
      <c r="I29" cm="1">
        <f t="array" ref="I29">TREND($X$8:$X$12,$W$8:$W$12,H29)</f>
        <v>152.95749011993829</v>
      </c>
      <c r="J29">
        <f>I29/(2/0.2)*3</f>
        <v>45.887247035981488</v>
      </c>
      <c r="K29">
        <v>0.19723586479212707</v>
      </c>
      <c r="L29" s="1">
        <f t="shared" si="0"/>
        <v>232.65163810011666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3.12</v>
      </c>
      <c r="G30">
        <v>443111</v>
      </c>
      <c r="H30">
        <v>443111.25</v>
      </c>
      <c r="I30" cm="1">
        <f t="array" ref="I30">TREND($X$8:$X$12,$W$8:$W$12,H30)</f>
        <v>168.86240708345275</v>
      </c>
      <c r="J30">
        <f>I30/(2/0.2)*3</f>
        <v>50.65872212503583</v>
      </c>
      <c r="K30">
        <v>0.28417490410460888</v>
      </c>
      <c r="L30" s="1">
        <f t="shared" si="0"/>
        <v>178.26599531951499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3.12</v>
      </c>
      <c r="G31">
        <v>346164</v>
      </c>
      <c r="H31">
        <v>346163.53100000002</v>
      </c>
      <c r="I31" cm="1">
        <f t="array" ref="I31">TREND($X$8:$X$12,$W$8:$W$12,H31)</f>
        <v>131.99424013300509</v>
      </c>
      <c r="J31">
        <f>I31/(2/0.2)*3</f>
        <v>39.598272039901531</v>
      </c>
      <c r="K31">
        <v>0.17872106938298743</v>
      </c>
      <c r="L31" s="1">
        <f t="shared" si="0"/>
        <v>221.56465478082526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3.12</v>
      </c>
      <c r="G32">
        <v>595609</v>
      </c>
      <c r="H32">
        <v>595609.25</v>
      </c>
      <c r="I32" cm="1">
        <f t="array" ref="I32">TREND($X$8:$X$12,$W$8:$W$12,H32)</f>
        <v>226.8557439211082</v>
      </c>
      <c r="J32">
        <f>I32/(2/0.2)*3</f>
        <v>68.056723176332454</v>
      </c>
      <c r="K32">
        <v>0.19884584700161748</v>
      </c>
      <c r="L32" s="1">
        <f t="shared" si="0"/>
        <v>342.25871046619778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3.12</v>
      </c>
      <c r="G33">
        <v>306817</v>
      </c>
      <c r="H33">
        <v>306817.125</v>
      </c>
      <c r="I33" cm="1">
        <f t="array" ref="I33">TREND($X$8:$X$12,$W$8:$W$12,H33)</f>
        <v>117.03122831311796</v>
      </c>
      <c r="J33">
        <f>I33/(2/0.2)*3</f>
        <v>35.109368493935392</v>
      </c>
      <c r="K33">
        <v>0.17469611385926145</v>
      </c>
      <c r="L33" s="1">
        <f t="shared" si="0"/>
        <v>200.97395253004984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3.12</v>
      </c>
      <c r="G34">
        <v>483575</v>
      </c>
      <c r="H34">
        <v>483575.46899999998</v>
      </c>
      <c r="I34" cm="1">
        <f t="array" ref="I34">TREND($X$8:$X$12,$W$8:$W$12,H34)</f>
        <v>184.25051107392909</v>
      </c>
      <c r="J34">
        <f>I34/(2/0.2)*3</f>
        <v>55.275153322178731</v>
      </c>
      <c r="K34">
        <v>0.24875529549582001</v>
      </c>
      <c r="L34" s="1">
        <f t="shared" si="0"/>
        <v>222.20694121105677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3.12</v>
      </c>
      <c r="G35">
        <v>346544</v>
      </c>
      <c r="H35">
        <v>346543.96899999998</v>
      </c>
      <c r="I35" cm="1">
        <f t="array" ref="I35">TREND($X$8:$X$12,$W$8:$W$12,H35)</f>
        <v>132.13891658174438</v>
      </c>
      <c r="J35">
        <f>I35/(2/0.2)*3</f>
        <v>39.641674974523312</v>
      </c>
      <c r="K35">
        <v>0.18274602490671343</v>
      </c>
      <c r="L35" s="1">
        <f t="shared" si="0"/>
        <v>216.92222851227129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3.12</v>
      </c>
      <c r="G36">
        <v>594009</v>
      </c>
      <c r="H36">
        <v>594009.25</v>
      </c>
      <c r="I36" cm="1">
        <f t="array" ref="I36">TREND($X$8:$X$12,$W$8:$W$12,H36)</f>
        <v>226.24728125969463</v>
      </c>
      <c r="J36">
        <f>I36/(2/0.2)*3</f>
        <v>67.874184377908392</v>
      </c>
      <c r="K36">
        <v>0.18113604269722305</v>
      </c>
      <c r="L36" s="1">
        <f t="shared" si="0"/>
        <v>374.71385245709001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3.12</v>
      </c>
      <c r="G37">
        <v>418512</v>
      </c>
      <c r="H37">
        <v>418511.59399999998</v>
      </c>
      <c r="I37" cm="1">
        <f t="array" ref="I37">TREND($X$8:$X$12,$W$8:$W$12,H37)</f>
        <v>159.50742448369112</v>
      </c>
      <c r="J37">
        <f>I37/(2/0.2)*3</f>
        <v>47.852227345107337</v>
      </c>
      <c r="K37">
        <v>0.12156670094607813</v>
      </c>
      <c r="L37" s="1">
        <f t="shared" si="0"/>
        <v>393.62939828672796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3.12</v>
      </c>
      <c r="G38">
        <v>421779</v>
      </c>
      <c r="H38">
        <v>421779.15600000002</v>
      </c>
      <c r="I38" cm="1">
        <f t="array" ref="I38">TREND($X$8:$X$12,$W$8:$W$12,H38)</f>
        <v>160.7500429029748</v>
      </c>
      <c r="J38">
        <f>I38/(2/0.2)*3</f>
        <v>48.225012870892435</v>
      </c>
      <c r="K38">
        <v>8.8562065651524843E-2</v>
      </c>
      <c r="L38" s="1">
        <f t="shared" si="0"/>
        <v>544.5335146161658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3.12</v>
      </c>
      <c r="G39">
        <v>510965</v>
      </c>
      <c r="H39">
        <v>510965.40600000002</v>
      </c>
      <c r="I39" cm="1">
        <f t="array" ref="I39">TREND($X$8:$X$12,$W$8:$W$12,H39)</f>
        <v>194.66660730078559</v>
      </c>
      <c r="J39">
        <f>I39/(2/0.2)*3</f>
        <v>58.399982190235676</v>
      </c>
      <c r="K39">
        <v>0.13766652304098212</v>
      </c>
      <c r="L39" s="1">
        <f t="shared" si="0"/>
        <v>424.21338826760746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3.12</v>
      </c>
      <c r="G40">
        <v>276304</v>
      </c>
      <c r="H40">
        <v>276304.46899999998</v>
      </c>
      <c r="I40" cm="1">
        <f t="array" ref="I40">TREND($X$8:$X$12,$W$8:$W$12,H40)</f>
        <v>105.42759589026974</v>
      </c>
      <c r="J40">
        <f>I40/(2/0.2)*3</f>
        <v>31.628278767080925</v>
      </c>
      <c r="K40">
        <v>8.2122136813563229E-2</v>
      </c>
      <c r="L40" s="1">
        <f t="shared" si="0"/>
        <v>385.13706528222269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3.12</v>
      </c>
      <c r="G41">
        <v>318790</v>
      </c>
      <c r="H41">
        <v>318790.25</v>
      </c>
      <c r="I41" cm="1">
        <f t="array" ref="I41">TREND($X$8:$X$12,$W$8:$W$12,H41)</f>
        <v>121.58447800245392</v>
      </c>
      <c r="J41">
        <f>I41/(2/0.2)*3</f>
        <v>36.475343400736179</v>
      </c>
      <c r="K41">
        <v>0.10224691443219328</v>
      </c>
      <c r="L41" s="1">
        <f t="shared" si="0"/>
        <v>356.73783999541035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3.12</v>
      </c>
      <c r="G42">
        <v>562217</v>
      </c>
      <c r="H42">
        <v>562216.875</v>
      </c>
      <c r="I42" cm="1">
        <f t="array" ref="I42">TREND($X$8:$X$12,$W$8:$W$12,H42)</f>
        <v>214.15698556897044</v>
      </c>
      <c r="J42">
        <f>I42/(2/0.2)*3</f>
        <v>64.247095670691138</v>
      </c>
      <c r="K42">
        <v>0.12639664757454935</v>
      </c>
      <c r="L42" s="1">
        <f t="shared" si="0"/>
        <v>508.29746598142873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3.12</v>
      </c>
      <c r="G43">
        <v>228695</v>
      </c>
      <c r="H43">
        <v>228695.141</v>
      </c>
      <c r="I43" cm="1">
        <f t="array" ref="I43">TREND($X$8:$X$12,$W$8:$W$12,H43)</f>
        <v>87.322284375899585</v>
      </c>
      <c r="J43">
        <f>I43/(2/0.2)*3</f>
        <v>26.196685312769873</v>
      </c>
      <c r="K43">
        <v>0.15054638071690538</v>
      </c>
      <c r="L43" s="1">
        <f t="shared" si="0"/>
        <v>174.01072804288384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3.12</v>
      </c>
      <c r="G44">
        <v>324912</v>
      </c>
      <c r="H44">
        <v>324912.40600000002</v>
      </c>
      <c r="I44" cm="1">
        <f t="array" ref="I44">TREND($X$8:$X$12,$W$8:$W$12,H44)</f>
        <v>123.91266758579714</v>
      </c>
      <c r="J44">
        <f>I44/(2/0.2)*3</f>
        <v>37.17380027573914</v>
      </c>
      <c r="K44">
        <v>0.14893639850741497</v>
      </c>
      <c r="L44" s="1">
        <f t="shared" si="0"/>
        <v>249.59513354882421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3.12</v>
      </c>
      <c r="G45">
        <v>282739</v>
      </c>
      <c r="H45">
        <v>282738.59399999998</v>
      </c>
      <c r="I45" cm="1">
        <f t="array" ref="I45">TREND($X$8:$X$12,$W$8:$W$12,H45)</f>
        <v>107.87442390362453</v>
      </c>
      <c r="J45">
        <f>I45/(2/0.2)*3</f>
        <v>32.362327171087358</v>
      </c>
      <c r="K45">
        <v>4.0262599366812736E-2</v>
      </c>
      <c r="L45" s="1">
        <f t="shared" si="0"/>
        <v>803.78136732430301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3.12</v>
      </c>
      <c r="G46">
        <v>277877</v>
      </c>
      <c r="H46">
        <v>277877.06300000002</v>
      </c>
      <c r="I46" cm="1">
        <f t="array" ref="I46">TREND($X$8:$X$12,$W$8:$W$12,H46)</f>
        <v>106.02563634687165</v>
      </c>
      <c r="J46">
        <f>I46/(2/0.2)*3</f>
        <v>31.807690904061495</v>
      </c>
      <c r="K46">
        <v>0.11351678989862611</v>
      </c>
      <c r="L46" s="1">
        <f t="shared" si="0"/>
        <v>280.20252274986558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3.12</v>
      </c>
      <c r="G47">
        <v>267152</v>
      </c>
      <c r="H47">
        <v>267152</v>
      </c>
      <c r="I47" cm="1">
        <f t="array" ref="I47">TREND($X$8:$X$12,$W$8:$W$12,H47)</f>
        <v>101.94701111136642</v>
      </c>
      <c r="J47">
        <f>I47/(2/0.2)*3</f>
        <v>30.584103333409924</v>
      </c>
      <c r="K47">
        <v>0.10144192332744809</v>
      </c>
      <c r="L47" s="1">
        <f t="shared" si="0"/>
        <v>301.49372498278035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3.12</v>
      </c>
      <c r="G48">
        <v>296578</v>
      </c>
      <c r="H48">
        <v>296578.34399999998</v>
      </c>
      <c r="I48" cm="1">
        <f t="array" ref="I48">TREND($X$8:$X$12,$W$8:$W$12,H48)</f>
        <v>113.13753085256118</v>
      </c>
      <c r="J48">
        <f>I48/(2/0.2)*3</f>
        <v>33.941259255768358</v>
      </c>
      <c r="K48">
        <v>8.3732119023053622E-2</v>
      </c>
      <c r="L48" s="1">
        <f t="shared" si="0"/>
        <v>405.35531229567295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3.12</v>
      </c>
      <c r="G49">
        <v>342380</v>
      </c>
      <c r="H49">
        <v>342379.75</v>
      </c>
      <c r="I49" cm="1">
        <f t="array" ref="I49">TREND($X$8:$X$12,$W$8:$W$12,H49)</f>
        <v>130.55530922208874</v>
      </c>
      <c r="J49">
        <f>I49/(2/0.2)*3</f>
        <v>39.166592766626621</v>
      </c>
      <c r="K49">
        <v>0.22299558014397355</v>
      </c>
      <c r="L49" s="1">
        <f t="shared" si="0"/>
        <v>175.63842629230288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3.12</v>
      </c>
      <c r="G50">
        <v>420514</v>
      </c>
      <c r="H50">
        <v>420513.68800000002</v>
      </c>
      <c r="I50" cm="1">
        <f t="array" ref="I50">TREND($X$8:$X$12,$W$8:$W$12,H50)</f>
        <v>160.26879913596622</v>
      </c>
      <c r="J50">
        <f>I50/(2/0.2)*3</f>
        <v>48.08063974078987</v>
      </c>
      <c r="K50">
        <v>0.1175417454223521</v>
      </c>
      <c r="L50" s="1">
        <f t="shared" si="0"/>
        <v>409.05160603176398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3.12</v>
      </c>
      <c r="G51">
        <v>637856</v>
      </c>
      <c r="H51">
        <v>637856.06299999997</v>
      </c>
      <c r="I51" cm="1">
        <f t="array" ref="I51">TREND($X$8:$X$12,$W$8:$W$12,H51)</f>
        <v>242.92174909249695</v>
      </c>
      <c r="J51">
        <f>I51/(2/0.2)*3</f>
        <v>72.876524727749086</v>
      </c>
      <c r="K51">
        <v>0.11351678989862611</v>
      </c>
      <c r="L51" s="1">
        <f t="shared" si="0"/>
        <v>641.98894976531665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3.11</v>
      </c>
      <c r="G52">
        <v>184255</v>
      </c>
      <c r="H52">
        <v>184254.68799999999</v>
      </c>
      <c r="I52" cm="1">
        <f t="array" ref="I52">TREND($X$8:$X$12,$W$8:$W$12,H52)</f>
        <v>70.422061684146271</v>
      </c>
      <c r="J52">
        <f>I52/(2/0.2)*3</f>
        <v>21.126618505243883</v>
      </c>
      <c r="K52">
        <v>8.4537110127798853E-2</v>
      </c>
      <c r="L52" s="1">
        <f t="shared" si="0"/>
        <v>249.90940041959973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3.12</v>
      </c>
      <c r="G53">
        <v>728089</v>
      </c>
      <c r="H53">
        <v>728089.125</v>
      </c>
      <c r="I53" cm="1">
        <f t="array" ref="I53">TREND($X$8:$X$12,$W$8:$W$12,H53)</f>
        <v>277.23640475000758</v>
      </c>
      <c r="J53">
        <f>I53/(2/0.2)*3</f>
        <v>83.170921425002263</v>
      </c>
      <c r="K53">
        <v>0.1078818521654097</v>
      </c>
      <c r="L53" s="1">
        <f t="shared" si="0"/>
        <v>770.9445078629218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3.12</v>
      </c>
      <c r="G54">
        <v>446560</v>
      </c>
      <c r="H54">
        <v>446559.53100000002</v>
      </c>
      <c r="I54" cm="1">
        <f t="array" ref="I54">TREND($X$8:$X$12,$W$8:$W$12,H54)</f>
        <v>170.17375098005397</v>
      </c>
      <c r="J54">
        <f>I54/(2/0.2)*3</f>
        <v>51.052125294016186</v>
      </c>
      <c r="K54">
        <v>0.14813140740266978</v>
      </c>
      <c r="L54" s="1">
        <f t="shared" si="0"/>
        <v>344.64079015491802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3.12</v>
      </c>
      <c r="G55">
        <v>355009</v>
      </c>
      <c r="H55">
        <v>355009.18800000002</v>
      </c>
      <c r="I55" cm="1">
        <f t="array" ref="I55">TREND($X$8:$X$12,$W$8:$W$12,H55)</f>
        <v>135.35814763311242</v>
      </c>
      <c r="J55">
        <f>I55/(2/0.2)*3</f>
        <v>40.607444289933724</v>
      </c>
      <c r="K55">
        <v>6.6022314718659172E-2</v>
      </c>
      <c r="L55" s="1">
        <f t="shared" si="0"/>
        <v>615.05635576356553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3.12</v>
      </c>
      <c r="G56">
        <v>511971</v>
      </c>
      <c r="H56">
        <v>511970.93800000002</v>
      </c>
      <c r="I56" cm="1">
        <f t="array" ref="I56">TREND($X$8:$X$12,$W$8:$W$12,H56)</f>
        <v>195.04900022382091</v>
      </c>
      <c r="J56">
        <f>I56/(2/0.2)*3</f>
        <v>58.514700067146279</v>
      </c>
      <c r="K56">
        <v>0.22621554456295434</v>
      </c>
      <c r="L56" s="1">
        <f t="shared" si="0"/>
        <v>258.66790091810873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3.11</v>
      </c>
      <c r="G57">
        <v>317449</v>
      </c>
      <c r="H57">
        <v>317449.25</v>
      </c>
      <c r="I57" cm="1">
        <f t="array" ref="I57">TREND($X$8:$X$12,$W$8:$W$12,H57)</f>
        <v>121.07451023435665</v>
      </c>
      <c r="J57">
        <f>I57/(2/0.2)*3</f>
        <v>36.322353070306995</v>
      </c>
      <c r="K57">
        <v>0.21897062462024752</v>
      </c>
      <c r="L57" s="1">
        <f t="shared" si="0"/>
        <v>165.87774334251216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3.12</v>
      </c>
      <c r="G58">
        <v>452329</v>
      </c>
      <c r="H58">
        <v>452328.56300000002</v>
      </c>
      <c r="I58" cm="1">
        <f t="array" ref="I58">TREND($X$8:$X$12,$W$8:$W$12,H58)</f>
        <v>172.36765133286653</v>
      </c>
      <c r="J58">
        <f>I58/(2/0.2)*3</f>
        <v>51.710295399859959</v>
      </c>
      <c r="K58">
        <v>0.11271179879388092</v>
      </c>
      <c r="L58" s="1">
        <f t="shared" si="0"/>
        <v>458.78333903998782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3.12</v>
      </c>
      <c r="G59">
        <v>646644</v>
      </c>
      <c r="H59">
        <v>646644.06299999997</v>
      </c>
      <c r="I59" cm="1">
        <f t="array" ref="I59">TREND($X$8:$X$12,$W$8:$W$12,H59)</f>
        <v>246.26373026031106</v>
      </c>
      <c r="J59">
        <f>I59/(2/0.2)*3</f>
        <v>73.879119078093325</v>
      </c>
      <c r="K59">
        <v>9.1782030070505644E-2</v>
      </c>
      <c r="L59" s="1">
        <f t="shared" si="0"/>
        <v>804.94100012105253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3.11</v>
      </c>
      <c r="G60">
        <v>389531</v>
      </c>
      <c r="H60">
        <v>389530.53100000002</v>
      </c>
      <c r="I60" cm="1">
        <f t="array" ref="I60">TREND($X$8:$X$12,$W$8:$W$12,H60)</f>
        <v>148.4862402814569</v>
      </c>
      <c r="J60">
        <f>I60/(2/0.2)*3</f>
        <v>44.545872084437065</v>
      </c>
      <c r="K60">
        <v>0.16584121170706426</v>
      </c>
      <c r="L60" s="1">
        <f t="shared" si="0"/>
        <v>268.60556327290487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3.11</v>
      </c>
      <c r="G61">
        <v>496261</v>
      </c>
      <c r="H61">
        <v>496261.06300000002</v>
      </c>
      <c r="I61" cm="1">
        <f t="array" ref="I61">TREND($X$8:$X$12,$W$8:$W$12,H61)</f>
        <v>189.0747050032117</v>
      </c>
      <c r="J61">
        <f>I61/(2/0.2)*3</f>
        <v>56.722411500963517</v>
      </c>
      <c r="K61">
        <v>0.20850574025855992</v>
      </c>
      <c r="L61" s="1">
        <f t="shared" si="0"/>
        <v>272.04244559705762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3.12</v>
      </c>
      <c r="G62">
        <v>289958</v>
      </c>
      <c r="H62">
        <v>289958.28100000002</v>
      </c>
      <c r="I62" cm="1">
        <f t="array" ref="I62">TREND($X$8:$X$12,$W$8:$W$12,H62)</f>
        <v>110.61999263274521</v>
      </c>
      <c r="J62">
        <f>I62/(2/0.2)*3</f>
        <v>33.18599778982356</v>
      </c>
      <c r="K62">
        <v>0.15457133624063138</v>
      </c>
      <c r="L62" s="1">
        <f t="shared" si="0"/>
        <v>214.69697161808014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3.12</v>
      </c>
      <c r="G63">
        <v>440089</v>
      </c>
      <c r="H63">
        <v>440089.31300000002</v>
      </c>
      <c r="I63" cm="1">
        <f t="array" ref="I63">TREND($X$8:$X$12,$W$8:$W$12,H63)</f>
        <v>167.71319718992515</v>
      </c>
      <c r="J63">
        <f>I63/(2/0.2)*3</f>
        <v>50.313959156977546</v>
      </c>
      <c r="K63">
        <v>0.22863051787718996</v>
      </c>
      <c r="L63" s="1">
        <f t="shared" si="0"/>
        <v>220.0666806169942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3.12</v>
      </c>
      <c r="G64">
        <v>327098</v>
      </c>
      <c r="H64">
        <v>327097.5</v>
      </c>
      <c r="I64" cm="1">
        <f t="array" ref="I64">TREND($X$8:$X$12,$W$8:$W$12,H64)</f>
        <v>124.74363515497141</v>
      </c>
      <c r="J64">
        <f>I64/(2/0.2)*3</f>
        <v>37.423090546491423</v>
      </c>
      <c r="K64">
        <v>0.19079593595416544</v>
      </c>
      <c r="L64" s="1">
        <f t="shared" si="0"/>
        <v>196.14196895410552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3.12</v>
      </c>
      <c r="G65">
        <v>396999</v>
      </c>
      <c r="H65">
        <v>396998.96899999998</v>
      </c>
      <c r="I65" cm="1">
        <f t="array" ref="I65">TREND($X$8:$X$12,$W$8:$W$12,H65)</f>
        <v>151.32640632025837</v>
      </c>
      <c r="J65">
        <f>I65/(2/0.2)*3</f>
        <v>45.397921896077506</v>
      </c>
      <c r="K65">
        <v>0.13122659420302052</v>
      </c>
      <c r="L65" s="1">
        <f t="shared" si="0"/>
        <v>345.95062206554286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3.12</v>
      </c>
      <c r="G66">
        <v>463121</v>
      </c>
      <c r="H66">
        <v>463121.375</v>
      </c>
      <c r="I66" cm="1">
        <f t="array" ref="I66">TREND($X$8:$X$12,$W$8:$W$12,H66)</f>
        <v>176.47204077890183</v>
      </c>
      <c r="J66">
        <f>I66/(2/0.2)*3</f>
        <v>52.941612233670554</v>
      </c>
      <c r="K66">
        <v>0.13927650525047255</v>
      </c>
      <c r="L66" s="1">
        <f t="shared" si="0"/>
        <v>380.1187582820321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3.12</v>
      </c>
      <c r="G67">
        <v>385736</v>
      </c>
      <c r="H67">
        <v>385736.15600000002</v>
      </c>
      <c r="I67" cm="1">
        <f t="array" ref="I67">TREND($X$8:$X$12,$W$8:$W$12,H67)</f>
        <v>147.04328058714367</v>
      </c>
      <c r="J67">
        <f>I67/(2/0.2)*3</f>
        <v>44.112984176143101</v>
      </c>
      <c r="K67">
        <v>9.7416967803722054E-2</v>
      </c>
      <c r="L67" s="1">
        <f t="shared" si="0"/>
        <v>452.82649594496672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3.12</v>
      </c>
      <c r="G68">
        <v>324262</v>
      </c>
      <c r="H68">
        <v>324262.40600000002</v>
      </c>
      <c r="I68" cm="1">
        <f t="array" ref="I68">TREND($X$8:$X$12,$W$8:$W$12,H68)</f>
        <v>123.66547962959787</v>
      </c>
      <c r="J68">
        <f>I68/(2/0.2)*3</f>
        <v>37.099643888879363</v>
      </c>
      <c r="K68">
        <v>7.4877216870856411E-2</v>
      </c>
      <c r="L68" s="1">
        <f t="shared" si="0"/>
        <v>495.47306162389197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3.11</v>
      </c>
      <c r="G69">
        <v>415922</v>
      </c>
      <c r="H69">
        <v>415921.59399999998</v>
      </c>
      <c r="I69" cm="1">
        <f t="array" ref="I69">TREND($X$8:$X$12,$W$8:$W$12,H69)</f>
        <v>158.52247555052787</v>
      </c>
      <c r="J69">
        <f>I69/(2/0.2)*3</f>
        <v>47.556742665158367</v>
      </c>
      <c r="K69">
        <v>0.14491144298368897</v>
      </c>
      <c r="L69" s="1">
        <f t="shared" si="0"/>
        <v>328.17796639090324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3.12</v>
      </c>
      <c r="G70">
        <v>434889</v>
      </c>
      <c r="H70">
        <v>434888.65600000002</v>
      </c>
      <c r="I70" cm="1">
        <f t="array" ref="I70">TREND($X$8:$X$12,$W$8:$W$12,H70)</f>
        <v>165.73544369035068</v>
      </c>
      <c r="J70">
        <f>I70/(2/0.2)*3</f>
        <v>49.720633107105208</v>
      </c>
      <c r="K70">
        <v>0.14571643408843418</v>
      </c>
      <c r="L70" s="1">
        <f t="shared" si="0"/>
        <v>341.21500034052536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3.12</v>
      </c>
      <c r="G71">
        <v>255541</v>
      </c>
      <c r="H71">
        <v>255541.43799999999</v>
      </c>
      <c r="I71" cm="1">
        <f t="array" ref="I71">TREND($X$8:$X$12,$W$8:$W$12,H71)</f>
        <v>97.53164020197427</v>
      </c>
      <c r="J71">
        <f>I71/(2/0.2)*3</f>
        <v>29.259492060592283</v>
      </c>
      <c r="K71">
        <v>0.26405012648597881</v>
      </c>
      <c r="L71" s="1">
        <f t="shared" si="0"/>
        <v>110.81036941728553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3.12</v>
      </c>
      <c r="G72">
        <v>175604</v>
      </c>
      <c r="H72">
        <v>175604.17199999999</v>
      </c>
      <c r="I72" cm="1">
        <f t="array" ref="I72">TREND($X$8:$X$12,$W$8:$W$12,H72)</f>
        <v>67.132364191670789</v>
      </c>
      <c r="J72">
        <f>I72/(2/0.2)*3</f>
        <v>20.139709257501238</v>
      </c>
      <c r="K72">
        <v>0.17469611385926145</v>
      </c>
      <c r="L72" s="1">
        <f t="shared" si="0"/>
        <v>115.28424309270082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3.12</v>
      </c>
      <c r="G73">
        <v>85812</v>
      </c>
      <c r="H73">
        <v>85812.187999999995</v>
      </c>
      <c r="I73" cm="1">
        <f t="array" ref="I73">TREND($X$8:$X$12,$W$8:$W$12,H73)</f>
        <v>32.985445717767071</v>
      </c>
      <c r="J73">
        <f>I73/(2/0.2)*3</f>
        <v>9.8956337153301206</v>
      </c>
      <c r="K73">
        <v>0.1175417454223521</v>
      </c>
      <c r="L73" s="1">
        <f t="shared" ref="L73" si="1">J73/K73</f>
        <v>84.188248862334291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D522-962F-4EE9-B1BB-02EA802904BF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248</v>
      </c>
      <c r="P3" t="s">
        <v>95</v>
      </c>
    </row>
    <row r="5" spans="1:28" x14ac:dyDescent="0.3">
      <c r="A5" t="s">
        <v>249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3.2</v>
      </c>
      <c r="G8">
        <v>592060</v>
      </c>
      <c r="H8">
        <v>592060.43799999997</v>
      </c>
      <c r="I8" cm="1">
        <f t="array" ref="I8">TREND($X$8:$X$16,$W$8:$W$16,H8)</f>
        <v>260.93535607054525</v>
      </c>
      <c r="J8">
        <f>I8/(2/0.2)*3</f>
        <v>78.280606821163587</v>
      </c>
      <c r="K8">
        <v>0.14813140740266978</v>
      </c>
      <c r="L8" s="1">
        <f>J8/K8</f>
        <v>528.4538113404351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3.2</v>
      </c>
      <c r="G9">
        <v>585050</v>
      </c>
      <c r="H9">
        <v>585050.06299999997</v>
      </c>
      <c r="I9" cm="1">
        <f t="array" ref="I9">TREND($X$8:$X$12,$W$8:$W$12,H9)</f>
        <v>222.84019953086838</v>
      </c>
      <c r="J9">
        <f>I9/(2/0.2)*3</f>
        <v>66.852059859260507</v>
      </c>
      <c r="K9">
        <v>0.11673675431760691</v>
      </c>
      <c r="L9" s="1">
        <f t="shared" ref="L9:L72" si="0">J9/K9</f>
        <v>572.67362151748205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3.2</v>
      </c>
      <c r="G10">
        <v>713561</v>
      </c>
      <c r="H10">
        <v>713560.875</v>
      </c>
      <c r="I10" cm="1">
        <f t="array" ref="I10">TREND($X$8:$X$12,$W$8:$W$12,H10)</f>
        <v>271.7114687120814</v>
      </c>
      <c r="J10">
        <f>I10/(2/0.2)*3</f>
        <v>81.513440613624425</v>
      </c>
      <c r="K10">
        <v>8.6147092337289247E-2</v>
      </c>
      <c r="L10" s="1">
        <f t="shared" si="0"/>
        <v>946.21232594220567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3.2</v>
      </c>
      <c r="G11">
        <v>1241710</v>
      </c>
      <c r="H11">
        <v>1241710.125</v>
      </c>
      <c r="I11" cm="1">
        <f t="array" ref="I11">TREND($X$8:$X$12,$W$8:$W$12,H11)</f>
        <v>472.56090513619904</v>
      </c>
      <c r="J11">
        <f>I11/(2/0.2)*3</f>
        <v>141.7682715408597</v>
      </c>
      <c r="K11">
        <v>8.9367056756270047E-2</v>
      </c>
      <c r="L11" s="1">
        <f t="shared" si="0"/>
        <v>1586.3594112481851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3.2</v>
      </c>
      <c r="G12">
        <v>734831</v>
      </c>
      <c r="H12">
        <v>734830.5</v>
      </c>
      <c r="I12" cm="1">
        <f t="array" ref="I12">TREND($X$8:$X$12,$W$8:$W$12,H12)</f>
        <v>279.80007660881193</v>
      </c>
      <c r="J12">
        <f>I12/(2/0.2)*3</f>
        <v>83.940022982643569</v>
      </c>
      <c r="K12">
        <v>9.3392012279996037E-2</v>
      </c>
      <c r="L12" s="1">
        <f t="shared" si="0"/>
        <v>898.79231567454917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3.2</v>
      </c>
      <c r="G13">
        <v>635976</v>
      </c>
      <c r="H13">
        <v>635976.06299999997</v>
      </c>
      <c r="I13" cm="1">
        <f t="array" ref="I13">TREND($X$8:$X$12,$W$8:$W$12,H13)</f>
        <v>242.20680546533598</v>
      </c>
      <c r="J13">
        <f>I13/(2/0.2)*3</f>
        <v>72.662041639600787</v>
      </c>
      <c r="K13">
        <v>0.18918595374467503</v>
      </c>
      <c r="L13" s="1">
        <f t="shared" si="0"/>
        <v>384.07735987453555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3.2</v>
      </c>
      <c r="G14">
        <v>557752</v>
      </c>
      <c r="H14">
        <v>557751.75</v>
      </c>
      <c r="I14" cm="1">
        <f t="array" ref="I14">TREND($X$8:$X$12,$W$8:$W$12,H14)</f>
        <v>212.45894691831774</v>
      </c>
      <c r="J14">
        <f>I14/(2/0.2)*3</f>
        <v>63.737684075495316</v>
      </c>
      <c r="K14">
        <v>9.2587021175250833E-2</v>
      </c>
      <c r="L14" s="1">
        <f t="shared" si="0"/>
        <v>688.40841044935632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3.2</v>
      </c>
      <c r="G15">
        <v>409485</v>
      </c>
      <c r="H15">
        <v>409484.65600000002</v>
      </c>
      <c r="I15" cm="1">
        <f t="array" ref="I15">TREND($X$8:$X$12,$W$8:$W$12,H15)</f>
        <v>156.0745777837565</v>
      </c>
      <c r="J15">
        <f>I15/(2/0.2)*3</f>
        <v>46.822373335126954</v>
      </c>
      <c r="K15">
        <v>0.14974138961216016</v>
      </c>
      <c r="L15" s="1">
        <f t="shared" si="0"/>
        <v>312.68825176793081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3.2</v>
      </c>
      <c r="G16">
        <v>1273078</v>
      </c>
      <c r="H16">
        <v>1273077.75</v>
      </c>
      <c r="I16" cm="1">
        <f t="array" ref="I16">TREND($X$8:$X$12,$W$8:$W$12,H16)</f>
        <v>484.48967300477608</v>
      </c>
      <c r="J16">
        <f>I16/(2/0.2)*3</f>
        <v>145.34690190143283</v>
      </c>
      <c r="K16">
        <v>0.19965083810636269</v>
      </c>
      <c r="L16" s="1">
        <f t="shared" si="0"/>
        <v>728.00546834669535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3.2</v>
      </c>
      <c r="G17">
        <v>1935437</v>
      </c>
      <c r="H17">
        <v>1935436.625</v>
      </c>
      <c r="I17" cm="1">
        <f t="array" ref="I17">TREND($X$8:$X$12,$W$8:$W$12,H17)</f>
        <v>736.37757543815565</v>
      </c>
      <c r="J17">
        <f>I17/(2/0.2)*3</f>
        <v>220.91327263144672</v>
      </c>
      <c r="K17">
        <v>0.22058060682973793</v>
      </c>
      <c r="L17" s="1">
        <f t="shared" si="0"/>
        <v>1001.5081371227053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3.2</v>
      </c>
      <c r="G18">
        <v>1396619</v>
      </c>
      <c r="H18">
        <v>1396618.625</v>
      </c>
      <c r="I18" cm="1">
        <f t="array" ref="I18">TREND($X$8:$X$12,$W$8:$W$12,H18)</f>
        <v>531.47092900219036</v>
      </c>
      <c r="J18">
        <f>I18/(2/0.2)*3</f>
        <v>159.44127870065711</v>
      </c>
      <c r="K18">
        <v>0.12720163867929454</v>
      </c>
      <c r="L18" s="1">
        <f t="shared" si="0"/>
        <v>1253.4530243171343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3.2</v>
      </c>
      <c r="G19">
        <v>1092829</v>
      </c>
      <c r="H19">
        <v>1092828.5</v>
      </c>
      <c r="I19" cm="1">
        <f t="array" ref="I19">TREND($X$8:$X$12,$W$8:$W$12,H19)</f>
        <v>415.94283652177455</v>
      </c>
      <c r="J19">
        <f>I19/(2/0.2)*3</f>
        <v>124.78285095653236</v>
      </c>
      <c r="K19">
        <v>0.1594012828691026</v>
      </c>
      <c r="L19" s="1">
        <f t="shared" si="0"/>
        <v>782.82212483196724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3.2</v>
      </c>
      <c r="G20">
        <v>2104540</v>
      </c>
      <c r="H20">
        <v>2104539.5</v>
      </c>
      <c r="I20" cm="1">
        <f t="array" ref="I20">TREND($X$8:$X$12,$W$8:$W$12,H20)</f>
        <v>800.68556629764851</v>
      </c>
      <c r="J20">
        <f>I20/(2/0.2)*3</f>
        <v>240.20566988929457</v>
      </c>
      <c r="K20">
        <v>0.14491144298368897</v>
      </c>
      <c r="L20" s="1">
        <f t="shared" si="0"/>
        <v>1657.6031881507922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3.2</v>
      </c>
      <c r="G21">
        <v>1679611</v>
      </c>
      <c r="H21">
        <v>1679610.75</v>
      </c>
      <c r="I21" cm="1">
        <f t="array" ref="I21">TREND($X$8:$X$12,$W$8:$W$12,H21)</f>
        <v>639.08976746255632</v>
      </c>
      <c r="J21">
        <f>I21/(2/0.2)*3</f>
        <v>191.7269302387669</v>
      </c>
      <c r="K21">
        <v>0.24553533107683917</v>
      </c>
      <c r="L21" s="1">
        <f t="shared" si="0"/>
        <v>780.85271638062886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3.2</v>
      </c>
      <c r="G22">
        <v>1022961</v>
      </c>
      <c r="H22">
        <v>1022961.125</v>
      </c>
      <c r="I22" cm="1">
        <f t="array" ref="I22">TREND($X$8:$X$12,$W$8:$W$12,H22)</f>
        <v>389.37303093522399</v>
      </c>
      <c r="J22">
        <f>I22/(2/0.2)*3</f>
        <v>116.81190928056721</v>
      </c>
      <c r="K22">
        <v>0.3002747261995129</v>
      </c>
      <c r="L22" s="1">
        <f t="shared" si="0"/>
        <v>389.01678725685804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3.2</v>
      </c>
      <c r="G23">
        <v>919333</v>
      </c>
      <c r="H23">
        <v>919332.75</v>
      </c>
      <c r="I23" cm="1">
        <f t="array" ref="I23">TREND($X$8:$X$12,$W$8:$W$12,H23)</f>
        <v>349.96428290368345</v>
      </c>
      <c r="J23">
        <f>I23/(2/0.2)*3</f>
        <v>104.98928487110503</v>
      </c>
      <c r="K23">
        <v>0.17147614944028067</v>
      </c>
      <c r="L23" s="1">
        <f t="shared" si="0"/>
        <v>612.26756731943783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3.2</v>
      </c>
      <c r="G24">
        <v>789603</v>
      </c>
      <c r="H24">
        <v>789603.25</v>
      </c>
      <c r="I24" cm="1">
        <f t="array" ref="I24">TREND($X$8:$X$12,$W$8:$W$12,H24)</f>
        <v>300.62955988252497</v>
      </c>
      <c r="J24">
        <f>I24/(2/0.2)*3</f>
        <v>90.188867964757492</v>
      </c>
      <c r="K24">
        <v>0.18113604269722305</v>
      </c>
      <c r="L24" s="1">
        <f t="shared" si="0"/>
        <v>497.90680320598699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3.2</v>
      </c>
      <c r="G25">
        <v>871879</v>
      </c>
      <c r="H25">
        <v>871879.25</v>
      </c>
      <c r="I25" cm="1">
        <f t="array" ref="I25">TREND($X$8:$X$12,$W$8:$W$12,H25)</f>
        <v>331.91823108906499</v>
      </c>
      <c r="J25">
        <f>I25/(2/0.2)*3</f>
        <v>99.575469326719485</v>
      </c>
      <c r="K25">
        <v>8.2927127918308433E-2</v>
      </c>
      <c r="L25" s="1">
        <f t="shared" si="0"/>
        <v>1200.758688095545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3.2</v>
      </c>
      <c r="G26">
        <v>1345273</v>
      </c>
      <c r="H26">
        <v>1345273</v>
      </c>
      <c r="I26" cm="1">
        <f t="array" ref="I26">TREND($X$8:$X$12,$W$8:$W$12,H26)</f>
        <v>511.94474422753797</v>
      </c>
      <c r="J26">
        <f>I26/(2/0.2)*3</f>
        <v>153.58342326826141</v>
      </c>
      <c r="K26">
        <v>0.11593176321286171</v>
      </c>
      <c r="L26" s="1">
        <f t="shared" si="0"/>
        <v>1324.774324239921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3.2</v>
      </c>
      <c r="G27">
        <v>1371304</v>
      </c>
      <c r="H27">
        <v>1371304.375</v>
      </c>
      <c r="I27" cm="1">
        <f t="array" ref="I27">TREND($X$8:$X$12,$W$8:$W$12,H27)</f>
        <v>521.84419404800985</v>
      </c>
      <c r="J27">
        <f>I27/(2/0.2)*3</f>
        <v>156.55325821440294</v>
      </c>
      <c r="K27">
        <v>0.17469611385926145</v>
      </c>
      <c r="L27" s="1">
        <f t="shared" si="0"/>
        <v>896.14619785146022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3.2</v>
      </c>
      <c r="G28">
        <v>1219241</v>
      </c>
      <c r="H28">
        <v>1219240.625</v>
      </c>
      <c r="I28" cm="1">
        <f t="array" ref="I28">TREND($X$8:$X$12,$W$8:$W$12,H28)</f>
        <v>464.01599777955369</v>
      </c>
      <c r="J28">
        <f>I28/(2/0.2)*3</f>
        <v>139.20479933386611</v>
      </c>
      <c r="K28">
        <v>0.17952606048773259</v>
      </c>
      <c r="L28" s="1">
        <f t="shared" si="0"/>
        <v>775.40162668125993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3.2</v>
      </c>
      <c r="G29">
        <v>1402331</v>
      </c>
      <c r="H29">
        <v>1402330.5</v>
      </c>
      <c r="I29" cm="1">
        <f t="array" ref="I29">TREND($X$8:$X$12,$W$8:$W$12,H29)</f>
        <v>533.64309316729134</v>
      </c>
      <c r="J29">
        <f>I29/(2/0.2)*3</f>
        <v>160.0929279501874</v>
      </c>
      <c r="K29">
        <v>0.19723586479212707</v>
      </c>
      <c r="L29" s="1">
        <f t="shared" si="0"/>
        <v>811.6826426011022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3.2</v>
      </c>
      <c r="G30">
        <v>1831041</v>
      </c>
      <c r="H30">
        <v>1831040.625</v>
      </c>
      <c r="I30" cm="1">
        <f t="array" ref="I30">TREND($X$8:$X$12,$W$8:$W$12,H30)</f>
        <v>696.67690793757276</v>
      </c>
      <c r="J30">
        <f>I30/(2/0.2)*3</f>
        <v>209.00307238127181</v>
      </c>
      <c r="K30">
        <v>0.28417490410460888</v>
      </c>
      <c r="L30" s="1">
        <f t="shared" si="0"/>
        <v>735.47336292699072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3.2</v>
      </c>
      <c r="G31">
        <v>1164326</v>
      </c>
      <c r="H31">
        <v>1164326</v>
      </c>
      <c r="I31" cm="1">
        <f t="array" ref="I31">TREND($X$8:$X$12,$W$8:$W$12,H31)</f>
        <v>443.13256098078563</v>
      </c>
      <c r="J31">
        <f>I31/(2/0.2)*3</f>
        <v>132.93976829423568</v>
      </c>
      <c r="K31">
        <v>0.17872106938298743</v>
      </c>
      <c r="L31" s="1">
        <f t="shared" si="0"/>
        <v>743.83937357354625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3.2</v>
      </c>
      <c r="G32">
        <v>1990182</v>
      </c>
      <c r="H32">
        <v>1990181.625</v>
      </c>
      <c r="I32" cm="1">
        <f t="array" ref="I32">TREND($X$8:$X$12,$W$8:$W$12,H32)</f>
        <v>757.1965056875847</v>
      </c>
      <c r="J32">
        <f>I32/(2/0.2)*3</f>
        <v>227.15895170627539</v>
      </c>
      <c r="K32">
        <v>0.19884584700161748</v>
      </c>
      <c r="L32" s="1">
        <f t="shared" si="0"/>
        <v>1142.3872066306096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3.2</v>
      </c>
      <c r="G33">
        <v>1048109</v>
      </c>
      <c r="H33">
        <v>1048108.938</v>
      </c>
      <c r="I33" cm="1">
        <f t="array" ref="I33">TREND($X$8:$X$12,$W$8:$W$12,H33)</f>
        <v>398.93647170191844</v>
      </c>
      <c r="J33">
        <f>I33/(2/0.2)*3</f>
        <v>119.68094151057552</v>
      </c>
      <c r="K33">
        <v>0.17469611385926145</v>
      </c>
      <c r="L33" s="1">
        <f t="shared" si="0"/>
        <v>685.08073171560522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3.2</v>
      </c>
      <c r="G34">
        <v>1667196</v>
      </c>
      <c r="H34">
        <v>1667196</v>
      </c>
      <c r="I34" cm="1">
        <f t="array" ref="I34">TREND($X$8:$X$12,$W$8:$W$12,H34)</f>
        <v>634.36857257144118</v>
      </c>
      <c r="J34">
        <f>I34/(2/0.2)*3</f>
        <v>190.31057177143236</v>
      </c>
      <c r="K34">
        <v>0.24875529549582001</v>
      </c>
      <c r="L34" s="1">
        <f t="shared" si="0"/>
        <v>765.05133847343677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3.2</v>
      </c>
      <c r="G35">
        <v>1034063</v>
      </c>
      <c r="H35">
        <v>1034062.688</v>
      </c>
      <c r="I35" cm="1">
        <f t="array" ref="I35">TREND($X$8:$X$12,$W$8:$W$12,H35)</f>
        <v>393.59483504074308</v>
      </c>
      <c r="J35">
        <f>I35/(2/0.2)*3</f>
        <v>118.07845051222291</v>
      </c>
      <c r="K35">
        <v>0.18274602490671343</v>
      </c>
      <c r="L35" s="1">
        <f t="shared" si="0"/>
        <v>646.13416665286456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3.2</v>
      </c>
      <c r="G36">
        <v>1881962</v>
      </c>
      <c r="H36">
        <v>1881962.375</v>
      </c>
      <c r="I36" cm="1">
        <f t="array" ref="I36">TREND($X$8:$X$12,$W$8:$W$12,H36)</f>
        <v>716.04189764309604</v>
      </c>
      <c r="J36">
        <f>I36/(2/0.2)*3</f>
        <v>214.81256929292883</v>
      </c>
      <c r="K36">
        <v>0.18113604269722305</v>
      </c>
      <c r="L36" s="1">
        <f t="shared" si="0"/>
        <v>1185.9184185225774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3.2</v>
      </c>
      <c r="G37">
        <v>1524984</v>
      </c>
      <c r="H37">
        <v>1524983.625</v>
      </c>
      <c r="I37" cm="1">
        <f t="array" ref="I37">TREND($X$8:$X$12,$W$8:$W$12,H37)</f>
        <v>580.28674745991202</v>
      </c>
      <c r="J37">
        <f>I37/(2/0.2)*3</f>
        <v>174.08602423797362</v>
      </c>
      <c r="K37">
        <v>0.12156670094607813</v>
      </c>
      <c r="L37" s="1">
        <f t="shared" si="0"/>
        <v>1432.0206346242039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3.2</v>
      </c>
      <c r="G38">
        <v>1342968</v>
      </c>
      <c r="H38">
        <v>1342968.125</v>
      </c>
      <c r="I38" cm="1">
        <f t="array" ref="I38">TREND($X$8:$X$12,$W$8:$W$12,H38)</f>
        <v>511.06822524208445</v>
      </c>
      <c r="J38">
        <f>I38/(2/0.2)*3</f>
        <v>153.32046757262535</v>
      </c>
      <c r="K38">
        <v>8.8562065651524843E-2</v>
      </c>
      <c r="L38" s="1">
        <f t="shared" si="0"/>
        <v>1731.2205451023772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3.2</v>
      </c>
      <c r="G39">
        <v>1618124</v>
      </c>
      <c r="H39">
        <v>1618124.375</v>
      </c>
      <c r="I39" cm="1">
        <f t="array" ref="I39">TREND($X$8:$X$12,$W$8:$W$12,H39)</f>
        <v>615.7071653543228</v>
      </c>
      <c r="J39">
        <f>I39/(2/0.2)*3</f>
        <v>184.71214960629686</v>
      </c>
      <c r="K39">
        <v>0.13766652304098212</v>
      </c>
      <c r="L39" s="1">
        <f t="shared" si="0"/>
        <v>1341.736142717207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3.2</v>
      </c>
      <c r="G40">
        <v>929144</v>
      </c>
      <c r="H40">
        <v>929144.43799999997</v>
      </c>
      <c r="I40" cm="1">
        <f t="array" ref="I40">TREND($X$8:$X$12,$W$8:$W$12,H40)</f>
        <v>353.69556152458324</v>
      </c>
      <c r="J40">
        <f>I40/(2/0.2)*3</f>
        <v>106.10866845737496</v>
      </c>
      <c r="K40">
        <v>8.2122136813563229E-2</v>
      </c>
      <c r="L40" s="1">
        <f t="shared" si="0"/>
        <v>1292.0836278075285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3.2</v>
      </c>
      <c r="G41">
        <v>1041639</v>
      </c>
      <c r="H41">
        <v>1041639.313</v>
      </c>
      <c r="I41" cm="1">
        <f t="array" ref="I41">TREND($X$8:$X$12,$W$8:$W$12,H41)</f>
        <v>396.47614342326352</v>
      </c>
      <c r="J41">
        <f>I41/(2/0.2)*3</f>
        <v>118.94284302697905</v>
      </c>
      <c r="K41">
        <v>0.10224691443219328</v>
      </c>
      <c r="L41" s="1">
        <f t="shared" si="0"/>
        <v>1163.2902927927273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3.2</v>
      </c>
      <c r="G42">
        <v>1708624</v>
      </c>
      <c r="H42">
        <v>1708623.625</v>
      </c>
      <c r="I42" cm="1">
        <f t="array" ref="I42">TREND($X$8:$X$12,$W$8:$W$12,H42)</f>
        <v>650.12304942365608</v>
      </c>
      <c r="J42">
        <f>I42/(2/0.2)*3</f>
        <v>195.03691482709681</v>
      </c>
      <c r="K42">
        <v>0.12639664757454935</v>
      </c>
      <c r="L42" s="1">
        <f t="shared" si="0"/>
        <v>1543.0544921063915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3.2</v>
      </c>
      <c r="G43">
        <v>701154</v>
      </c>
      <c r="H43">
        <v>701153.875</v>
      </c>
      <c r="I43" cm="1">
        <f t="array" ref="I43">TREND($X$8:$X$12,$W$8:$W$12,H43)</f>
        <v>266.99322106198241</v>
      </c>
      <c r="J43">
        <f>I43/(2/0.2)*3</f>
        <v>80.097966318594729</v>
      </c>
      <c r="K43">
        <v>0.15054638071690538</v>
      </c>
      <c r="L43" s="1">
        <f t="shared" si="0"/>
        <v>532.04843542014328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3.2</v>
      </c>
      <c r="G44">
        <v>1417514</v>
      </c>
      <c r="H44">
        <v>1417514.375</v>
      </c>
      <c r="I44" cm="1">
        <f t="array" ref="I44">TREND($X$8:$X$12,$W$8:$W$12,H44)</f>
        <v>539.41735628796084</v>
      </c>
      <c r="J44">
        <f>I44/(2/0.2)*3</f>
        <v>161.82520688638823</v>
      </c>
      <c r="K44">
        <v>0.14893639850741497</v>
      </c>
      <c r="L44" s="1">
        <f t="shared" si="0"/>
        <v>1086.5390093230405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3.2</v>
      </c>
      <c r="G45">
        <v>1148003</v>
      </c>
      <c r="H45">
        <v>1148003</v>
      </c>
      <c r="I45" cm="1">
        <f t="array" ref="I45">TREND($X$8:$X$12,$W$8:$W$12,H45)</f>
        <v>436.92510096687693</v>
      </c>
      <c r="J45">
        <f>I45/(2/0.2)*3</f>
        <v>131.07753029006307</v>
      </c>
      <c r="K45">
        <v>4.0262599366812736E-2</v>
      </c>
      <c r="L45" s="1">
        <f t="shared" si="0"/>
        <v>3255.5655211398589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3.2</v>
      </c>
      <c r="G46">
        <v>1159721</v>
      </c>
      <c r="H46">
        <v>1159721.375</v>
      </c>
      <c r="I46" cm="1">
        <f t="array" ref="I46">TREND($X$8:$X$12,$W$8:$W$12,H46)</f>
        <v>441.3814719918409</v>
      </c>
      <c r="J46">
        <f>I46/(2/0.2)*3</f>
        <v>132.41444159755227</v>
      </c>
      <c r="K46">
        <v>0.11351678989862611</v>
      </c>
      <c r="L46" s="1">
        <f t="shared" si="0"/>
        <v>1166.4745075666985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3.19</v>
      </c>
      <c r="G47">
        <v>1074391</v>
      </c>
      <c r="H47">
        <v>1074390.875</v>
      </c>
      <c r="I47" cm="1">
        <f t="array" ref="I47">TREND($X$8:$X$12,$W$8:$W$12,H47)</f>
        <v>408.93120753574601</v>
      </c>
      <c r="J47">
        <f>I47/(2/0.2)*3</f>
        <v>122.67936226072379</v>
      </c>
      <c r="K47">
        <v>0.10144192332744809</v>
      </c>
      <c r="L47" s="1">
        <f t="shared" si="0"/>
        <v>1209.3556415006308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3.2</v>
      </c>
      <c r="G48">
        <v>1114236</v>
      </c>
      <c r="H48">
        <v>1114235.5</v>
      </c>
      <c r="I48" cm="1">
        <f t="array" ref="I48">TREND($X$8:$X$12,$W$8:$W$12,H48)</f>
        <v>424.08368664232495</v>
      </c>
      <c r="J48">
        <f>I48/(2/0.2)*3</f>
        <v>127.22510599269749</v>
      </c>
      <c r="K48">
        <v>8.3732119023053622E-2</v>
      </c>
      <c r="L48" s="1">
        <f t="shared" si="0"/>
        <v>1519.4301479181379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3.2</v>
      </c>
      <c r="G49">
        <v>1265817</v>
      </c>
      <c r="H49">
        <v>1265816.5</v>
      </c>
      <c r="I49" cm="1">
        <f t="array" ref="I49">TREND($X$8:$X$12,$W$8:$W$12,H49)</f>
        <v>481.72829831715774</v>
      </c>
      <c r="J49">
        <f>I49/(2/0.2)*3</f>
        <v>144.51848949514732</v>
      </c>
      <c r="K49">
        <v>0.22299558014397355</v>
      </c>
      <c r="L49" s="1">
        <f t="shared" si="0"/>
        <v>648.0778202054106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3.2</v>
      </c>
      <c r="G50">
        <v>1850983</v>
      </c>
      <c r="H50">
        <v>1850982.5</v>
      </c>
      <c r="I50" cm="1">
        <f t="array" ref="I50">TREND($X$8:$X$12,$W$8:$W$12,H50)</f>
        <v>704.2605868976209</v>
      </c>
      <c r="J50">
        <f>I50/(2/0.2)*3</f>
        <v>211.27817606928625</v>
      </c>
      <c r="K50">
        <v>0.1175417454223521</v>
      </c>
      <c r="L50" s="1">
        <f t="shared" si="0"/>
        <v>1797.4735300222021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3.2</v>
      </c>
      <c r="G51">
        <v>2451876</v>
      </c>
      <c r="H51">
        <v>2451875.75</v>
      </c>
      <c r="I51" cm="1">
        <f t="array" ref="I51">TREND($X$8:$X$12,$W$8:$W$12,H51)</f>
        <v>932.77377822290714</v>
      </c>
      <c r="J51">
        <f>I51/(2/0.2)*3</f>
        <v>279.83213346687216</v>
      </c>
      <c r="K51">
        <v>0.11351678989862611</v>
      </c>
      <c r="L51" s="1">
        <f t="shared" si="0"/>
        <v>2465.1166908152586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3.2</v>
      </c>
      <c r="G52">
        <v>933510</v>
      </c>
      <c r="H52">
        <v>933509.56299999997</v>
      </c>
      <c r="I52" cm="1">
        <f t="array" ref="I52">TREND($X$8:$X$12,$W$8:$W$12,H52)</f>
        <v>355.35557125889761</v>
      </c>
      <c r="J52">
        <f>I52/(2/0.2)*3</f>
        <v>106.60667137766927</v>
      </c>
      <c r="K52">
        <v>8.4537110127798853E-2</v>
      </c>
      <c r="L52" s="1">
        <f t="shared" si="0"/>
        <v>1261.0635875357791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3.2</v>
      </c>
      <c r="G53">
        <v>3074803</v>
      </c>
      <c r="H53">
        <v>3074802.5</v>
      </c>
      <c r="I53" cm="1">
        <f t="array" ref="I53">TREND($X$8:$X$12,$W$8:$W$12,H53)</f>
        <v>1169.6660708296035</v>
      </c>
      <c r="J53">
        <f>I53/(2/0.2)*3</f>
        <v>350.89982124888104</v>
      </c>
      <c r="K53">
        <v>0.1078818521654097</v>
      </c>
      <c r="L53" s="1">
        <f t="shared" si="0"/>
        <v>3252.6306714762773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3.2</v>
      </c>
      <c r="G54">
        <v>1529642</v>
      </c>
      <c r="H54">
        <v>1529642.375</v>
      </c>
      <c r="I54" cm="1">
        <f t="array" ref="I54">TREND($X$8:$X$12,$W$8:$W$12,H54)</f>
        <v>582.05841959982479</v>
      </c>
      <c r="J54">
        <f>I54/(2/0.2)*3</f>
        <v>174.61752587994744</v>
      </c>
      <c r="K54">
        <v>0.14813140740266978</v>
      </c>
      <c r="L54" s="1">
        <f t="shared" si="0"/>
        <v>1178.8015042973277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3.2</v>
      </c>
      <c r="G55">
        <v>1142496</v>
      </c>
      <c r="H55">
        <v>1142495.875</v>
      </c>
      <c r="I55" cm="1">
        <f t="array" ref="I55">TREND($X$8:$X$12,$W$8:$W$12,H55)</f>
        <v>434.83080100797861</v>
      </c>
      <c r="J55">
        <f>I55/(2/0.2)*3</f>
        <v>130.4492403023936</v>
      </c>
      <c r="K55">
        <v>6.6022314718659172E-2</v>
      </c>
      <c r="L55" s="1">
        <f t="shared" si="0"/>
        <v>1975.8356073742164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3.2</v>
      </c>
      <c r="G56">
        <v>1771782</v>
      </c>
      <c r="H56">
        <v>1771782</v>
      </c>
      <c r="I56" cm="1">
        <f t="array" ref="I56">TREND($X$8:$X$12,$W$8:$W$12,H56)</f>
        <v>674.14149501306679</v>
      </c>
      <c r="J56">
        <f>I56/(2/0.2)*3</f>
        <v>202.24244850392006</v>
      </c>
      <c r="K56">
        <v>0.22621554456295434</v>
      </c>
      <c r="L56" s="1">
        <f t="shared" si="0"/>
        <v>894.02542559420476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3.2</v>
      </c>
      <c r="G57">
        <v>1329065</v>
      </c>
      <c r="H57">
        <v>1329065.375</v>
      </c>
      <c r="I57" cm="1">
        <f t="array" ref="I57">TREND($X$8:$X$12,$W$8:$W$12,H57)</f>
        <v>505.78116007585464</v>
      </c>
      <c r="J57">
        <f>I57/(2/0.2)*3</f>
        <v>151.73434802275639</v>
      </c>
      <c r="K57">
        <v>0.21897062462024752</v>
      </c>
      <c r="L57" s="1">
        <f t="shared" si="0"/>
        <v>692.94385165089398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3.2</v>
      </c>
      <c r="G58">
        <v>1866199</v>
      </c>
      <c r="H58">
        <v>1866199.125</v>
      </c>
      <c r="I58" cm="1">
        <f t="array" ref="I58">TREND($X$8:$X$12,$W$8:$W$12,H58)</f>
        <v>710.04730448839121</v>
      </c>
      <c r="J58">
        <f>I58/(2/0.2)*3</f>
        <v>213.01419134651738</v>
      </c>
      <c r="K58">
        <v>0.11271179879388092</v>
      </c>
      <c r="L58" s="1">
        <f t="shared" si="0"/>
        <v>1889.9014444447128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3.2</v>
      </c>
      <c r="G59">
        <v>1913124</v>
      </c>
      <c r="H59">
        <v>1913124.25</v>
      </c>
      <c r="I59" cm="1">
        <f t="array" ref="I59">TREND($X$8:$X$12,$W$8:$W$12,H59)</f>
        <v>727.89242101630691</v>
      </c>
      <c r="J59">
        <f>I59/(2/0.2)*3</f>
        <v>218.36772630489207</v>
      </c>
      <c r="K59">
        <v>9.1782030070505644E-2</v>
      </c>
      <c r="L59" s="1">
        <f t="shared" si="0"/>
        <v>2379.1991323044949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3.19</v>
      </c>
      <c r="G60">
        <v>1172580</v>
      </c>
      <c r="H60">
        <v>1172579.625</v>
      </c>
      <c r="I60" cm="1">
        <f t="array" ref="I60">TREND($X$8:$X$12,$W$8:$W$12,H60)</f>
        <v>446.27132512691668</v>
      </c>
      <c r="J60">
        <f>I60/(2/0.2)*3</f>
        <v>133.88139753807499</v>
      </c>
      <c r="K60">
        <v>0.16584121170706426</v>
      </c>
      <c r="L60" s="1">
        <f t="shared" si="0"/>
        <v>807.28665788186663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3.19</v>
      </c>
      <c r="G61">
        <v>1824631</v>
      </c>
      <c r="H61">
        <v>1824630.75</v>
      </c>
      <c r="I61" cm="1">
        <f t="array" ref="I61">TREND($X$8:$X$12,$W$8:$W$12,H61)</f>
        <v>694.23930193643002</v>
      </c>
      <c r="J61">
        <f>I61/(2/0.2)*3</f>
        <v>208.27179058092901</v>
      </c>
      <c r="K61">
        <v>0.20850574025855992</v>
      </c>
      <c r="L61" s="1">
        <f t="shared" si="0"/>
        <v>998.87797008686289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3.2</v>
      </c>
      <c r="G62">
        <v>943824</v>
      </c>
      <c r="H62">
        <v>943823.93799999997</v>
      </c>
      <c r="I62" cm="1">
        <f t="array" ref="I62">TREND($X$8:$X$12,$W$8:$W$12,H62)</f>
        <v>359.27801629847119</v>
      </c>
      <c r="J62">
        <f>I62/(2/0.2)*3</f>
        <v>107.78340488954134</v>
      </c>
      <c r="K62">
        <v>0.15457133624063138</v>
      </c>
      <c r="L62" s="1">
        <f t="shared" si="0"/>
        <v>697.30525407212508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3.2</v>
      </c>
      <c r="G63">
        <v>1991624</v>
      </c>
      <c r="H63">
        <v>1991623.875</v>
      </c>
      <c r="I63" cm="1">
        <f t="array" ref="I63">TREND($X$8:$X$12,$W$8:$W$12,H63)</f>
        <v>757.74497773347457</v>
      </c>
      <c r="J63">
        <f>I63/(2/0.2)*3</f>
        <v>227.32349332004239</v>
      </c>
      <c r="K63">
        <v>0.22863051787718996</v>
      </c>
      <c r="L63" s="1">
        <f t="shared" si="0"/>
        <v>994.28324543336055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3.2</v>
      </c>
      <c r="G64">
        <v>1212015</v>
      </c>
      <c r="H64">
        <v>1212014.5</v>
      </c>
      <c r="I64" cm="1">
        <f t="array" ref="I64">TREND($X$8:$X$12,$W$8:$W$12,H64)</f>
        <v>461.26798074879918</v>
      </c>
      <c r="J64">
        <f>I64/(2/0.2)*3</f>
        <v>138.38039422463976</v>
      </c>
      <c r="K64">
        <v>0.19079593595416544</v>
      </c>
      <c r="L64" s="1">
        <f t="shared" si="0"/>
        <v>725.2795691512141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3.2</v>
      </c>
      <c r="G65">
        <v>1289982</v>
      </c>
      <c r="H65">
        <v>1289981.875</v>
      </c>
      <c r="I65" cm="1">
        <f t="array" ref="I65">TREND($X$8:$X$12,$W$8:$W$12,H65)</f>
        <v>490.918128558756</v>
      </c>
      <c r="J65">
        <f>I65/(2/0.2)*3</f>
        <v>147.27543856762679</v>
      </c>
      <c r="K65">
        <v>0.13122659420302052</v>
      </c>
      <c r="L65" s="1">
        <f t="shared" si="0"/>
        <v>1122.2987189607095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3.2</v>
      </c>
      <c r="G66">
        <v>1538785</v>
      </c>
      <c r="H66">
        <v>1538785.25</v>
      </c>
      <c r="I66" cm="1">
        <f t="array" ref="I66">TREND($X$8:$X$12,$W$8:$W$12,H66)</f>
        <v>585.53535588449472</v>
      </c>
      <c r="J66">
        <f>I66/(2/0.2)*3</f>
        <v>175.6606067653484</v>
      </c>
      <c r="K66">
        <v>0.13927650525047255</v>
      </c>
      <c r="L66" s="1">
        <f t="shared" si="0"/>
        <v>1261.2364623124574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3.2</v>
      </c>
      <c r="G67">
        <v>1383661</v>
      </c>
      <c r="H67">
        <v>1383661.375</v>
      </c>
      <c r="I67" cm="1">
        <f t="array" ref="I67">TREND($X$8:$X$12,$W$8:$W$12,H67)</f>
        <v>526.54342723993955</v>
      </c>
      <c r="J67">
        <f>I67/(2/0.2)*3</f>
        <v>157.96302817198188</v>
      </c>
      <c r="K67">
        <v>9.7416967803722054E-2</v>
      </c>
      <c r="L67" s="1">
        <f t="shared" si="0"/>
        <v>1621.5145239405256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3.2</v>
      </c>
      <c r="G68">
        <v>995172</v>
      </c>
      <c r="H68">
        <v>995172.375</v>
      </c>
      <c r="I68" cm="1">
        <f t="array" ref="I68">TREND($X$8:$X$12,$W$8:$W$12,H68)</f>
        <v>378.80527044625103</v>
      </c>
      <c r="J68">
        <f>I68/(2/0.2)*3</f>
        <v>113.64158113387532</v>
      </c>
      <c r="K68">
        <v>7.4877216870856411E-2</v>
      </c>
      <c r="L68" s="1">
        <f t="shared" si="0"/>
        <v>1517.7057305679148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3.2</v>
      </c>
      <c r="G69">
        <v>1370869</v>
      </c>
      <c r="H69">
        <v>1370869.125</v>
      </c>
      <c r="I69" cm="1">
        <f t="array" ref="I69">TREND($X$8:$X$12,$W$8:$W$12,H69)</f>
        <v>521.67867318964716</v>
      </c>
      <c r="J69">
        <f>I69/(2/0.2)*3</f>
        <v>156.50360195689416</v>
      </c>
      <c r="K69">
        <v>0.14491144298368897</v>
      </c>
      <c r="L69" s="1">
        <f t="shared" si="0"/>
        <v>1079.9947798084515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3.2</v>
      </c>
      <c r="G70">
        <v>1666527</v>
      </c>
      <c r="H70">
        <v>1666526.5</v>
      </c>
      <c r="I70" cm="1">
        <f t="array" ref="I70">TREND($X$8:$X$12,$W$8:$W$12,H70)</f>
        <v>634.11396897655595</v>
      </c>
      <c r="J70">
        <f>I70/(2/0.2)*3</f>
        <v>190.23419069296676</v>
      </c>
      <c r="K70">
        <v>0.14571643408843418</v>
      </c>
      <c r="L70" s="1">
        <f t="shared" si="0"/>
        <v>1305.5095115593831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3.19</v>
      </c>
      <c r="G71">
        <v>903478</v>
      </c>
      <c r="H71">
        <v>903478.25</v>
      </c>
      <c r="I71" cm="1">
        <f t="array" ref="I71">TREND($X$8:$X$12,$W$8:$W$12,H71)</f>
        <v>343.93498836281992</v>
      </c>
      <c r="J71">
        <f>I71/(2/0.2)*3</f>
        <v>103.18049650884598</v>
      </c>
      <c r="K71">
        <v>0.26405012648597881</v>
      </c>
      <c r="L71" s="1">
        <f t="shared" si="0"/>
        <v>390.76101906099603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3.2</v>
      </c>
      <c r="G72">
        <v>630962</v>
      </c>
      <c r="H72">
        <v>630962.375</v>
      </c>
      <c r="I72" cm="1">
        <f t="array" ref="I72">TREND($X$8:$X$12,$W$8:$W$12,H72)</f>
        <v>240.30015425035015</v>
      </c>
      <c r="J72">
        <f>I72/(2/0.2)*3</f>
        <v>72.090046275105038</v>
      </c>
      <c r="K72">
        <v>0.17469611385926145</v>
      </c>
      <c r="L72" s="1">
        <f t="shared" si="0"/>
        <v>412.65970193923238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3.2</v>
      </c>
      <c r="G73">
        <v>297731</v>
      </c>
      <c r="H73">
        <v>297730.84399999998</v>
      </c>
      <c r="I73" cm="1">
        <f t="array" ref="I73">TREND($X$8:$X$12,$W$8:$W$12,H73)</f>
        <v>113.57581411336066</v>
      </c>
      <c r="J73">
        <f>I73/(2/0.2)*3</f>
        <v>34.072744234008198</v>
      </c>
      <c r="K73">
        <v>0.1175417454223521</v>
      </c>
      <c r="L73" s="1">
        <f t="shared" ref="L73" si="1">J73/K73</f>
        <v>289.87781414660549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3.22</v>
      </c>
      <c r="G74">
        <v>7620</v>
      </c>
      <c r="H74">
        <v>7619.71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A0C4-4E0C-491C-8904-256252F656B4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250</v>
      </c>
      <c r="P3" t="s">
        <v>95</v>
      </c>
    </row>
    <row r="5" spans="1:28" x14ac:dyDescent="0.3">
      <c r="A5" t="s">
        <v>251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3.36</v>
      </c>
      <c r="G8">
        <v>194071</v>
      </c>
      <c r="H8">
        <v>194071.125</v>
      </c>
      <c r="I8" cm="1">
        <f t="array" ref="I8">TREND($X$8:$X$16,$W$8:$W$16,H8)</f>
        <v>83.757049723377222</v>
      </c>
      <c r="J8">
        <f>I8/(2/0.2)*3</f>
        <v>25.127114917013166</v>
      </c>
      <c r="K8">
        <v>0.14813140740266978</v>
      </c>
      <c r="L8" s="1">
        <f>J8/K8</f>
        <v>169.62719356813659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3.36</v>
      </c>
      <c r="G9">
        <v>221993</v>
      </c>
      <c r="H9">
        <v>221992.875</v>
      </c>
      <c r="I9" cm="1">
        <f t="array" ref="I9">TREND($X$8:$X$12,$W$8:$W$12,H9)</f>
        <v>84.773485245985967</v>
      </c>
      <c r="J9">
        <f>I9/(2/0.2)*3</f>
        <v>25.43204557379579</v>
      </c>
      <c r="K9">
        <v>0.11673675431760691</v>
      </c>
      <c r="L9" s="1">
        <f t="shared" ref="L9:L72" si="0">J9/K9</f>
        <v>217.85808353556376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3.36</v>
      </c>
      <c r="G10">
        <v>192786</v>
      </c>
      <c r="H10">
        <v>192785.766</v>
      </c>
      <c r="I10" cm="1">
        <f t="array" ref="I10">TREND($X$8:$X$12,$W$8:$W$12,H10)</f>
        <v>73.666338199525569</v>
      </c>
      <c r="J10">
        <f>I10/(2/0.2)*3</f>
        <v>22.099901459857669</v>
      </c>
      <c r="K10">
        <v>8.6147092337289247E-2</v>
      </c>
      <c r="L10" s="1">
        <f t="shared" si="0"/>
        <v>256.53682393980932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3.35</v>
      </c>
      <c r="G11">
        <v>345062</v>
      </c>
      <c r="H11">
        <v>345061.56300000002</v>
      </c>
      <c r="I11" cm="1">
        <f t="array" ref="I11">TREND($X$8:$X$12,$W$8:$W$12,H11)</f>
        <v>131.57517364420974</v>
      </c>
      <c r="J11">
        <f>I11/(2/0.2)*3</f>
        <v>39.472552093262919</v>
      </c>
      <c r="K11">
        <v>8.9367056756270047E-2</v>
      </c>
      <c r="L11" s="1">
        <f t="shared" si="0"/>
        <v>441.69018792815399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3.36</v>
      </c>
      <c r="G12">
        <v>206624</v>
      </c>
      <c r="H12">
        <v>206623.625</v>
      </c>
      <c r="I12" cm="1">
        <f t="array" ref="I12">TREND($X$8:$X$12,$W$8:$W$12,H12)</f>
        <v>78.928726021654271</v>
      </c>
      <c r="J12">
        <f>I12/(2/0.2)*3</f>
        <v>23.678617806496284</v>
      </c>
      <c r="K12">
        <v>9.3392012279996037E-2</v>
      </c>
      <c r="L12" s="1">
        <f t="shared" si="0"/>
        <v>253.54007509235444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3.36</v>
      </c>
      <c r="G13">
        <v>175819</v>
      </c>
      <c r="H13">
        <v>175818.59400000001</v>
      </c>
      <c r="I13" cm="1">
        <f t="array" ref="I13">TREND($X$8:$X$12,$W$8:$W$12,H13)</f>
        <v>67.213906554661804</v>
      </c>
      <c r="J13">
        <f>I13/(2/0.2)*3</f>
        <v>20.164171966398541</v>
      </c>
      <c r="K13">
        <v>0.18918595374467503</v>
      </c>
      <c r="L13" s="1">
        <f t="shared" si="0"/>
        <v>106.58387458094307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3.36</v>
      </c>
      <c r="G14">
        <v>148826</v>
      </c>
      <c r="H14">
        <v>148826.18799999999</v>
      </c>
      <c r="I14" cm="1">
        <f t="array" ref="I14">TREND($X$8:$X$12,$W$8:$W$12,H14)</f>
        <v>56.948987059214303</v>
      </c>
      <c r="J14">
        <f>I14/(2/0.2)*3</f>
        <v>17.084696117764288</v>
      </c>
      <c r="K14">
        <v>9.2587021175250833E-2</v>
      </c>
      <c r="L14" s="1">
        <f t="shared" si="0"/>
        <v>184.52582123174676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3.35</v>
      </c>
      <c r="G15">
        <v>122234</v>
      </c>
      <c r="H15">
        <v>122234.07799999999</v>
      </c>
      <c r="I15" cm="1">
        <f t="array" ref="I15">TREND($X$8:$X$12,$W$8:$W$12,H15)</f>
        <v>46.836295794712569</v>
      </c>
      <c r="J15">
        <f>I15/(2/0.2)*3</f>
        <v>14.05088873841377</v>
      </c>
      <c r="K15">
        <v>0.14974138961216016</v>
      </c>
      <c r="L15" s="1">
        <f t="shared" si="0"/>
        <v>93.834368539029029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3.36</v>
      </c>
      <c r="G16">
        <v>450224</v>
      </c>
      <c r="H16">
        <v>450223.56300000002</v>
      </c>
      <c r="I16" cm="1">
        <f t="array" ref="I16">TREND($X$8:$X$12,$W$8:$W$12,H16)</f>
        <v>171.56714264394429</v>
      </c>
      <c r="J16">
        <f>I16/(2/0.2)*3</f>
        <v>51.470142793183292</v>
      </c>
      <c r="K16">
        <v>0.19965083810636269</v>
      </c>
      <c r="L16" s="1">
        <f t="shared" si="0"/>
        <v>257.8007850173056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3.36</v>
      </c>
      <c r="G17">
        <v>689833</v>
      </c>
      <c r="H17">
        <v>689833.25</v>
      </c>
      <c r="I17" cm="1">
        <f t="array" ref="I17">TREND($X$8:$X$12,$W$8:$W$12,H17)</f>
        <v>262.68811005175417</v>
      </c>
      <c r="J17">
        <f>I17/(2/0.2)*3</f>
        <v>78.806433015526238</v>
      </c>
      <c r="K17">
        <v>0.22058060682973793</v>
      </c>
      <c r="L17" s="1">
        <f t="shared" si="0"/>
        <v>357.26818485160601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3.36</v>
      </c>
      <c r="G18">
        <v>385819</v>
      </c>
      <c r="H18">
        <v>385818.68800000002</v>
      </c>
      <c r="I18" cm="1">
        <f t="array" ref="I18">TREND($X$8:$X$12,$W$8:$W$12,H18)</f>
        <v>147.07466661237603</v>
      </c>
      <c r="J18">
        <f>I18/(2/0.2)*3</f>
        <v>44.12239998371281</v>
      </c>
      <c r="K18">
        <v>0.12720163867929454</v>
      </c>
      <c r="L18" s="1">
        <f t="shared" si="0"/>
        <v>346.86974508996565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3.36</v>
      </c>
      <c r="G19">
        <v>405270</v>
      </c>
      <c r="H19">
        <v>405270.34399999998</v>
      </c>
      <c r="I19" cm="1">
        <f t="array" ref="I19">TREND($X$8:$X$12,$W$8:$W$12,H19)</f>
        <v>154.47192059903946</v>
      </c>
      <c r="J19">
        <f>I19/(2/0.2)*3</f>
        <v>46.341576179711836</v>
      </c>
      <c r="K19">
        <v>0.1594012828691026</v>
      </c>
      <c r="L19" s="1">
        <f t="shared" si="0"/>
        <v>290.72273036702398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3.36</v>
      </c>
      <c r="G20">
        <v>564969</v>
      </c>
      <c r="H20">
        <v>564969.125</v>
      </c>
      <c r="I20" cm="1">
        <f t="array" ref="I20">TREND($X$8:$X$12,$W$8:$W$12,H20)</f>
        <v>215.20363641889264</v>
      </c>
      <c r="J20">
        <f>I20/(2/0.2)*3</f>
        <v>64.561090925667799</v>
      </c>
      <c r="K20">
        <v>0.14491144298368897</v>
      </c>
      <c r="L20" s="1">
        <f t="shared" si="0"/>
        <v>445.52099955925985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3.36</v>
      </c>
      <c r="G21">
        <v>421120</v>
      </c>
      <c r="H21">
        <v>421120.09399999998</v>
      </c>
      <c r="I21" cm="1">
        <f t="array" ref="I21">TREND($X$8:$X$12,$W$8:$W$12,H21)</f>
        <v>160.49940876637694</v>
      </c>
      <c r="J21">
        <f>I21/(2/0.2)*3</f>
        <v>48.149822629913089</v>
      </c>
      <c r="K21">
        <v>0.24553533107683917</v>
      </c>
      <c r="L21" s="1">
        <f t="shared" si="0"/>
        <v>196.1014018583127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3.35</v>
      </c>
      <c r="G22">
        <v>350994</v>
      </c>
      <c r="H22">
        <v>350993.96899999998</v>
      </c>
      <c r="I22" cm="1">
        <f t="array" ref="I22">TREND($X$8:$X$12,$W$8:$W$12,H22)</f>
        <v>133.83120335880091</v>
      </c>
      <c r="J22">
        <f>I22/(2/0.2)*3</f>
        <v>40.149361007640266</v>
      </c>
      <c r="K22">
        <v>0.3002747261995129</v>
      </c>
      <c r="L22" s="1">
        <f t="shared" si="0"/>
        <v>133.70875902810297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3.35</v>
      </c>
      <c r="G23">
        <v>288015</v>
      </c>
      <c r="H23">
        <v>288014.68800000002</v>
      </c>
      <c r="I23" cm="1">
        <f t="array" ref="I23">TREND($X$8:$X$12,$W$8:$W$12,H23)</f>
        <v>109.8808652768172</v>
      </c>
      <c r="J23">
        <f>I23/(2/0.2)*3</f>
        <v>32.964259583045163</v>
      </c>
      <c r="K23">
        <v>0.17147614944028067</v>
      </c>
      <c r="L23" s="1">
        <f t="shared" si="0"/>
        <v>192.23816076255841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3.36</v>
      </c>
      <c r="G24">
        <v>258912</v>
      </c>
      <c r="H24">
        <v>258911.93799999999</v>
      </c>
      <c r="I24" cm="1">
        <f t="array" ref="I24">TREND($X$8:$X$12,$W$8:$W$12,H24)</f>
        <v>98.813404827158323</v>
      </c>
      <c r="J24">
        <f>I24/(2/0.2)*3</f>
        <v>29.644021448147495</v>
      </c>
      <c r="K24">
        <v>0.18113604269722305</v>
      </c>
      <c r="L24" s="1">
        <f t="shared" si="0"/>
        <v>163.6561172847239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3.36</v>
      </c>
      <c r="G25">
        <v>251660</v>
      </c>
      <c r="H25">
        <v>251660.391</v>
      </c>
      <c r="I25" cm="1">
        <f t="array" ref="I25">TREND($X$8:$X$12,$W$8:$W$12,H25)</f>
        <v>96.055720085292279</v>
      </c>
      <c r="J25">
        <f>I25/(2/0.2)*3</f>
        <v>28.816716025587681</v>
      </c>
      <c r="K25">
        <v>8.2927127918308433E-2</v>
      </c>
      <c r="L25" s="1">
        <f t="shared" si="0"/>
        <v>347.49444179442759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3.35</v>
      </c>
      <c r="G26">
        <v>381186</v>
      </c>
      <c r="H26">
        <v>381185.625</v>
      </c>
      <c r="I26" cm="1">
        <f t="array" ref="I26">TREND($X$8:$X$12,$W$8:$W$12,H26)</f>
        <v>145.31276296020303</v>
      </c>
      <c r="J26">
        <f>I26/(2/0.2)*3</f>
        <v>43.593828888060912</v>
      </c>
      <c r="K26">
        <v>0.11593176321286171</v>
      </c>
      <c r="L26" s="1">
        <f t="shared" si="0"/>
        <v>376.03006872256839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3.36</v>
      </c>
      <c r="G27">
        <v>397829</v>
      </c>
      <c r="H27">
        <v>397828.84399999998</v>
      </c>
      <c r="I27" cm="1">
        <f t="array" ref="I27">TREND($X$8:$X$12,$W$8:$W$12,H27)</f>
        <v>151.64199878972124</v>
      </c>
      <c r="J27">
        <f>I27/(2/0.2)*3</f>
        <v>45.492599636916367</v>
      </c>
      <c r="K27">
        <v>0.17469611385926145</v>
      </c>
      <c r="L27" s="1">
        <f t="shared" si="0"/>
        <v>260.40991200048148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3.35</v>
      </c>
      <c r="G28">
        <v>391835</v>
      </c>
      <c r="H28">
        <v>391835.40600000002</v>
      </c>
      <c r="I28" cm="1">
        <f t="array" ref="I28">TREND($X$8:$X$12,$W$8:$W$12,H28)</f>
        <v>149.36275926691044</v>
      </c>
      <c r="J28">
        <f>I28/(2/0.2)*3</f>
        <v>44.80882778007313</v>
      </c>
      <c r="K28">
        <v>0.17952606048773259</v>
      </c>
      <c r="L28" s="1">
        <f t="shared" si="0"/>
        <v>249.59511537398782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3.35</v>
      </c>
      <c r="G29">
        <v>442659</v>
      </c>
      <c r="H29">
        <v>442659.25</v>
      </c>
      <c r="I29" cm="1">
        <f t="array" ref="I29">TREND($X$8:$X$12,$W$8:$W$12,H29)</f>
        <v>168.69051638160343</v>
      </c>
      <c r="J29">
        <f>I29/(2/0.2)*3</f>
        <v>50.607154914481029</v>
      </c>
      <c r="K29">
        <v>0.19723586479212707</v>
      </c>
      <c r="L29" s="1">
        <f t="shared" si="0"/>
        <v>256.58191002847002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3.36</v>
      </c>
      <c r="G30">
        <v>386818</v>
      </c>
      <c r="H30">
        <v>386818.375</v>
      </c>
      <c r="I30" cm="1">
        <f t="array" ref="I30">TREND($X$8:$X$12,$W$8:$W$12,H30)</f>
        <v>147.45483674525138</v>
      </c>
      <c r="J30">
        <f>I30/(2/0.2)*3</f>
        <v>44.236451023575412</v>
      </c>
      <c r="K30">
        <v>0.28417490410460888</v>
      </c>
      <c r="L30" s="1">
        <f t="shared" si="0"/>
        <v>155.66628292866895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3.36</v>
      </c>
      <c r="G31">
        <v>364503</v>
      </c>
      <c r="H31">
        <v>364502.96899999998</v>
      </c>
      <c r="I31" cm="1">
        <f t="array" ref="I31">TREND($X$8:$X$12,$W$8:$W$12,H31)</f>
        <v>138.96852966694848</v>
      </c>
      <c r="J31">
        <f>I31/(2/0.2)*3</f>
        <v>41.69055890008454</v>
      </c>
      <c r="K31">
        <v>0.17872106938298743</v>
      </c>
      <c r="L31" s="1">
        <f t="shared" si="0"/>
        <v>233.27165086923483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3.35</v>
      </c>
      <c r="G32">
        <v>546381</v>
      </c>
      <c r="H32">
        <v>546380.875</v>
      </c>
      <c r="I32" cm="1">
        <f t="array" ref="I32">TREND($X$8:$X$12,$W$8:$W$12,H32)</f>
        <v>208.13472637762951</v>
      </c>
      <c r="J32">
        <f>I32/(2/0.2)*3</f>
        <v>62.440417913288847</v>
      </c>
      <c r="K32">
        <v>0.19884584700161748</v>
      </c>
      <c r="L32" s="1">
        <f t="shared" si="0"/>
        <v>314.01419167070128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3.35</v>
      </c>
      <c r="G33">
        <v>294340</v>
      </c>
      <c r="H33">
        <v>294339.625</v>
      </c>
      <c r="I33" cm="1">
        <f t="array" ref="I33">TREND($X$8:$X$12,$W$8:$W$12,H33)</f>
        <v>112.28617027700048</v>
      </c>
      <c r="J33">
        <f>I33/(2/0.2)*3</f>
        <v>33.685851083100147</v>
      </c>
      <c r="K33">
        <v>0.17469611385926145</v>
      </c>
      <c r="L33" s="1">
        <f t="shared" si="0"/>
        <v>192.82541745741474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3.35</v>
      </c>
      <c r="G34">
        <v>491596</v>
      </c>
      <c r="H34">
        <v>491596.43800000002</v>
      </c>
      <c r="I34" cm="1">
        <f t="array" ref="I34">TREND($X$8:$X$12,$W$8:$W$12,H34)</f>
        <v>187.300798664464</v>
      </c>
      <c r="J34">
        <f>I34/(2/0.2)*3</f>
        <v>56.190239599339193</v>
      </c>
      <c r="K34">
        <v>0.24875529549582001</v>
      </c>
      <c r="L34" s="1">
        <f t="shared" si="0"/>
        <v>225.88560170082246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3.36</v>
      </c>
      <c r="G35">
        <v>312485</v>
      </c>
      <c r="H35">
        <v>312485.125</v>
      </c>
      <c r="I35" cm="1">
        <f t="array" ref="I35">TREND($X$8:$X$12,$W$8:$W$12,H35)</f>
        <v>119.18670729117559</v>
      </c>
      <c r="J35">
        <f>I35/(2/0.2)*3</f>
        <v>35.756012187352681</v>
      </c>
      <c r="K35">
        <v>0.18274602490671343</v>
      </c>
      <c r="L35" s="1">
        <f t="shared" si="0"/>
        <v>195.65958934321606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3.36</v>
      </c>
      <c r="G36">
        <v>517835</v>
      </c>
      <c r="H36">
        <v>517835.34399999998</v>
      </c>
      <c r="I36" cm="1">
        <f t="array" ref="I36">TREND($X$8:$X$12,$W$8:$W$12,H36)</f>
        <v>197.27917027530202</v>
      </c>
      <c r="J36">
        <f>I36/(2/0.2)*3</f>
        <v>59.183751082590611</v>
      </c>
      <c r="K36">
        <v>0.18113604269722305</v>
      </c>
      <c r="L36" s="1">
        <f t="shared" si="0"/>
        <v>326.73646945858746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3.36</v>
      </c>
      <c r="G37">
        <v>496612</v>
      </c>
      <c r="H37">
        <v>496611.65600000002</v>
      </c>
      <c r="I37" cm="1">
        <f t="array" ref="I37">TREND($X$8:$X$12,$W$8:$W$12,H37)</f>
        <v>189.20803172186982</v>
      </c>
      <c r="J37">
        <f>I37/(2/0.2)*3</f>
        <v>56.76240951656095</v>
      </c>
      <c r="K37">
        <v>0.12156670094607813</v>
      </c>
      <c r="L37" s="1">
        <f t="shared" si="0"/>
        <v>466.92399378130995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3.36</v>
      </c>
      <c r="G38">
        <v>433557</v>
      </c>
      <c r="H38">
        <v>433557.34399999998</v>
      </c>
      <c r="I38" cm="1">
        <f t="array" ref="I38">TREND($X$8:$X$12,$W$8:$W$12,H38)</f>
        <v>165.22916016366824</v>
      </c>
      <c r="J38">
        <f>I38/(2/0.2)*3</f>
        <v>49.568748049100478</v>
      </c>
      <c r="K38">
        <v>8.8562065651524843E-2</v>
      </c>
      <c r="L38" s="1">
        <f t="shared" si="0"/>
        <v>559.70632216443801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3.35</v>
      </c>
      <c r="G39">
        <v>460992</v>
      </c>
      <c r="H39">
        <v>460991.68800000002</v>
      </c>
      <c r="I39" cm="1">
        <f t="array" ref="I39">TREND($X$8:$X$12,$W$8:$W$12,H39)</f>
        <v>175.66214389140313</v>
      </c>
      <c r="J39">
        <f>I39/(2/0.2)*3</f>
        <v>52.69864316742094</v>
      </c>
      <c r="K39">
        <v>0.13766652304098212</v>
      </c>
      <c r="L39" s="1">
        <f t="shared" si="0"/>
        <v>382.79926014934665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3.35</v>
      </c>
      <c r="G40">
        <v>381016</v>
      </c>
      <c r="H40">
        <v>381016.375</v>
      </c>
      <c r="I40" cm="1">
        <f t="array" ref="I40">TREND($X$8:$X$12,$W$8:$W$12,H40)</f>
        <v>145.24839901930039</v>
      </c>
      <c r="J40">
        <f>I40/(2/0.2)*3</f>
        <v>43.574519705790124</v>
      </c>
      <c r="K40">
        <v>8.2122136813563229E-2</v>
      </c>
      <c r="L40" s="1">
        <f t="shared" si="0"/>
        <v>530.60625790479173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3.36</v>
      </c>
      <c r="G41">
        <v>270511</v>
      </c>
      <c r="H41">
        <v>270511.25</v>
      </c>
      <c r="I41" cm="1">
        <f t="array" ref="I41">TREND($X$8:$X$12,$W$8:$W$12,H41)</f>
        <v>103.2244974834624</v>
      </c>
      <c r="J41">
        <f>I41/(2/0.2)*3</f>
        <v>30.967349245038722</v>
      </c>
      <c r="K41">
        <v>0.10224691443219328</v>
      </c>
      <c r="L41" s="1">
        <f t="shared" si="0"/>
        <v>302.86830088721388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3.35</v>
      </c>
      <c r="G42">
        <v>630320</v>
      </c>
      <c r="H42">
        <v>630319.625</v>
      </c>
      <c r="I42" cm="1">
        <f t="array" ref="I42">TREND($X$8:$X$12,$W$8:$W$12,H42)</f>
        <v>240.05572339058543</v>
      </c>
      <c r="J42">
        <f>I42/(2/0.2)*3</f>
        <v>72.016717017175623</v>
      </c>
      <c r="K42">
        <v>0.12639664757454935</v>
      </c>
      <c r="L42" s="1">
        <f t="shared" si="0"/>
        <v>569.76761962535295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3.35</v>
      </c>
      <c r="G43">
        <v>287598</v>
      </c>
      <c r="H43">
        <v>287597.65600000002</v>
      </c>
      <c r="I43" cm="1">
        <f t="array" ref="I43">TREND($X$8:$X$12,$W$8:$W$12,H43)</f>
        <v>109.72227252643306</v>
      </c>
      <c r="J43">
        <f>I43/(2/0.2)*3</f>
        <v>32.916681757929915</v>
      </c>
      <c r="K43">
        <v>0.15054638071690538</v>
      </c>
      <c r="L43" s="1">
        <f t="shared" si="0"/>
        <v>218.64811097536793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3.35</v>
      </c>
      <c r="G44">
        <v>468164</v>
      </c>
      <c r="H44">
        <v>468164.06300000002</v>
      </c>
      <c r="I44" cm="1">
        <f t="array" ref="I44">TREND($X$8:$X$12,$W$8:$W$12,H44)</f>
        <v>178.3897203796258</v>
      </c>
      <c r="J44">
        <f>I44/(2/0.2)*3</f>
        <v>53.516916113887746</v>
      </c>
      <c r="K44">
        <v>0.14893639850741497</v>
      </c>
      <c r="L44" s="1">
        <f t="shared" si="0"/>
        <v>359.32731454643942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3.35</v>
      </c>
      <c r="G45">
        <v>381892</v>
      </c>
      <c r="H45">
        <v>381891.65600000002</v>
      </c>
      <c r="I45" cm="1">
        <f t="array" ref="I45">TREND($X$8:$X$12,$W$8:$W$12,H45)</f>
        <v>145.58125889851584</v>
      </c>
      <c r="J45">
        <f>I45/(2/0.2)*3</f>
        <v>43.674377669554758</v>
      </c>
      <c r="K45">
        <v>4.0262599366812736E-2</v>
      </c>
      <c r="L45" s="1">
        <f t="shared" si="0"/>
        <v>1084.7381529359043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3.36</v>
      </c>
      <c r="G46">
        <v>350964</v>
      </c>
      <c r="H46">
        <v>350963.78100000002</v>
      </c>
      <c r="I46" cm="1">
        <f t="array" ref="I46">TREND($X$8:$X$12,$W$8:$W$12,H46)</f>
        <v>133.81972318953669</v>
      </c>
      <c r="J46">
        <f>I46/(2/0.2)*3</f>
        <v>40.145916956861001</v>
      </c>
      <c r="K46">
        <v>0.11351678989862611</v>
      </c>
      <c r="L46" s="1">
        <f t="shared" si="0"/>
        <v>353.65620356876286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3.35</v>
      </c>
      <c r="G47">
        <v>351321</v>
      </c>
      <c r="H47">
        <v>351321.46899999998</v>
      </c>
      <c r="I47" cm="1">
        <f t="array" ref="I47">TREND($X$8:$X$12,$W$8:$W$12,H47)</f>
        <v>133.955748059809</v>
      </c>
      <c r="J47">
        <f>I47/(2/0.2)*3</f>
        <v>40.186724417942699</v>
      </c>
      <c r="K47">
        <v>0.10144192332744809</v>
      </c>
      <c r="L47" s="1">
        <f t="shared" si="0"/>
        <v>396.15499292361113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3.35</v>
      </c>
      <c r="G48">
        <v>412292</v>
      </c>
      <c r="H48">
        <v>412291.875</v>
      </c>
      <c r="I48" cm="1">
        <f t="array" ref="I48">TREND($X$8:$X$12,$W$8:$W$12,H48)</f>
        <v>157.14213274870073</v>
      </c>
      <c r="J48">
        <f>I48/(2/0.2)*3</f>
        <v>47.142639824610214</v>
      </c>
      <c r="K48">
        <v>8.3732119023053622E-2</v>
      </c>
      <c r="L48" s="1">
        <f t="shared" si="0"/>
        <v>563.01739851622085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3.35</v>
      </c>
      <c r="G49">
        <v>451506</v>
      </c>
      <c r="H49">
        <v>451505.68800000002</v>
      </c>
      <c r="I49" cm="1">
        <f t="array" ref="I49">TREND($X$8:$X$12,$W$8:$W$12,H49)</f>
        <v>172.05472088754735</v>
      </c>
      <c r="J49">
        <f>I49/(2/0.2)*3</f>
        <v>51.61641626626421</v>
      </c>
      <c r="K49">
        <v>0.22299558014397355</v>
      </c>
      <c r="L49" s="1">
        <f t="shared" si="0"/>
        <v>231.46833777126386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3.36</v>
      </c>
      <c r="G50">
        <v>658315</v>
      </c>
      <c r="H50">
        <v>658315.43799999997</v>
      </c>
      <c r="I50" cm="1">
        <f t="array" ref="I50">TREND($X$8:$X$12,$W$8:$W$12,H50)</f>
        <v>250.70222769459602</v>
      </c>
      <c r="J50">
        <f>I50/(2/0.2)*3</f>
        <v>75.2106683083788</v>
      </c>
      <c r="K50">
        <v>0.1175417454223521</v>
      </c>
      <c r="L50" s="1">
        <f t="shared" si="0"/>
        <v>639.86346330089896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3.36</v>
      </c>
      <c r="G51">
        <v>679231</v>
      </c>
      <c r="H51">
        <v>679230.625</v>
      </c>
      <c r="I51" cm="1">
        <f t="array" ref="I51">TREND($X$8:$X$12,$W$8:$W$12,H51)</f>
        <v>258.65604666083533</v>
      </c>
      <c r="J51">
        <f>I51/(2/0.2)*3</f>
        <v>77.59681399825061</v>
      </c>
      <c r="K51">
        <v>0.11351678989862611</v>
      </c>
      <c r="L51" s="1">
        <f t="shared" si="0"/>
        <v>683.57125027537234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3.35</v>
      </c>
      <c r="G52">
        <v>379583</v>
      </c>
      <c r="H52">
        <v>379583.18800000002</v>
      </c>
      <c r="I52" cm="1">
        <f t="array" ref="I52">TREND($X$8:$X$12,$W$8:$W$12,H52)</f>
        <v>144.70337353409829</v>
      </c>
      <c r="J52">
        <f>I52/(2/0.2)*3</f>
        <v>43.411012060229481</v>
      </c>
      <c r="K52">
        <v>8.4537110127798853E-2</v>
      </c>
      <c r="L52" s="1">
        <f t="shared" si="0"/>
        <v>513.51426603775485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3.35</v>
      </c>
      <c r="G53">
        <v>802393</v>
      </c>
      <c r="H53">
        <v>802392.875</v>
      </c>
      <c r="I53" cm="1">
        <f t="array" ref="I53">TREND($X$8:$X$12,$W$8:$W$12,H53)</f>
        <v>305.49331567376356</v>
      </c>
      <c r="J53">
        <f>I53/(2/0.2)*3</f>
        <v>91.647994702129068</v>
      </c>
      <c r="K53">
        <v>0.1078818521654097</v>
      </c>
      <c r="L53" s="1">
        <f t="shared" si="0"/>
        <v>849.52188771851922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3.35</v>
      </c>
      <c r="G54">
        <v>361784</v>
      </c>
      <c r="H54">
        <v>361784.15600000002</v>
      </c>
      <c r="I54" cm="1">
        <f t="array" ref="I54">TREND($X$8:$X$12,$W$8:$W$12,H54)</f>
        <v>137.93459454578232</v>
      </c>
      <c r="J54">
        <f>I54/(2/0.2)*3</f>
        <v>41.380378363734692</v>
      </c>
      <c r="K54">
        <v>0.14813140740266978</v>
      </c>
      <c r="L54" s="1">
        <f t="shared" si="0"/>
        <v>279.34912041474934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3.35</v>
      </c>
      <c r="G55">
        <v>443564</v>
      </c>
      <c r="H55">
        <v>443563.59399999998</v>
      </c>
      <c r="I55" cm="1">
        <f t="array" ref="I55">TREND($X$8:$X$12,$W$8:$W$12,H55)</f>
        <v>169.03442860477429</v>
      </c>
      <c r="J55">
        <f>I55/(2/0.2)*3</f>
        <v>50.710328581432293</v>
      </c>
      <c r="K55">
        <v>6.6022314718659172E-2</v>
      </c>
      <c r="L55" s="1">
        <f t="shared" si="0"/>
        <v>768.0786230765184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3.35</v>
      </c>
      <c r="G56">
        <v>410658</v>
      </c>
      <c r="H56">
        <v>410658.31300000002</v>
      </c>
      <c r="I56" cm="1">
        <f t="array" ref="I56">TREND($X$8:$X$12,$W$8:$W$12,H56)</f>
        <v>156.52090682238568</v>
      </c>
      <c r="J56">
        <f>I56/(2/0.2)*3</f>
        <v>46.956272046715711</v>
      </c>
      <c r="K56">
        <v>0.22621554456295434</v>
      </c>
      <c r="L56" s="1">
        <f t="shared" si="0"/>
        <v>207.57314506142649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3.35</v>
      </c>
      <c r="G57">
        <v>385657</v>
      </c>
      <c r="H57">
        <v>385656.75</v>
      </c>
      <c r="I57" cm="1">
        <f t="array" ref="I57">TREND($X$8:$X$12,$W$8:$W$12,H57)</f>
        <v>147.01308334583604</v>
      </c>
      <c r="J57">
        <f>I57/(2/0.2)*3</f>
        <v>44.103925003750817</v>
      </c>
      <c r="K57">
        <v>0.21897062462024752</v>
      </c>
      <c r="L57" s="1">
        <f t="shared" si="0"/>
        <v>201.41480200934981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3.35</v>
      </c>
      <c r="G58">
        <v>446994</v>
      </c>
      <c r="H58">
        <v>446993.59399999998</v>
      </c>
      <c r="I58" cm="1">
        <f t="array" ref="I58">TREND($X$8:$X$12,$W$8:$W$12,H58)</f>
        <v>170.33882043517968</v>
      </c>
      <c r="J58">
        <f>I58/(2/0.2)*3</f>
        <v>51.10164613055391</v>
      </c>
      <c r="K58">
        <v>0.11271179879388092</v>
      </c>
      <c r="L58" s="1">
        <f t="shared" si="0"/>
        <v>453.38328974772958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3.35</v>
      </c>
      <c r="G59">
        <v>467695</v>
      </c>
      <c r="H59">
        <v>467695.34399999998</v>
      </c>
      <c r="I59" cm="1">
        <f t="array" ref="I59">TREND($X$8:$X$12,$W$8:$W$12,H59)</f>
        <v>178.21147162325383</v>
      </c>
      <c r="J59">
        <f>I59/(2/0.2)*3</f>
        <v>53.463441486976144</v>
      </c>
      <c r="K59">
        <v>9.1782030070505644E-2</v>
      </c>
      <c r="L59" s="1">
        <f t="shared" si="0"/>
        <v>582.5044558930141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3.35</v>
      </c>
      <c r="G60">
        <v>356341</v>
      </c>
      <c r="H60">
        <v>356340.68800000002</v>
      </c>
      <c r="I60" cm="1">
        <f t="array" ref="I60">TREND($X$8:$X$12,$W$8:$W$12,H60)</f>
        <v>135.86450265415752</v>
      </c>
      <c r="J60">
        <f>I60/(2/0.2)*3</f>
        <v>40.759350796247261</v>
      </c>
      <c r="K60">
        <v>0.16584121170706426</v>
      </c>
      <c r="L60" s="1">
        <f t="shared" si="0"/>
        <v>245.77335378038038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3.35</v>
      </c>
      <c r="G61">
        <v>616629</v>
      </c>
      <c r="H61">
        <v>616628.81299999997</v>
      </c>
      <c r="I61" cm="1">
        <f t="array" ref="I61">TREND($X$8:$X$12,$W$8:$W$12,H61)</f>
        <v>234.84925594906477</v>
      </c>
      <c r="J61">
        <f>I61/(2/0.2)*3</f>
        <v>70.454776784719428</v>
      </c>
      <c r="K61">
        <v>0.20850574025855992</v>
      </c>
      <c r="L61" s="1">
        <f t="shared" si="0"/>
        <v>337.90329559920593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3.35</v>
      </c>
      <c r="G62">
        <v>351520</v>
      </c>
      <c r="H62">
        <v>351519.65600000002</v>
      </c>
      <c r="I62" cm="1">
        <f t="array" ref="I62">TREND($X$8:$X$12,$W$8:$W$12,H62)</f>
        <v>134.03111642823251</v>
      </c>
      <c r="J62">
        <f>I62/(2/0.2)*3</f>
        <v>40.209334928469758</v>
      </c>
      <c r="K62">
        <v>0.15457133624063138</v>
      </c>
      <c r="L62" s="1">
        <f t="shared" si="0"/>
        <v>260.1344848690008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3.35</v>
      </c>
      <c r="G63">
        <v>516100</v>
      </c>
      <c r="H63">
        <v>516100.09399999998</v>
      </c>
      <c r="I63" cm="1">
        <f t="array" ref="I63">TREND($X$8:$X$12,$W$8:$W$12,H63)</f>
        <v>196.61927350454081</v>
      </c>
      <c r="J63">
        <f>I63/(2/0.2)*3</f>
        <v>58.98578205136225</v>
      </c>
      <c r="K63">
        <v>0.22863051787718996</v>
      </c>
      <c r="L63" s="1">
        <f t="shared" si="0"/>
        <v>257.99610042893204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3.35</v>
      </c>
      <c r="G64">
        <v>350955</v>
      </c>
      <c r="H64">
        <v>350955.03100000002</v>
      </c>
      <c r="I64" cm="1">
        <f t="array" ref="I64">TREND($X$8:$X$12,$W$8:$W$12,H64)</f>
        <v>133.81639565935708</v>
      </c>
      <c r="J64">
        <f>I64/(2/0.2)*3</f>
        <v>40.144918697807128</v>
      </c>
      <c r="K64">
        <v>0.19079593595416544</v>
      </c>
      <c r="L64" s="1">
        <f t="shared" si="0"/>
        <v>210.4076195179077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3.35</v>
      </c>
      <c r="G65">
        <v>429005</v>
      </c>
      <c r="H65">
        <v>429005.15600000002</v>
      </c>
      <c r="I65" cm="1">
        <f t="array" ref="I65">TREND($X$8:$X$12,$W$8:$W$12,H65)</f>
        <v>163.49801239758389</v>
      </c>
      <c r="J65">
        <f>I65/(2/0.2)*3</f>
        <v>49.049403719275162</v>
      </c>
      <c r="K65">
        <v>0.13122659420302052</v>
      </c>
      <c r="L65" s="1">
        <f t="shared" si="0"/>
        <v>373.77639812392664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3.35</v>
      </c>
      <c r="G66">
        <v>437181</v>
      </c>
      <c r="H66">
        <v>437180.53100000002</v>
      </c>
      <c r="I66" cm="1">
        <f t="array" ref="I66">TREND($X$8:$X$12,$W$8:$W$12,H66)</f>
        <v>166.6070189166802</v>
      </c>
      <c r="J66">
        <f>I66/(2/0.2)*3</f>
        <v>49.982105675004057</v>
      </c>
      <c r="K66">
        <v>0.13927650525047255</v>
      </c>
      <c r="L66" s="1">
        <f t="shared" si="0"/>
        <v>358.86961397485578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3.35</v>
      </c>
      <c r="G67">
        <v>511866</v>
      </c>
      <c r="H67">
        <v>511866.125</v>
      </c>
      <c r="I67" cm="1">
        <f t="array" ref="I67">TREND($X$8:$X$12,$W$8:$W$12,H67)</f>
        <v>195.0091409757392</v>
      </c>
      <c r="J67">
        <f>I67/(2/0.2)*3</f>
        <v>58.502742292721756</v>
      </c>
      <c r="K67">
        <v>9.7416967803722054E-2</v>
      </c>
      <c r="L67" s="1">
        <f t="shared" si="0"/>
        <v>600.53955293080389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3.35</v>
      </c>
      <c r="G68">
        <v>347691</v>
      </c>
      <c r="H68">
        <v>347691.43800000002</v>
      </c>
      <c r="I68" cm="1">
        <f t="array" ref="I68">TREND($X$8:$X$12,$W$8:$W$12,H68)</f>
        <v>132.57528660776288</v>
      </c>
      <c r="J68">
        <f>I68/(2/0.2)*3</f>
        <v>39.772585982328863</v>
      </c>
      <c r="K68">
        <v>7.4877216870856411E-2</v>
      </c>
      <c r="L68" s="1">
        <f t="shared" si="0"/>
        <v>531.17073048970497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3.35</v>
      </c>
      <c r="G69">
        <v>406208</v>
      </c>
      <c r="H69">
        <v>406207.5</v>
      </c>
      <c r="I69" cm="1">
        <f t="array" ref="I69">TREND($X$8:$X$12,$W$8:$W$12,H69)</f>
        <v>154.82831087023931</v>
      </c>
      <c r="J69">
        <f>I69/(2/0.2)*3</f>
        <v>46.448493261071789</v>
      </c>
      <c r="K69">
        <v>0.14491144298368897</v>
      </c>
      <c r="L69" s="1">
        <f t="shared" si="0"/>
        <v>320.53019626821305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3.35</v>
      </c>
      <c r="G70">
        <v>491214</v>
      </c>
      <c r="H70">
        <v>491213.96899999998</v>
      </c>
      <c r="I70" cm="1">
        <f t="array" ref="I70">TREND($X$8:$X$12,$W$8:$W$12,H70)</f>
        <v>187.15534984843387</v>
      </c>
      <c r="J70">
        <f>I70/(2/0.2)*3</f>
        <v>56.146604954530162</v>
      </c>
      <c r="K70">
        <v>0.14571643408843418</v>
      </c>
      <c r="L70" s="1">
        <f t="shared" si="0"/>
        <v>385.31415694989641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3.35</v>
      </c>
      <c r="G71">
        <v>316695</v>
      </c>
      <c r="H71">
        <v>316695.46899999998</v>
      </c>
      <c r="I71" cm="1">
        <f t="array" ref="I71">TREND($X$8:$X$12,$W$8:$W$12,H71)</f>
        <v>120.78785548849228</v>
      </c>
      <c r="J71">
        <f>I71/(2/0.2)*3</f>
        <v>36.236356646547691</v>
      </c>
      <c r="K71">
        <v>0.26405012648597881</v>
      </c>
      <c r="L71" s="1">
        <f t="shared" si="0"/>
        <v>137.23286986750168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3.36</v>
      </c>
      <c r="G72">
        <v>231474</v>
      </c>
      <c r="H72">
        <v>231473.79699999999</v>
      </c>
      <c r="I72" cm="1">
        <f t="array" ref="I72">TREND($X$8:$X$12,$W$8:$W$12,H72)</f>
        <v>88.378977141470088</v>
      </c>
      <c r="J72">
        <f>I72/(2/0.2)*3</f>
        <v>26.513693142441024</v>
      </c>
      <c r="K72">
        <v>0.17469611385926145</v>
      </c>
      <c r="L72" s="1">
        <f t="shared" si="0"/>
        <v>151.77036601856506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3.36</v>
      </c>
      <c r="G73">
        <v>123404</v>
      </c>
      <c r="H73">
        <v>123404.42200000001</v>
      </c>
      <c r="I73" cm="1">
        <f t="array" ref="I73">TREND($X$8:$X$12,$W$8:$W$12,H73)</f>
        <v>47.281364935343461</v>
      </c>
      <c r="J73">
        <f>I73/(2/0.2)*3</f>
        <v>14.184409480603037</v>
      </c>
      <c r="K73">
        <v>0.1175417454223521</v>
      </c>
      <c r="L73" s="1">
        <f t="shared" ref="L73" si="1">J73/K73</f>
        <v>120.67550494197175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3.37</v>
      </c>
      <c r="G74">
        <v>3692</v>
      </c>
      <c r="H74">
        <v>3691.8910000000001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904B-DD71-4B48-878B-6AA2BCB73253}">
  <dimension ref="A1:AB74"/>
  <sheetViews>
    <sheetView topLeftCell="A2" workbookViewId="0">
      <selection activeCell="L2" activeCellId="2" sqref="I1:I1048576 K1:K1048576 L1:L1048576"/>
    </sheetView>
  </sheetViews>
  <sheetFormatPr defaultRowHeight="16.5" x14ac:dyDescent="0.3"/>
  <cols>
    <col min="17" max="17" width="21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252</v>
      </c>
      <c r="P3" t="s">
        <v>95</v>
      </c>
    </row>
    <row r="5" spans="1:28" x14ac:dyDescent="0.3">
      <c r="A5" t="s">
        <v>253</v>
      </c>
      <c r="P5" t="s">
        <v>1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3.49</v>
      </c>
      <c r="G8">
        <v>18224</v>
      </c>
      <c r="H8">
        <v>18224.43</v>
      </c>
      <c r="I8" cm="1">
        <f t="array" ref="I8">TREND($X$8:$X$12,$W$8:$W$12,H8)</f>
        <v>7.2825537729812968</v>
      </c>
      <c r="J8">
        <f>I8/(2/0.2)*3</f>
        <v>2.1847661318943894</v>
      </c>
      <c r="K8">
        <v>0.14813140740266978</v>
      </c>
      <c r="L8" s="1">
        <f>J8/K8</f>
        <v>14.74883800945385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2.08</v>
      </c>
      <c r="V8">
        <v>2444</v>
      </c>
      <c r="W8">
        <v>2443.7080000000001</v>
      </c>
      <c r="X8">
        <v>1</v>
      </c>
      <c r="Y8">
        <v>0.98799999999999999</v>
      </c>
      <c r="Z8">
        <v>-1.2</v>
      </c>
      <c r="AA8">
        <v>22</v>
      </c>
      <c r="AB8">
        <v>40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3.5</v>
      </c>
      <c r="G9">
        <v>23761</v>
      </c>
      <c r="H9">
        <v>23760.625</v>
      </c>
      <c r="I9" cm="1">
        <f t="array" ref="I9">TREND($X$8:$X$12,$W$8:$W$12,H9)</f>
        <v>9.3879087378591564</v>
      </c>
      <c r="J9">
        <f>I9/(2/0.2)*3</f>
        <v>2.8163726213577469</v>
      </c>
      <c r="K9">
        <v>0.11673675431760691</v>
      </c>
      <c r="L9" s="1">
        <f t="shared" ref="L9:L72" si="0">J9/K9</f>
        <v>24.12584312302544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2.09</v>
      </c>
      <c r="V9">
        <v>5019</v>
      </c>
      <c r="W9">
        <v>5019.2870000000003</v>
      </c>
      <c r="X9">
        <v>2</v>
      </c>
      <c r="Y9">
        <v>2.0369999999999999</v>
      </c>
      <c r="Z9">
        <v>1.9</v>
      </c>
      <c r="AA9">
        <v>63</v>
      </c>
      <c r="AB9">
        <v>72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3.5</v>
      </c>
      <c r="G10">
        <v>15327</v>
      </c>
      <c r="H10">
        <v>15327.355</v>
      </c>
      <c r="I10" cm="1">
        <f t="array" ref="I10">TREND($X$8:$X$12,$W$8:$W$12,H10)</f>
        <v>6.1808275449720727</v>
      </c>
      <c r="J10">
        <f>I10/(2/0.2)*3</f>
        <v>1.854248263491622</v>
      </c>
      <c r="K10">
        <v>8.6147092337289247E-2</v>
      </c>
      <c r="L10" s="1">
        <f t="shared" si="0"/>
        <v>21.524211824024622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2.08</v>
      </c>
      <c r="V10">
        <v>13086</v>
      </c>
      <c r="W10">
        <v>13086.012000000001</v>
      </c>
      <c r="X10">
        <v>5</v>
      </c>
      <c r="Y10">
        <v>5.3250000000000002</v>
      </c>
      <c r="Z10">
        <v>6.5</v>
      </c>
      <c r="AA10">
        <v>124</v>
      </c>
      <c r="AB10">
        <v>123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3.49</v>
      </c>
      <c r="G11">
        <v>28774</v>
      </c>
      <c r="H11">
        <v>28774.141</v>
      </c>
      <c r="I11" cm="1">
        <f t="array" ref="I11">TREND($X$8:$X$12,$W$8:$W$12,H11)</f>
        <v>11.294494543108897</v>
      </c>
      <c r="J11">
        <f>I11/(2/0.2)*3</f>
        <v>3.3883483629326694</v>
      </c>
      <c r="K11">
        <v>8.9367056756270047E-2</v>
      </c>
      <c r="L11" s="1">
        <f t="shared" si="0"/>
        <v>37.914959784047504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2.08</v>
      </c>
      <c r="V11">
        <v>21984</v>
      </c>
      <c r="W11">
        <v>21983.687999999998</v>
      </c>
      <c r="X11">
        <v>10</v>
      </c>
      <c r="Y11">
        <v>8.9559999999999995</v>
      </c>
      <c r="Z11">
        <v>-10.4</v>
      </c>
      <c r="AA11">
        <v>204</v>
      </c>
      <c r="AB11">
        <v>348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3.49</v>
      </c>
      <c r="G12">
        <v>17892</v>
      </c>
      <c r="H12">
        <v>17891.671999999999</v>
      </c>
      <c r="I12" cm="1">
        <f t="array" ref="I12">TREND($X$8:$X$12,$W$8:$W$12,H12)</f>
        <v>7.1560095115521332</v>
      </c>
      <c r="J12">
        <f>I12/(2/0.2)*3</f>
        <v>2.1468028534656396</v>
      </c>
      <c r="K12">
        <v>9.3392012279996037E-2</v>
      </c>
      <c r="L12" s="1">
        <f t="shared" si="0"/>
        <v>22.987007143923279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2.08</v>
      </c>
      <c r="V12">
        <v>52763</v>
      </c>
      <c r="W12">
        <v>52763.203000000001</v>
      </c>
      <c r="X12">
        <v>20</v>
      </c>
      <c r="Y12">
        <v>21.553000000000001</v>
      </c>
      <c r="Z12">
        <v>7.8</v>
      </c>
      <c r="AA12">
        <v>631</v>
      </c>
      <c r="AB12">
        <v>694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3.5</v>
      </c>
      <c r="G13">
        <v>12606</v>
      </c>
      <c r="H13">
        <v>12605.978999999999</v>
      </c>
      <c r="I13" cm="1">
        <f t="array" ref="I13">TREND($X$8:$X$12,$W$8:$W$12,H13)</f>
        <v>5.1459177426801643</v>
      </c>
      <c r="J13">
        <f>I13/(2/0.2)*3</f>
        <v>1.5437753228040492</v>
      </c>
      <c r="K13">
        <v>0.18918595374467503</v>
      </c>
      <c r="L13" s="1">
        <f t="shared" si="0"/>
        <v>8.1600948286442296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2.08</v>
      </c>
      <c r="V13">
        <v>117092</v>
      </c>
      <c r="W13">
        <v>117092.43</v>
      </c>
      <c r="X13">
        <v>50</v>
      </c>
      <c r="Y13">
        <v>48.069000000000003</v>
      </c>
      <c r="Z13">
        <v>-3.9</v>
      </c>
      <c r="AA13">
        <v>824</v>
      </c>
      <c r="AB13">
        <v>1098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3.49</v>
      </c>
      <c r="G14">
        <v>15444</v>
      </c>
      <c r="H14">
        <v>15444.407999999999</v>
      </c>
      <c r="I14" cm="1">
        <f t="array" ref="I14">TREND($X$8:$X$12,$W$8:$W$12,H14)</f>
        <v>6.2253415324136006</v>
      </c>
      <c r="J14">
        <f>I14/(2/0.2)*3</f>
        <v>1.8676024597240803</v>
      </c>
      <c r="K14">
        <v>9.2587021175250833E-2</v>
      </c>
      <c r="L14" s="1">
        <f t="shared" si="0"/>
        <v>20.171320299732287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2.08</v>
      </c>
      <c r="V14">
        <v>233058</v>
      </c>
      <c r="W14">
        <v>233057.766</v>
      </c>
      <c r="X14">
        <v>100</v>
      </c>
      <c r="Y14">
        <v>96.528999999999996</v>
      </c>
      <c r="Z14">
        <v>-3.5</v>
      </c>
      <c r="AA14">
        <v>1544</v>
      </c>
      <c r="AB14">
        <v>2022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3.49</v>
      </c>
      <c r="G15">
        <v>7222</v>
      </c>
      <c r="H15">
        <v>7221.6639999999998</v>
      </c>
      <c r="I15" cm="1">
        <f t="array" ref="I15">TREND($X$8:$X$12,$W$8:$W$12,H15)</f>
        <v>3.0983210959369889</v>
      </c>
      <c r="J15">
        <f>I15/(2/0.2)*3</f>
        <v>0.92949632878109667</v>
      </c>
      <c r="K15">
        <v>0.14974138961216016</v>
      </c>
      <c r="L15" s="1">
        <f t="shared" si="0"/>
        <v>6.2073440829456175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2.08</v>
      </c>
      <c r="V15">
        <v>488382</v>
      </c>
      <c r="W15">
        <v>488382.25</v>
      </c>
      <c r="X15">
        <v>200</v>
      </c>
      <c r="Y15">
        <v>206.43600000000001</v>
      </c>
      <c r="Z15">
        <v>3.2</v>
      </c>
      <c r="AA15">
        <v>3450</v>
      </c>
      <c r="AB15">
        <v>4162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3.49</v>
      </c>
      <c r="G16">
        <v>49834</v>
      </c>
      <c r="H16">
        <v>49834.440999999999</v>
      </c>
      <c r="I16" cm="1">
        <f t="array" ref="I16">TREND($X$8:$X$12,$W$8:$W$12,H16)</f>
        <v>19.303498410714212</v>
      </c>
      <c r="J16">
        <f>I16/(2/0.2)*3</f>
        <v>5.791049523214264</v>
      </c>
      <c r="K16">
        <v>0.19965083810636269</v>
      </c>
      <c r="L16" s="1">
        <f t="shared" si="0"/>
        <v>29.005886367124187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2.08</v>
      </c>
      <c r="V16">
        <v>1114230</v>
      </c>
      <c r="W16">
        <v>1114230.25</v>
      </c>
      <c r="X16">
        <v>500</v>
      </c>
      <c r="Y16">
        <v>498.08600000000001</v>
      </c>
      <c r="Z16">
        <v>-0.4</v>
      </c>
      <c r="AA16">
        <v>4007</v>
      </c>
      <c r="AB16">
        <v>8571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3.49</v>
      </c>
      <c r="G17">
        <v>69328</v>
      </c>
      <c r="H17">
        <v>69327.554999999993</v>
      </c>
      <c r="I17" cm="1">
        <f t="array" ref="I17">TREND($X$8:$X$12,$W$8:$W$12,H17)</f>
        <v>26.7165184255132</v>
      </c>
      <c r="J17">
        <f>I17/(2/0.2)*3</f>
        <v>8.0149555276539601</v>
      </c>
      <c r="K17">
        <v>0.22058060682973793</v>
      </c>
      <c r="L17" s="1">
        <f t="shared" si="0"/>
        <v>36.335721634135112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3.49</v>
      </c>
      <c r="G18">
        <v>54131</v>
      </c>
      <c r="H18">
        <v>54130.5</v>
      </c>
      <c r="I18" cm="1">
        <f t="array" ref="I18">TREND($X$8:$X$12,$W$8:$W$12,H18)</f>
        <v>20.937243093670325</v>
      </c>
      <c r="J18">
        <f>I18/(2/0.2)*3</f>
        <v>6.2811729281010971</v>
      </c>
      <c r="K18">
        <v>0.12720163867929454</v>
      </c>
      <c r="L18" s="1">
        <f t="shared" si="0"/>
        <v>49.379654172045861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3.5</v>
      </c>
      <c r="G19">
        <v>45908</v>
      </c>
      <c r="H19">
        <v>45908.163999999997</v>
      </c>
      <c r="I19" cm="1">
        <f t="array" ref="I19">TREND($X$8:$X$12,$W$8:$W$12,H19)</f>
        <v>17.810377815172373</v>
      </c>
      <c r="J19">
        <f>I19/(2/0.2)*3</f>
        <v>5.3431133445517123</v>
      </c>
      <c r="K19">
        <v>0.1594012828691026</v>
      </c>
      <c r="L19" s="1">
        <f t="shared" si="0"/>
        <v>33.519889227863857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3.5</v>
      </c>
      <c r="G20">
        <v>57550</v>
      </c>
      <c r="H20">
        <v>57550.48</v>
      </c>
      <c r="I20" cm="1">
        <f t="array" ref="I20">TREND($X$8:$X$12,$W$8:$W$12,H20)</f>
        <v>22.237824426658591</v>
      </c>
      <c r="J20">
        <f>I20/(2/0.2)*3</f>
        <v>6.6713473279975766</v>
      </c>
      <c r="K20">
        <v>0.14491144298368897</v>
      </c>
      <c r="L20" s="1">
        <f t="shared" si="0"/>
        <v>46.037408714151681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3.5</v>
      </c>
      <c r="G21">
        <v>30272</v>
      </c>
      <c r="H21">
        <v>30271.562999999998</v>
      </c>
      <c r="I21" cm="1">
        <f t="array" ref="I21">TREND($X$8:$X$12,$W$8:$W$12,H21)</f>
        <v>11.863947902720929</v>
      </c>
      <c r="J21">
        <f>I21/(2/0.2)*3</f>
        <v>3.5591843708162783</v>
      </c>
      <c r="K21">
        <v>0.24553533107683917</v>
      </c>
      <c r="L21" s="1">
        <f t="shared" si="0"/>
        <v>14.495609879062364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3.49</v>
      </c>
      <c r="G22">
        <v>41100</v>
      </c>
      <c r="H22">
        <v>41100.241999999998</v>
      </c>
      <c r="I22" cm="1">
        <f t="array" ref="I22">TREND($X$8:$X$12,$W$8:$W$12,H22)</f>
        <v>15.981977180179296</v>
      </c>
      <c r="J22">
        <f>I22/(2/0.2)*3</f>
        <v>4.7945931540537892</v>
      </c>
      <c r="K22">
        <v>0.3002747261995129</v>
      </c>
      <c r="L22" s="1">
        <f t="shared" si="0"/>
        <v>15.967355010984495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3.49</v>
      </c>
      <c r="G23">
        <v>23969</v>
      </c>
      <c r="H23">
        <v>23968.835999999999</v>
      </c>
      <c r="I23" cm="1">
        <f t="array" ref="I23">TREND($X$8:$X$12,$W$8:$W$12,H23)</f>
        <v>9.4670891248563969</v>
      </c>
      <c r="J23">
        <f>I23/(2/0.2)*3</f>
        <v>2.8401267374569192</v>
      </c>
      <c r="K23">
        <v>0.17147614944028067</v>
      </c>
      <c r="L23" s="1">
        <f t="shared" si="0"/>
        <v>16.562809152919773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3.5</v>
      </c>
      <c r="G24">
        <v>30631</v>
      </c>
      <c r="H24">
        <v>30631.15</v>
      </c>
      <c r="I24" cm="1">
        <f t="array" ref="I24">TREND($X$8:$X$12,$W$8:$W$12,H24)</f>
        <v>12.00069494211451</v>
      </c>
      <c r="J24">
        <f>I24/(2/0.2)*3</f>
        <v>3.6002084826343528</v>
      </c>
      <c r="K24">
        <v>0.18113604269722305</v>
      </c>
      <c r="L24" s="1">
        <f t="shared" si="0"/>
        <v>19.875715672182711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3.49</v>
      </c>
      <c r="G25">
        <v>37721</v>
      </c>
      <c r="H25">
        <v>37720.898000000001</v>
      </c>
      <c r="I25" cm="1">
        <f t="array" ref="I25">TREND($X$8:$X$12,$W$8:$W$12,H25)</f>
        <v>14.69684927763428</v>
      </c>
      <c r="J25">
        <f>I25/(2/0.2)*3</f>
        <v>4.4090547832902844</v>
      </c>
      <c r="K25">
        <v>8.2927127918308433E-2</v>
      </c>
      <c r="L25" s="1">
        <f t="shared" si="0"/>
        <v>53.167822086321948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3.49</v>
      </c>
      <c r="G26">
        <v>32975</v>
      </c>
      <c r="H26">
        <v>32974.726999999999</v>
      </c>
      <c r="I26" cm="1">
        <f t="array" ref="I26">TREND($X$8:$X$12,$W$8:$W$12,H26)</f>
        <v>12.891931878769297</v>
      </c>
      <c r="J26">
        <f>I26/(2/0.2)*3</f>
        <v>3.8675795636307888</v>
      </c>
      <c r="K26">
        <v>0.11593176321286171</v>
      </c>
      <c r="L26" s="1">
        <f t="shared" si="0"/>
        <v>33.360827580354716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3.5</v>
      </c>
      <c r="G27">
        <v>31378</v>
      </c>
      <c r="H27">
        <v>31378.143</v>
      </c>
      <c r="I27" cm="1">
        <f t="array" ref="I27">TREND($X$8:$X$12,$W$8:$W$12,H27)</f>
        <v>12.284768285137831</v>
      </c>
      <c r="J27">
        <f>I27/(2/0.2)*3</f>
        <v>3.6854304855413491</v>
      </c>
      <c r="K27">
        <v>0.17469611385926145</v>
      </c>
      <c r="L27" s="1">
        <f t="shared" si="0"/>
        <v>21.096236224867617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3.49</v>
      </c>
      <c r="G28">
        <v>39674</v>
      </c>
      <c r="H28">
        <v>39674.184000000001</v>
      </c>
      <c r="I28" cm="1">
        <f t="array" ref="I28">TREND($X$8:$X$12,$W$8:$W$12,H28)</f>
        <v>15.439662776422963</v>
      </c>
      <c r="J28">
        <f>I28/(2/0.2)*3</f>
        <v>4.6318988329268898</v>
      </c>
      <c r="K28">
        <v>0.17952606048773259</v>
      </c>
      <c r="L28" s="1">
        <f t="shared" si="0"/>
        <v>25.800704479021292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3.49</v>
      </c>
      <c r="G29">
        <v>41638</v>
      </c>
      <c r="H29">
        <v>41637.690999999999</v>
      </c>
      <c r="I29" cm="1">
        <f t="array" ref="I29">TREND($X$8:$X$12,$W$8:$W$12,H29)</f>
        <v>16.186363210750589</v>
      </c>
      <c r="J29">
        <f>I29/(2/0.2)*3</f>
        <v>4.8559089632251773</v>
      </c>
      <c r="K29">
        <v>0.19723586479212707</v>
      </c>
      <c r="L29" s="1">
        <f t="shared" si="0"/>
        <v>24.619807195526882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3.49</v>
      </c>
      <c r="G30">
        <v>35223</v>
      </c>
      <c r="H30">
        <v>35223.152000000002</v>
      </c>
      <c r="I30" cm="1">
        <f t="array" ref="I30">TREND($X$8:$X$12,$W$8:$W$12,H30)</f>
        <v>13.746983540949822</v>
      </c>
      <c r="J30">
        <f>I30/(2/0.2)*3</f>
        <v>4.1240950622849466</v>
      </c>
      <c r="K30">
        <v>0.28417490410460888</v>
      </c>
      <c r="L30" s="1">
        <f t="shared" si="0"/>
        <v>14.512523810923176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3.5</v>
      </c>
      <c r="G31">
        <v>48720</v>
      </c>
      <c r="H31">
        <v>48719.586000000003</v>
      </c>
      <c r="I31" cm="1">
        <f t="array" ref="I31">TREND($X$8:$X$12,$W$8:$W$12,H31)</f>
        <v>18.879531135470309</v>
      </c>
      <c r="J31">
        <f>I31/(2/0.2)*3</f>
        <v>5.6638593406410926</v>
      </c>
      <c r="K31">
        <v>0.17872106938298743</v>
      </c>
      <c r="L31" s="1">
        <f t="shared" si="0"/>
        <v>31.691055566055375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3.49</v>
      </c>
      <c r="G32">
        <v>46877</v>
      </c>
      <c r="H32">
        <v>46876.699000000001</v>
      </c>
      <c r="I32" cm="1">
        <f t="array" ref="I32">TREND($X$8:$X$12,$W$8:$W$12,H32)</f>
        <v>18.178701180030004</v>
      </c>
      <c r="J32">
        <f>I32/(2/0.2)*3</f>
        <v>5.4536103540090011</v>
      </c>
      <c r="K32">
        <v>0.19884584700161748</v>
      </c>
      <c r="L32" s="1">
        <f t="shared" si="0"/>
        <v>27.426322632549823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3.49</v>
      </c>
      <c r="G33">
        <v>34618</v>
      </c>
      <c r="H33">
        <v>34618.07</v>
      </c>
      <c r="I33" cm="1">
        <f t="array" ref="I33">TREND($X$8:$X$12,$W$8:$W$12,H33)</f>
        <v>13.516877413391413</v>
      </c>
      <c r="J33">
        <f>I33/(2/0.2)*3</f>
        <v>4.0550632240174238</v>
      </c>
      <c r="K33">
        <v>0.17469611385926145</v>
      </c>
      <c r="L33" s="1">
        <f t="shared" si="0"/>
        <v>23.212097478506365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3.49</v>
      </c>
      <c r="G34">
        <v>51538</v>
      </c>
      <c r="H34">
        <v>51537.898000000001</v>
      </c>
      <c r="I34" cm="1">
        <f t="array" ref="I34">TREND($X$8:$X$12,$W$8:$W$12,H34)</f>
        <v>19.951304648103964</v>
      </c>
      <c r="J34">
        <f>I34/(2/0.2)*3</f>
        <v>5.9853913944311898</v>
      </c>
      <c r="K34">
        <v>0.24875529549582001</v>
      </c>
      <c r="L34" s="1">
        <f t="shared" si="0"/>
        <v>24.061362723961654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3.49</v>
      </c>
      <c r="G35">
        <v>33507</v>
      </c>
      <c r="H35">
        <v>33507.362999999998</v>
      </c>
      <c r="I35" cm="1">
        <f t="array" ref="I35">TREND($X$8:$X$12,$W$8:$W$12,H35)</f>
        <v>13.094487577597226</v>
      </c>
      <c r="J35">
        <f>I35/(2/0.2)*3</f>
        <v>3.9283462732791681</v>
      </c>
      <c r="K35">
        <v>0.18274602490671343</v>
      </c>
      <c r="L35" s="1">
        <f t="shared" si="0"/>
        <v>21.496206416990329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3.5</v>
      </c>
      <c r="G36">
        <v>64838</v>
      </c>
      <c r="H36">
        <v>64838.241999999998</v>
      </c>
      <c r="I36" cm="1">
        <f t="array" ref="I36">TREND($X$8:$X$12,$W$8:$W$12,H36)</f>
        <v>25.009281340576578</v>
      </c>
      <c r="J36">
        <f>I36/(2/0.2)*3</f>
        <v>7.5027844021729742</v>
      </c>
      <c r="K36">
        <v>0.18113604269722305</v>
      </c>
      <c r="L36" s="1">
        <f t="shared" si="0"/>
        <v>41.420715007637725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3.49</v>
      </c>
      <c r="G37">
        <v>50909</v>
      </c>
      <c r="H37">
        <v>50909.156000000003</v>
      </c>
      <c r="I37" cm="1">
        <f t="array" ref="I37">TREND($X$8:$X$12,$W$8:$W$12,H37)</f>
        <v>19.712200878939896</v>
      </c>
      <c r="J37">
        <f>I37/(2/0.2)*3</f>
        <v>5.9136602636819688</v>
      </c>
      <c r="K37">
        <v>0.12156670094607813</v>
      </c>
      <c r="L37" s="1">
        <f t="shared" si="0"/>
        <v>48.645395635972875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3.49</v>
      </c>
      <c r="G38">
        <v>52077</v>
      </c>
      <c r="H38">
        <v>52076.52</v>
      </c>
      <c r="I38" cm="1">
        <f t="array" ref="I38">TREND($X$8:$X$12,$W$8:$W$12,H38)</f>
        <v>20.156136757863898</v>
      </c>
      <c r="J38">
        <f>I38/(2/0.2)*3</f>
        <v>6.0468410273591688</v>
      </c>
      <c r="K38">
        <v>8.8562065651524843E-2</v>
      </c>
      <c r="L38" s="1">
        <f t="shared" si="0"/>
        <v>68.27800348686938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3.49</v>
      </c>
      <c r="G39">
        <v>40640</v>
      </c>
      <c r="H39">
        <v>40639.855000000003</v>
      </c>
      <c r="I39" cm="1">
        <f t="array" ref="I39">TREND($X$8:$X$12,$W$8:$W$12,H39)</f>
        <v>15.806896993116663</v>
      </c>
      <c r="J39">
        <f>I39/(2/0.2)*3</f>
        <v>4.7420690979349995</v>
      </c>
      <c r="K39">
        <v>0.13766652304098212</v>
      </c>
      <c r="L39" s="1">
        <f t="shared" si="0"/>
        <v>34.446058440244961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3.49</v>
      </c>
      <c r="G40">
        <v>53655</v>
      </c>
      <c r="H40">
        <v>53654.961000000003</v>
      </c>
      <c r="I40" cm="1">
        <f t="array" ref="I40">TREND($X$8:$X$12,$W$8:$W$12,H40)</f>
        <v>20.756400765204106</v>
      </c>
      <c r="J40">
        <f>I40/(2/0.2)*3</f>
        <v>6.2269202295612311</v>
      </c>
      <c r="K40">
        <v>8.2122136813563229E-2</v>
      </c>
      <c r="L40" s="1">
        <f t="shared" si="0"/>
        <v>75.825112097336444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3.5</v>
      </c>
      <c r="G41">
        <v>21000</v>
      </c>
      <c r="H41">
        <v>20999.651999999998</v>
      </c>
      <c r="I41" cm="1">
        <f t="array" ref="I41">TREND($X$8:$X$12,$W$8:$W$12,H41)</f>
        <v>8.3379406255647517</v>
      </c>
      <c r="J41">
        <f>I41/(2/0.2)*3</f>
        <v>2.5013821876694253</v>
      </c>
      <c r="K41">
        <v>0.10224691443219328</v>
      </c>
      <c r="L41" s="1">
        <f t="shared" si="0"/>
        <v>24.464133725309217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3.49</v>
      </c>
      <c r="G42">
        <v>61499</v>
      </c>
      <c r="H42">
        <v>61498.913999999997</v>
      </c>
      <c r="I42" cm="1">
        <f t="array" ref="I42">TREND($X$8:$X$12,$W$8:$W$12,H42)</f>
        <v>23.739371089193519</v>
      </c>
      <c r="J42">
        <f>I42/(2/0.2)*3</f>
        <v>7.1218113267580563</v>
      </c>
      <c r="K42">
        <v>0.12639664757454935</v>
      </c>
      <c r="L42" s="1">
        <f t="shared" si="0"/>
        <v>56.344938441168523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3.49</v>
      </c>
      <c r="G43">
        <v>29861</v>
      </c>
      <c r="H43">
        <v>29860.623</v>
      </c>
      <c r="I43" cm="1">
        <f t="array" ref="I43">TREND($X$8:$X$12,$W$8:$W$12,H43)</f>
        <v>11.707671873920118</v>
      </c>
      <c r="J43">
        <f>I43/(2/0.2)*3</f>
        <v>3.5123015621760354</v>
      </c>
      <c r="K43">
        <v>0.15054638071690538</v>
      </c>
      <c r="L43" s="1">
        <f t="shared" si="0"/>
        <v>23.330362015017389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3.49</v>
      </c>
      <c r="G44">
        <v>48764</v>
      </c>
      <c r="H44">
        <v>48763.741999999998</v>
      </c>
      <c r="I44" cm="1">
        <f t="array" ref="I44">TREND($X$8:$X$12,$W$8:$W$12,H44)</f>
        <v>18.896323183768672</v>
      </c>
      <c r="J44">
        <f>I44/(2/0.2)*3</f>
        <v>5.6688969551306023</v>
      </c>
      <c r="K44">
        <v>0.14893639850741497</v>
      </c>
      <c r="L44" s="1">
        <f t="shared" si="0"/>
        <v>38.062535497985536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3.49</v>
      </c>
      <c r="G45">
        <v>45367</v>
      </c>
      <c r="H45">
        <v>45367.141000000003</v>
      </c>
      <c r="I45" cm="1">
        <f t="array" ref="I45">TREND($X$8:$X$12,$W$8:$W$12,H45)</f>
        <v>17.604632631131146</v>
      </c>
      <c r="J45">
        <f>I45/(2/0.2)*3</f>
        <v>5.2813897893393431</v>
      </c>
      <c r="K45">
        <v>4.0262599366812736E-2</v>
      </c>
      <c r="L45" s="1">
        <f t="shared" si="0"/>
        <v>131.17359217727596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3.49</v>
      </c>
      <c r="G46">
        <v>37986</v>
      </c>
      <c r="H46">
        <v>37985.875</v>
      </c>
      <c r="I46" cm="1">
        <f t="array" ref="I46">TREND($X$8:$X$12,$W$8:$W$12,H46)</f>
        <v>14.797617159280147</v>
      </c>
      <c r="J46">
        <f>I46/(2/0.2)*3</f>
        <v>4.4392851477840445</v>
      </c>
      <c r="K46">
        <v>0.11351678989862611</v>
      </c>
      <c r="L46" s="1">
        <f t="shared" si="0"/>
        <v>39.106859450029013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3.49</v>
      </c>
      <c r="G47">
        <v>39344</v>
      </c>
      <c r="H47">
        <v>39344.233999999997</v>
      </c>
      <c r="I47" cm="1">
        <f t="array" ref="I47">TREND($X$8:$X$12,$W$8:$W$12,H47)</f>
        <v>15.314186366964579</v>
      </c>
      <c r="J47">
        <f>I47/(2/0.2)*3</f>
        <v>4.5942559100893741</v>
      </c>
      <c r="K47">
        <v>0.10144192332744809</v>
      </c>
      <c r="L47" s="1">
        <f t="shared" si="0"/>
        <v>45.289518962090334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3.49</v>
      </c>
      <c r="G48">
        <v>42602</v>
      </c>
      <c r="H48">
        <v>42601.722999999998</v>
      </c>
      <c r="I48" cm="1">
        <f t="array" ref="I48">TREND($X$8:$X$12,$W$8:$W$12,H48)</f>
        <v>16.552974133505501</v>
      </c>
      <c r="J48">
        <f>I48/(2/0.2)*3</f>
        <v>4.9658922400516499</v>
      </c>
      <c r="K48">
        <v>8.3732119023053622E-2</v>
      </c>
      <c r="L48" s="1">
        <f t="shared" si="0"/>
        <v>59.306897974054749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3.49</v>
      </c>
      <c r="G49">
        <v>49064</v>
      </c>
      <c r="H49">
        <v>49064.34</v>
      </c>
      <c r="I49" cm="1">
        <f t="array" ref="I49">TREND($X$8:$X$12,$W$8:$W$12,H49)</f>
        <v>19.010637345703422</v>
      </c>
      <c r="J49">
        <f>I49/(2/0.2)*3</f>
        <v>5.7031912037110271</v>
      </c>
      <c r="K49">
        <v>0.22299558014397355</v>
      </c>
      <c r="L49" s="1">
        <f t="shared" si="0"/>
        <v>25.575355350221972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3.5</v>
      </c>
      <c r="G50">
        <v>71133</v>
      </c>
      <c r="H50">
        <v>71132.608999999997</v>
      </c>
      <c r="I50" cm="1">
        <f t="array" ref="I50">TREND($X$8:$X$12,$W$8:$W$12,H50)</f>
        <v>27.402960901035229</v>
      </c>
      <c r="J50">
        <f>I50/(2/0.2)*3</f>
        <v>8.2208882703105672</v>
      </c>
      <c r="K50">
        <v>0.1175417454223521</v>
      </c>
      <c r="L50" s="1">
        <f t="shared" si="0"/>
        <v>69.940158203123445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3.49</v>
      </c>
      <c r="G51">
        <v>71489</v>
      </c>
      <c r="H51">
        <v>71489.108999999997</v>
      </c>
      <c r="I51" cm="1">
        <f t="array" ref="I51">TREND($X$8:$X$12,$W$8:$W$12,H51)</f>
        <v>27.538533987781442</v>
      </c>
      <c r="J51">
        <f>I51/(2/0.2)*3</f>
        <v>8.2615601963344325</v>
      </c>
      <c r="K51">
        <v>0.11351678989862611</v>
      </c>
      <c r="L51" s="1">
        <f t="shared" si="0"/>
        <v>72.778310624465803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3.49</v>
      </c>
      <c r="G52">
        <v>46950</v>
      </c>
      <c r="H52">
        <v>46950.324000000001</v>
      </c>
      <c r="I52" cm="1">
        <f t="array" ref="I52">TREND($X$8:$X$12,$W$8:$W$12,H52)</f>
        <v>18.206699969684109</v>
      </c>
      <c r="J52">
        <f>I52/(2/0.2)*3</f>
        <v>5.4620099909052335</v>
      </c>
      <c r="K52">
        <v>8.4537110127798853E-2</v>
      </c>
      <c r="L52" s="1">
        <f t="shared" si="0"/>
        <v>64.610796165708152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3.49</v>
      </c>
      <c r="G53">
        <v>81730</v>
      </c>
      <c r="H53">
        <v>81729.687999999995</v>
      </c>
      <c r="I53" cm="1">
        <f t="array" ref="I53">TREND($X$8:$X$12,$W$8:$W$12,H53)</f>
        <v>31.432915208253974</v>
      </c>
      <c r="J53">
        <f>I53/(2/0.2)*3</f>
        <v>9.4298745624761935</v>
      </c>
      <c r="K53">
        <v>0.1078818521654097</v>
      </c>
      <c r="L53" s="1">
        <f t="shared" si="0"/>
        <v>87.409275732658458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3.49</v>
      </c>
      <c r="G54">
        <v>26614</v>
      </c>
      <c r="H54">
        <v>26614.116999999998</v>
      </c>
      <c r="I54" cm="1">
        <f t="array" ref="I54">TREND($X$8:$X$12,$W$8:$W$12,H54)</f>
        <v>10.473060823260637</v>
      </c>
      <c r="J54">
        <f>I54/(2/0.2)*3</f>
        <v>3.1419182469781908</v>
      </c>
      <c r="K54">
        <v>0.14813140740266978</v>
      </c>
      <c r="L54" s="1">
        <f t="shared" si="0"/>
        <v>21.210344936758926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3.49</v>
      </c>
      <c r="G55">
        <v>44566</v>
      </c>
      <c r="H55">
        <v>44565.82</v>
      </c>
      <c r="I55" cm="1">
        <f t="array" ref="I55">TREND($X$8:$X$12,$W$8:$W$12,H55)</f>
        <v>17.299898938439526</v>
      </c>
      <c r="J55">
        <f>I55/(2/0.2)*3</f>
        <v>5.1899696815318581</v>
      </c>
      <c r="K55">
        <v>6.6022314718659172E-2</v>
      </c>
      <c r="L55" s="1">
        <f t="shared" si="0"/>
        <v>78.609326311079386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3.49</v>
      </c>
      <c r="G56">
        <v>27665</v>
      </c>
      <c r="H56">
        <v>27665.353999999999</v>
      </c>
      <c r="I56" cm="1">
        <f t="array" ref="I56">TREND($X$8:$X$12,$W$8:$W$12,H56)</f>
        <v>10.872834862508407</v>
      </c>
      <c r="J56">
        <f>I56/(2/0.2)*3</f>
        <v>3.2618504587525221</v>
      </c>
      <c r="K56">
        <v>0.22621554456295434</v>
      </c>
      <c r="L56" s="1">
        <f t="shared" si="0"/>
        <v>14.419214493214325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3.49</v>
      </c>
      <c r="G57">
        <v>39938</v>
      </c>
      <c r="H57">
        <v>39937.991999999998</v>
      </c>
      <c r="I57" cm="1">
        <f t="array" ref="I57">TREND($X$8:$X$12,$W$8:$W$12,H57)</f>
        <v>15.539986100036835</v>
      </c>
      <c r="J57">
        <f>I57/(2/0.2)*3</f>
        <v>4.6619958300110511</v>
      </c>
      <c r="K57">
        <v>0.21897062462024752</v>
      </c>
      <c r="L57" s="1">
        <f t="shared" si="0"/>
        <v>21.290507976109463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3.49</v>
      </c>
      <c r="G58">
        <v>54690</v>
      </c>
      <c r="H58">
        <v>54689.663999999997</v>
      </c>
      <c r="I58" cm="1">
        <f t="array" ref="I58">TREND($X$8:$X$12,$W$8:$W$12,H58)</f>
        <v>21.14988710342449</v>
      </c>
      <c r="J58">
        <f>I58/(2/0.2)*3</f>
        <v>6.3449661310273475</v>
      </c>
      <c r="K58">
        <v>0.11271179879388092</v>
      </c>
      <c r="L58" s="1">
        <f t="shared" si="0"/>
        <v>56.293717241001154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3.49</v>
      </c>
      <c r="G59">
        <v>34159</v>
      </c>
      <c r="H59">
        <v>34159.32</v>
      </c>
      <c r="I59" cm="1">
        <f t="array" ref="I59">TREND($X$8:$X$12,$W$8:$W$12,H59)</f>
        <v>13.342419759689236</v>
      </c>
      <c r="J59">
        <f>I59/(2/0.2)*3</f>
        <v>4.00272592790677</v>
      </c>
      <c r="K59">
        <v>9.1782030070505644E-2</v>
      </c>
      <c r="L59" s="1">
        <f t="shared" si="0"/>
        <v>43.611215886507772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3.49</v>
      </c>
      <c r="G60">
        <v>32678</v>
      </c>
      <c r="H60">
        <v>32677.822</v>
      </c>
      <c r="I60" cm="1">
        <f t="array" ref="I60">TREND($X$8:$X$12,$W$8:$W$12,H60)</f>
        <v>12.779022124714922</v>
      </c>
      <c r="J60">
        <f>I60/(2/0.2)*3</f>
        <v>3.833706637414477</v>
      </c>
      <c r="K60">
        <v>0.16584121170706426</v>
      </c>
      <c r="L60" s="1">
        <f t="shared" si="0"/>
        <v>23.116730744745123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3.49</v>
      </c>
      <c r="G61">
        <v>57493</v>
      </c>
      <c r="H61">
        <v>57493.09</v>
      </c>
      <c r="I61" cm="1">
        <f t="array" ref="I61">TREND($X$8:$X$12,$W$8:$W$12,H61)</f>
        <v>22.215999631572011</v>
      </c>
      <c r="J61">
        <f>I61/(2/0.2)*3</f>
        <v>6.6647998894716025</v>
      </c>
      <c r="K61">
        <v>0.20850574025855992</v>
      </c>
      <c r="L61" s="1">
        <f t="shared" si="0"/>
        <v>31.964587071832369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3.49</v>
      </c>
      <c r="G62">
        <v>37770</v>
      </c>
      <c r="H62">
        <v>37769.667999999998</v>
      </c>
      <c r="I62" cm="1">
        <f t="array" ref="I62">TREND($X$8:$X$12,$W$8:$W$12,H62)</f>
        <v>14.715395980132492</v>
      </c>
      <c r="J62">
        <f>I62/(2/0.2)*3</f>
        <v>4.4146187940397468</v>
      </c>
      <c r="K62">
        <v>0.15457133624063138</v>
      </c>
      <c r="L62" s="1">
        <f t="shared" si="0"/>
        <v>28.560397428195994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3.49</v>
      </c>
      <c r="G63">
        <v>49841</v>
      </c>
      <c r="H63">
        <v>49840.883000000002</v>
      </c>
      <c r="I63" cm="1">
        <f t="array" ref="I63">TREND($X$8:$X$12,$W$8:$W$12,H63)</f>
        <v>19.305948233504729</v>
      </c>
      <c r="J63">
        <f>I63/(2/0.2)*3</f>
        <v>5.7917844700514181</v>
      </c>
      <c r="K63">
        <v>0.22863051787718996</v>
      </c>
      <c r="L63" s="1">
        <f t="shared" si="0"/>
        <v>25.332508205061689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3.49</v>
      </c>
      <c r="G64">
        <v>42429</v>
      </c>
      <c r="H64">
        <v>42428.59</v>
      </c>
      <c r="I64" cm="1">
        <f t="array" ref="I64">TREND($X$8:$X$12,$W$8:$W$12,H64)</f>
        <v>16.487133529781424</v>
      </c>
      <c r="J64">
        <f>I64/(2/0.2)*3</f>
        <v>4.9461400589344269</v>
      </c>
      <c r="K64">
        <v>0.19079593595416544</v>
      </c>
      <c r="L64" s="1">
        <f t="shared" si="0"/>
        <v>25.923718103317615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3.49</v>
      </c>
      <c r="G65">
        <v>39242</v>
      </c>
      <c r="H65">
        <v>39242.031000000003</v>
      </c>
      <c r="I65" cm="1">
        <f t="array" ref="I65">TREND($X$8:$X$12,$W$8:$W$12,H65)</f>
        <v>15.275319673599299</v>
      </c>
      <c r="J65">
        <f>I65/(2/0.2)*3</f>
        <v>4.58259590207979</v>
      </c>
      <c r="K65">
        <v>0.13122659420302052</v>
      </c>
      <c r="L65" s="1">
        <f t="shared" si="0"/>
        <v>34.921243898093252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3.49</v>
      </c>
      <c r="G66">
        <v>43350</v>
      </c>
      <c r="H66">
        <v>43349.565999999999</v>
      </c>
      <c r="I66" cm="1">
        <f t="array" ref="I66">TREND($X$8:$X$12,$W$8:$W$12,H66)</f>
        <v>16.837370722317701</v>
      </c>
      <c r="J66">
        <f>I66/(2/0.2)*3</f>
        <v>5.0512112166953109</v>
      </c>
      <c r="K66">
        <v>0.13927650525047255</v>
      </c>
      <c r="L66" s="1">
        <f t="shared" si="0"/>
        <v>36.267504038899432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3.49</v>
      </c>
      <c r="G67">
        <v>48393</v>
      </c>
      <c r="H67">
        <v>48393.004000000001</v>
      </c>
      <c r="I67" cm="1">
        <f t="array" ref="I67">TREND($X$8:$X$12,$W$8:$W$12,H67)</f>
        <v>18.755335539914206</v>
      </c>
      <c r="J67">
        <f>I67/(2/0.2)*3</f>
        <v>5.6266006619742619</v>
      </c>
      <c r="K67">
        <v>9.7416967803722054E-2</v>
      </c>
      <c r="L67" s="1">
        <f t="shared" si="0"/>
        <v>57.757912084790675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3.49</v>
      </c>
      <c r="G68">
        <v>35085</v>
      </c>
      <c r="H68">
        <v>35085.453000000001</v>
      </c>
      <c r="I68" cm="1">
        <f t="array" ref="I68">TREND($X$8:$X$12,$W$8:$W$12,H68)</f>
        <v>13.694618103441078</v>
      </c>
      <c r="J68">
        <f>I68/(2/0.2)*3</f>
        <v>4.1083854310323238</v>
      </c>
      <c r="K68">
        <v>7.4877216870856411E-2</v>
      </c>
      <c r="L68" s="1">
        <f t="shared" si="0"/>
        <v>54.868297764301424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3.49</v>
      </c>
      <c r="G69">
        <v>40556</v>
      </c>
      <c r="H69">
        <v>40555.605000000003</v>
      </c>
      <c r="I69" cm="1">
        <f t="array" ref="I69">TREND($X$8:$X$12,$W$8:$W$12,H69)</f>
        <v>15.774857631101604</v>
      </c>
      <c r="J69">
        <f>I69/(2/0.2)*3</f>
        <v>4.7324572893304815</v>
      </c>
      <c r="K69">
        <v>0.14491144298368897</v>
      </c>
      <c r="L69" s="1">
        <f t="shared" si="0"/>
        <v>32.657581705698426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3.49</v>
      </c>
      <c r="G70">
        <v>42088</v>
      </c>
      <c r="H70">
        <v>42087.644999999997</v>
      </c>
      <c r="I70" cm="1">
        <f t="array" ref="I70">TREND($X$8:$X$12,$W$8:$W$12,H70)</f>
        <v>16.357475840971645</v>
      </c>
      <c r="J70">
        <f>I70/(2/0.2)*3</f>
        <v>4.9072427522914932</v>
      </c>
      <c r="K70">
        <v>0.14571643408843418</v>
      </c>
      <c r="L70" s="1">
        <f t="shared" si="0"/>
        <v>33.676659623123399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3.49</v>
      </c>
      <c r="G71">
        <v>36301</v>
      </c>
      <c r="H71">
        <v>36300.608999999997</v>
      </c>
      <c r="I71" cm="1">
        <f t="array" ref="I71">TREND($X$8:$X$12,$W$8:$W$12,H71)</f>
        <v>14.156728762061505</v>
      </c>
      <c r="J71">
        <f>I71/(2/0.2)*3</f>
        <v>4.2470186286184521</v>
      </c>
      <c r="K71">
        <v>0.26405012648597881</v>
      </c>
      <c r="L71" s="1">
        <f t="shared" si="0"/>
        <v>16.084137830715907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3.5</v>
      </c>
      <c r="G72">
        <v>23632</v>
      </c>
      <c r="H72">
        <v>23631.754000000001</v>
      </c>
      <c r="I72" cm="1">
        <f t="array" ref="I72">TREND($X$8:$X$12,$W$8:$W$12,H72)</f>
        <v>9.338900493084763</v>
      </c>
      <c r="J72">
        <f>I72/(2/0.2)*3</f>
        <v>2.8016701479254289</v>
      </c>
      <c r="K72">
        <v>0.17469611385926145</v>
      </c>
      <c r="L72" s="1">
        <f t="shared" si="0"/>
        <v>16.037392509958796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3.49</v>
      </c>
      <c r="G73">
        <v>17412</v>
      </c>
      <c r="H73">
        <v>17411.629000000001</v>
      </c>
      <c r="I73" cm="1">
        <f t="array" ref="I73">TREND($X$8:$X$12,$W$8:$W$12,H73)</f>
        <v>6.9734543606940331</v>
      </c>
      <c r="J73">
        <f>I73/(2/0.2)*3</f>
        <v>2.0920363082082103</v>
      </c>
      <c r="K73">
        <v>0.1175417454223521</v>
      </c>
      <c r="L73" s="1">
        <f t="shared" ref="L73" si="1">J73/K73</f>
        <v>17.798240962741243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3.53</v>
      </c>
      <c r="G74">
        <v>936</v>
      </c>
      <c r="H74">
        <v>936.16499999999996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6715-FCD4-45E9-A673-EB06D1196198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cols>
    <col min="2" max="2" width="26.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254</v>
      </c>
      <c r="P3" t="s">
        <v>72</v>
      </c>
    </row>
    <row r="5" spans="1:28" x14ac:dyDescent="0.3">
      <c r="A5" t="s">
        <v>73</v>
      </c>
      <c r="P5" t="s">
        <v>73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2.52</v>
      </c>
      <c r="G8">
        <v>9626</v>
      </c>
      <c r="H8">
        <v>9625.6880000000001</v>
      </c>
      <c r="I8" cm="1">
        <f t="array" ref="I8">TREND($X$8:$X$12,$W$8:$W$12,H8)</f>
        <v>3.0686210124285616</v>
      </c>
      <c r="J8">
        <f>I8/(2/0.2)*3</f>
        <v>0.92058630372856853</v>
      </c>
      <c r="K8">
        <v>0.10224691443219328</v>
      </c>
      <c r="L8" s="1">
        <f>J8/K8</f>
        <v>9.0035607317917687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2.52</v>
      </c>
      <c r="V8">
        <v>3966</v>
      </c>
      <c r="W8">
        <v>3966.386</v>
      </c>
      <c r="X8">
        <v>1</v>
      </c>
      <c r="Y8">
        <v>1.1359999999999999</v>
      </c>
      <c r="Z8">
        <v>13.6</v>
      </c>
      <c r="AA8">
        <v>39</v>
      </c>
      <c r="AB8">
        <v>47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2.5299999999999998</v>
      </c>
      <c r="G9">
        <v>9112</v>
      </c>
      <c r="H9">
        <v>9112.4459999999999</v>
      </c>
      <c r="I9" cm="1">
        <f t="array" ref="I9">TREND($X$8:$X$12,$W$8:$W$12,H9)</f>
        <v>2.890401304279036</v>
      </c>
      <c r="J9">
        <f>I9/(2/0.2)*3</f>
        <v>0.86712039128371088</v>
      </c>
      <c r="K9">
        <v>0.12639664757454935</v>
      </c>
      <c r="L9" s="1">
        <f t="shared" ref="L9:L72" si="0">J9/K9</f>
        <v>6.8603116294858939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2.52</v>
      </c>
      <c r="V9">
        <v>6588</v>
      </c>
      <c r="W9">
        <v>6588.0069999999996</v>
      </c>
      <c r="X9">
        <v>2</v>
      </c>
      <c r="Y9">
        <v>2.0139999999999998</v>
      </c>
      <c r="Z9">
        <v>0.7</v>
      </c>
      <c r="AA9">
        <v>33</v>
      </c>
      <c r="AB9">
        <v>121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2.52</v>
      </c>
      <c r="G10">
        <v>17812</v>
      </c>
      <c r="H10">
        <v>17811.974999999999</v>
      </c>
      <c r="I10" cm="1">
        <f t="array" ref="I10">TREND($X$8:$X$12,$W$8:$W$12,H10)</f>
        <v>5.9112521298512464</v>
      </c>
      <c r="J10">
        <f>I10/(2/0.2)*3</f>
        <v>1.7733756389553741</v>
      </c>
      <c r="K10">
        <v>0.15054638071690538</v>
      </c>
      <c r="L10" s="1">
        <f t="shared" si="0"/>
        <v>11.779596630025365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2.52</v>
      </c>
      <c r="V10">
        <v>15171</v>
      </c>
      <c r="W10">
        <v>15170.84</v>
      </c>
      <c r="X10">
        <v>5</v>
      </c>
      <c r="Y10">
        <v>4.8920000000000003</v>
      </c>
      <c r="Z10">
        <v>-2.2000000000000002</v>
      </c>
      <c r="AA10">
        <v>62</v>
      </c>
      <c r="AB10">
        <v>242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2.52</v>
      </c>
      <c r="G11">
        <v>13727</v>
      </c>
      <c r="H11">
        <v>13727.111999999999</v>
      </c>
      <c r="I11" cm="1">
        <f t="array" ref="I11">TREND($X$8:$X$12,$W$8:$W$12,H11)</f>
        <v>4.4928119170650858</v>
      </c>
      <c r="J11">
        <f>I11/(2/0.2)*3</f>
        <v>1.3478435751195259</v>
      </c>
      <c r="K11">
        <v>0.14893639850741497</v>
      </c>
      <c r="L11" s="1">
        <f t="shared" si="0"/>
        <v>9.0497929896728504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2.52</v>
      </c>
      <c r="V11">
        <v>28992</v>
      </c>
      <c r="W11">
        <v>28992.49</v>
      </c>
      <c r="X11">
        <v>10</v>
      </c>
      <c r="Y11">
        <v>9.5289999999999999</v>
      </c>
      <c r="Z11">
        <v>-4.7</v>
      </c>
      <c r="AA11">
        <v>327</v>
      </c>
      <c r="AB11">
        <v>399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2.52</v>
      </c>
      <c r="G12">
        <v>9882</v>
      </c>
      <c r="H12">
        <v>9882.1260000000002</v>
      </c>
      <c r="I12" cm="1">
        <f t="array" ref="I12">TREND($X$8:$X$12,$W$8:$W$12,H12)</f>
        <v>3.1576673210284967</v>
      </c>
      <c r="J12">
        <f>I12/(2/0.2)*3</f>
        <v>0.947300196308549</v>
      </c>
      <c r="K12">
        <v>4.0262599366812736E-2</v>
      </c>
      <c r="L12" s="1">
        <f t="shared" si="0"/>
        <v>23.528043673439036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2.52</v>
      </c>
      <c r="V12">
        <v>58659</v>
      </c>
      <c r="W12">
        <v>58658.663999999997</v>
      </c>
      <c r="X12">
        <v>20</v>
      </c>
      <c r="Y12">
        <v>19.498999999999999</v>
      </c>
      <c r="Z12">
        <v>-2.5</v>
      </c>
      <c r="AA12">
        <v>286</v>
      </c>
      <c r="AB12">
        <v>979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2.52</v>
      </c>
      <c r="G13">
        <v>14254</v>
      </c>
      <c r="H13">
        <v>14254.027</v>
      </c>
      <c r="I13" cm="1">
        <f t="array" ref="I13">TREND($X$8:$X$12,$W$8:$W$12,H13)</f>
        <v>4.6757794791890106</v>
      </c>
      <c r="J13">
        <f>I13/(2/0.2)*3</f>
        <v>1.4027338437567032</v>
      </c>
      <c r="K13">
        <v>0.11351678989862611</v>
      </c>
      <c r="L13" s="1">
        <f t="shared" si="0"/>
        <v>12.357060528309393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2.52</v>
      </c>
      <c r="V13">
        <v>139210</v>
      </c>
      <c r="W13">
        <v>139210</v>
      </c>
      <c r="X13">
        <v>50</v>
      </c>
      <c r="Y13">
        <v>46.683</v>
      </c>
      <c r="Z13">
        <v>-6.6</v>
      </c>
      <c r="AA13">
        <v>674</v>
      </c>
      <c r="AB13">
        <v>1660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2.52</v>
      </c>
      <c r="G14">
        <v>6363</v>
      </c>
      <c r="H14">
        <v>6363.2039999999997</v>
      </c>
      <c r="I14" cm="1">
        <f t="array" ref="I14">TREND($X$8:$X$12,$W$8:$W$12,H14)</f>
        <v>1.9357461769269921</v>
      </c>
      <c r="J14">
        <f>I14/(2/0.2)*3</f>
        <v>0.5807238530780976</v>
      </c>
      <c r="K14">
        <v>0.10144192332744809</v>
      </c>
      <c r="L14" s="1">
        <f t="shared" si="0"/>
        <v>5.7246928491641258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2.52</v>
      </c>
      <c r="V14">
        <v>287378</v>
      </c>
      <c r="W14">
        <v>287378.09399999998</v>
      </c>
      <c r="X14">
        <v>100</v>
      </c>
      <c r="Y14">
        <v>97.125</v>
      </c>
      <c r="Z14">
        <v>-2.9</v>
      </c>
      <c r="AA14">
        <v>1130</v>
      </c>
      <c r="AB14">
        <v>5900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2.52</v>
      </c>
      <c r="G15">
        <v>3903</v>
      </c>
      <c r="H15">
        <v>3903.2330000000002</v>
      </c>
      <c r="I15" cm="1">
        <f t="array" ref="I15">TREND($X$8:$X$12,$W$8:$W$12,H15)</f>
        <v>1.0815383886394083</v>
      </c>
      <c r="J15">
        <f>I15/(2/0.2)*3</f>
        <v>0.32446151659182254</v>
      </c>
      <c r="K15">
        <v>8.3732119023053622E-2</v>
      </c>
      <c r="L15" s="1">
        <f t="shared" si="0"/>
        <v>3.8749946899407846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2.52</v>
      </c>
      <c r="V15">
        <v>614674</v>
      </c>
      <c r="W15">
        <v>614674.25</v>
      </c>
      <c r="X15">
        <v>200</v>
      </c>
      <c r="Y15">
        <v>210.65100000000001</v>
      </c>
      <c r="Z15">
        <v>5.3</v>
      </c>
      <c r="AA15">
        <v>2833</v>
      </c>
      <c r="AB15">
        <v>6020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2.52</v>
      </c>
      <c r="G16">
        <v>17693</v>
      </c>
      <c r="H16">
        <v>17693.463</v>
      </c>
      <c r="I16" cm="1">
        <f t="array" ref="I16">TREND($X$8:$X$12,$W$8:$W$12,H16)</f>
        <v>5.870099663661386</v>
      </c>
      <c r="J16">
        <f>I16/(2/0.2)*3</f>
        <v>1.7610298990984157</v>
      </c>
      <c r="K16">
        <v>0.22299558014397355</v>
      </c>
      <c r="L16" s="1">
        <f t="shared" si="0"/>
        <v>7.897151584625286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2.52</v>
      </c>
      <c r="V16">
        <v>1400794</v>
      </c>
      <c r="W16">
        <v>1400794</v>
      </c>
      <c r="X16">
        <v>500</v>
      </c>
      <c r="Y16">
        <v>496.46300000000002</v>
      </c>
      <c r="Z16">
        <v>-0.7</v>
      </c>
      <c r="AA16">
        <v>5060</v>
      </c>
      <c r="AB16">
        <v>12828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2.52</v>
      </c>
      <c r="G17">
        <v>35947</v>
      </c>
      <c r="H17">
        <v>35946.93</v>
      </c>
      <c r="I17" cm="1">
        <f t="array" ref="I17">TREND($X$8:$X$12,$W$8:$W$12,H17)</f>
        <v>12.208488886400353</v>
      </c>
      <c r="J17">
        <f>I17/(2/0.2)*3</f>
        <v>3.6625466659201056</v>
      </c>
      <c r="K17">
        <v>0.1175417454223521</v>
      </c>
      <c r="L17" s="1">
        <f t="shared" si="0"/>
        <v>31.159539555583496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2.52</v>
      </c>
      <c r="G18">
        <v>23001</v>
      </c>
      <c r="H18">
        <v>23000.607</v>
      </c>
      <c r="I18" cm="1">
        <f t="array" ref="I18">TREND($X$8:$X$12,$W$8:$W$12,H18)</f>
        <v>7.7129684366524991</v>
      </c>
      <c r="J18">
        <f>I18/(2/0.2)*3</f>
        <v>2.3138905309957494</v>
      </c>
      <c r="K18">
        <v>0.11351678989862611</v>
      </c>
      <c r="L18" s="1">
        <f t="shared" si="0"/>
        <v>20.383685383123701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2.52</v>
      </c>
      <c r="G19">
        <v>28008</v>
      </c>
      <c r="H19">
        <v>28008.294999999998</v>
      </c>
      <c r="I19" cm="1">
        <f t="array" ref="I19">TREND($X$8:$X$12,$W$8:$W$12,H19)</f>
        <v>9.4518532002998246</v>
      </c>
      <c r="J19">
        <f>I19/(2/0.2)*3</f>
        <v>2.8355559600899474</v>
      </c>
      <c r="K19">
        <v>8.4537110127798853E-2</v>
      </c>
      <c r="L19" s="1">
        <f t="shared" si="0"/>
        <v>33.542144459436805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2.52</v>
      </c>
      <c r="G20">
        <v>21823</v>
      </c>
      <c r="H20">
        <v>21822.838</v>
      </c>
      <c r="I20" cm="1">
        <f t="array" ref="I20">TREND($X$8:$X$12,$W$8:$W$12,H20)</f>
        <v>7.3039963582809735</v>
      </c>
      <c r="J20">
        <f>I20/(2/0.2)*3</f>
        <v>2.1911989074842921</v>
      </c>
      <c r="K20">
        <v>0.1078818521654097</v>
      </c>
      <c r="L20" s="1">
        <f t="shared" si="0"/>
        <v>20.311098331206249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2.52</v>
      </c>
      <c r="G21">
        <v>20279</v>
      </c>
      <c r="H21">
        <v>20279.197</v>
      </c>
      <c r="I21" cm="1">
        <f t="array" ref="I21">TREND($X$8:$X$12,$W$8:$W$12,H21)</f>
        <v>6.7679777773627299</v>
      </c>
      <c r="J21">
        <f>I21/(2/0.2)*3</f>
        <v>2.0303933332088189</v>
      </c>
      <c r="K21">
        <v>0.14813140740266978</v>
      </c>
      <c r="L21" s="1">
        <f t="shared" si="0"/>
        <v>13.706703857133711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2.52</v>
      </c>
      <c r="G22">
        <v>15514</v>
      </c>
      <c r="H22">
        <v>15514.062</v>
      </c>
      <c r="I22" cm="1">
        <f t="array" ref="I22">TREND($X$8:$X$12,$W$8:$W$12,H22)</f>
        <v>5.1133178528181897</v>
      </c>
      <c r="J22">
        <f>I22/(2/0.2)*3</f>
        <v>1.5339953558454571</v>
      </c>
      <c r="K22">
        <v>6.6022314718659172E-2</v>
      </c>
      <c r="L22" s="1">
        <f t="shared" si="0"/>
        <v>23.2344982508152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2.52</v>
      </c>
      <c r="G23">
        <v>16301</v>
      </c>
      <c r="H23">
        <v>16300.944</v>
      </c>
      <c r="I23" cm="1">
        <f t="array" ref="I23">TREND($X$8:$X$12,$W$8:$W$12,H23)</f>
        <v>5.3865571442014257</v>
      </c>
      <c r="J23">
        <f>I23/(2/0.2)*3</f>
        <v>1.6159671432604279</v>
      </c>
      <c r="K23">
        <v>0.22621554456295434</v>
      </c>
      <c r="L23" s="1">
        <f t="shared" si="0"/>
        <v>7.1434840889579743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2.52</v>
      </c>
      <c r="G24">
        <v>17987</v>
      </c>
      <c r="H24">
        <v>17987.206999999999</v>
      </c>
      <c r="I24" cm="1">
        <f t="array" ref="I24">TREND($X$8:$X$12,$W$8:$W$12,H24)</f>
        <v>5.972100220807282</v>
      </c>
      <c r="J24">
        <f>I24/(2/0.2)*3</f>
        <v>1.7916300662421845</v>
      </c>
      <c r="K24">
        <v>0.21897062462024752</v>
      </c>
      <c r="L24" s="1">
        <f t="shared" si="0"/>
        <v>8.1820566998397197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2.52</v>
      </c>
      <c r="G25">
        <v>33453</v>
      </c>
      <c r="H25">
        <v>33452.675999999999</v>
      </c>
      <c r="I25" cm="1">
        <f t="array" ref="I25">TREND($X$8:$X$12,$W$8:$W$12,H25)</f>
        <v>11.342376565252072</v>
      </c>
      <c r="J25">
        <f>I25/(2/0.2)*3</f>
        <v>3.4027129695756217</v>
      </c>
      <c r="K25">
        <v>0.11271179879388092</v>
      </c>
      <c r="L25" s="1">
        <f t="shared" si="0"/>
        <v>30.189501063666405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2.52</v>
      </c>
      <c r="G26">
        <v>20057</v>
      </c>
      <c r="H26">
        <v>20056.686000000002</v>
      </c>
      <c r="I26" cm="1">
        <f t="array" ref="I26">TREND($X$8:$X$12,$W$8:$W$12,H26)</f>
        <v>6.6907123831041559</v>
      </c>
      <c r="J26">
        <f>I26/(2/0.2)*3</f>
        <v>2.0072137149312468</v>
      </c>
      <c r="K26">
        <v>9.1782030070505644E-2</v>
      </c>
      <c r="L26" s="1">
        <f t="shared" si="0"/>
        <v>21.869354092400592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2.52</v>
      </c>
      <c r="G27">
        <v>28545</v>
      </c>
      <c r="H27">
        <v>28544.563999999998</v>
      </c>
      <c r="I27" cm="1">
        <f t="array" ref="I27">TREND($X$8:$X$12,$W$8:$W$12,H27)</f>
        <v>9.6380688737436149</v>
      </c>
      <c r="J27">
        <f>I27/(2/0.2)*3</f>
        <v>2.8914206621230845</v>
      </c>
      <c r="K27">
        <v>0.16584121170706426</v>
      </c>
      <c r="L27" s="1">
        <f t="shared" si="0"/>
        <v>17.434874192974316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2.52</v>
      </c>
      <c r="G28">
        <v>22391</v>
      </c>
      <c r="H28">
        <v>22390.52</v>
      </c>
      <c r="I28" cm="1">
        <f t="array" ref="I28">TREND($X$8:$X$12,$W$8:$W$12,H28)</f>
        <v>7.5011199770840706</v>
      </c>
      <c r="J28">
        <f>I28/(2/0.2)*3</f>
        <v>2.2503359931252214</v>
      </c>
      <c r="K28">
        <v>0.20850574025855992</v>
      </c>
      <c r="L28" s="1">
        <f t="shared" si="0"/>
        <v>10.792681248653714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2.52</v>
      </c>
      <c r="G29">
        <v>31038</v>
      </c>
      <c r="H29">
        <v>31038.400000000001</v>
      </c>
      <c r="I29" cm="1">
        <f t="array" ref="I29">TREND($X$8:$X$12,$W$8:$W$12,H29)</f>
        <v>10.504036047304586</v>
      </c>
      <c r="J29">
        <f>I29/(2/0.2)*3</f>
        <v>3.1512108141913755</v>
      </c>
      <c r="K29">
        <v>0.15457133624063138</v>
      </c>
      <c r="L29" s="1">
        <f t="shared" si="0"/>
        <v>20.386773452522128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2.52</v>
      </c>
      <c r="G30">
        <v>42794</v>
      </c>
      <c r="H30">
        <v>42794.012000000002</v>
      </c>
      <c r="I30" cm="1">
        <f t="array" ref="I30">TREND($X$8:$X$12,$W$8:$W$12,H30)</f>
        <v>14.586090399362794</v>
      </c>
      <c r="J30">
        <f>I30/(2/0.2)*3</f>
        <v>4.3758271198088385</v>
      </c>
      <c r="K30">
        <v>0.22863051787718996</v>
      </c>
      <c r="L30" s="1">
        <f t="shared" si="0"/>
        <v>19.139295840458779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2.52</v>
      </c>
      <c r="G31">
        <v>17428</v>
      </c>
      <c r="H31">
        <v>17428.400000000001</v>
      </c>
      <c r="I31" cm="1">
        <f t="array" ref="I31">TREND($X$8:$X$12,$W$8:$W$12,H31)</f>
        <v>5.7780583839117989</v>
      </c>
      <c r="J31">
        <f>I31/(2/0.2)*3</f>
        <v>1.7334175151735398</v>
      </c>
      <c r="K31">
        <v>0.19079593595416544</v>
      </c>
      <c r="L31" s="1">
        <f t="shared" si="0"/>
        <v>9.0851909738263785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2.52</v>
      </c>
      <c r="G32">
        <v>52443</v>
      </c>
      <c r="H32">
        <v>52443.313000000002</v>
      </c>
      <c r="I32" cm="1">
        <f t="array" ref="I32">TREND($X$8:$X$12,$W$8:$W$12,H32)</f>
        <v>17.93674293377526</v>
      </c>
      <c r="J32">
        <f>I32/(2/0.2)*3</f>
        <v>5.3810228801325781</v>
      </c>
      <c r="K32">
        <v>0.13122659420302052</v>
      </c>
      <c r="L32" s="1">
        <f t="shared" si="0"/>
        <v>41.00558208351886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2.52</v>
      </c>
      <c r="G33">
        <v>17784</v>
      </c>
      <c r="H33">
        <v>17783.690999999999</v>
      </c>
      <c r="I33" cm="1">
        <f t="array" ref="I33">TREND($X$8:$X$12,$W$8:$W$12,H33)</f>
        <v>5.9014307079385793</v>
      </c>
      <c r="J33">
        <f>I33/(2/0.2)*3</f>
        <v>1.7704292123815739</v>
      </c>
      <c r="K33">
        <v>0.13927650525047255</v>
      </c>
      <c r="L33" s="1">
        <f t="shared" si="0"/>
        <v>12.711614275485038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2.52</v>
      </c>
      <c r="G34">
        <v>28411</v>
      </c>
      <c r="H34">
        <v>28410.528999999999</v>
      </c>
      <c r="I34" cm="1">
        <f t="array" ref="I34">TREND($X$8:$X$12,$W$8:$W$12,H34)</f>
        <v>9.5915261539704435</v>
      </c>
      <c r="J34">
        <f>I34/(2/0.2)*3</f>
        <v>2.8774578461911329</v>
      </c>
      <c r="K34">
        <v>9.7416967803722054E-2</v>
      </c>
      <c r="L34" s="1">
        <f t="shared" si="0"/>
        <v>29.537542699837477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2.52</v>
      </c>
      <c r="G35">
        <v>21960</v>
      </c>
      <c r="H35">
        <v>21959.798999999999</v>
      </c>
      <c r="I35" cm="1">
        <f t="array" ref="I35">TREND($X$8:$X$12,$W$8:$W$12,H35)</f>
        <v>7.351555111165319</v>
      </c>
      <c r="J35">
        <f>I35/(2/0.2)*3</f>
        <v>2.2054665333495955</v>
      </c>
      <c r="K35">
        <v>7.4877216870856411E-2</v>
      </c>
      <c r="L35" s="1">
        <f t="shared" si="0"/>
        <v>29.454440556377083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2.52</v>
      </c>
      <c r="G36">
        <v>72260</v>
      </c>
      <c r="H36">
        <v>72259.866999999998</v>
      </c>
      <c r="I36" cm="1">
        <f t="array" ref="I36">TREND($X$8:$X$12,$W$8:$W$12,H36)</f>
        <v>24.817903225429706</v>
      </c>
      <c r="J36">
        <f>I36/(2/0.2)*3</f>
        <v>7.4453709676289126</v>
      </c>
      <c r="K36">
        <v>0.14491144298368897</v>
      </c>
      <c r="L36" s="1">
        <f t="shared" si="0"/>
        <v>51.378764950031957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2.52</v>
      </c>
      <c r="G37">
        <v>30329</v>
      </c>
      <c r="H37">
        <v>30328.653999999999</v>
      </c>
      <c r="I37" cm="1">
        <f t="array" ref="I37">TREND($X$8:$X$12,$W$8:$W$12,H37)</f>
        <v>10.257581694425646</v>
      </c>
      <c r="J37">
        <f>I37/(2/0.2)*3</f>
        <v>3.0772745083276938</v>
      </c>
      <c r="K37">
        <v>0.14571643408843418</v>
      </c>
      <c r="L37" s="1">
        <f t="shared" si="0"/>
        <v>21.118239185431339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2.52</v>
      </c>
      <c r="G38">
        <v>42757</v>
      </c>
      <c r="H38">
        <v>42756.550999999999</v>
      </c>
      <c r="I38" cm="1">
        <f t="array" ref="I38">TREND($X$8:$X$12,$W$8:$W$12,H38)</f>
        <v>14.573082328146898</v>
      </c>
      <c r="J38">
        <f>I38/(2/0.2)*3</f>
        <v>4.3719246984440696</v>
      </c>
      <c r="K38">
        <v>0.26405012648597881</v>
      </c>
      <c r="L38" s="1">
        <f t="shared" si="0"/>
        <v>16.557177065681962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2.52</v>
      </c>
      <c r="G39">
        <v>55586</v>
      </c>
      <c r="H39">
        <v>55585.574000000001</v>
      </c>
      <c r="I39" cm="1">
        <f t="array" ref="I39">TREND($X$8:$X$12,$W$8:$W$12,H39)</f>
        <v>19.027871170259484</v>
      </c>
      <c r="J39">
        <f>I39/(2/0.2)*3</f>
        <v>5.7083613510778459</v>
      </c>
      <c r="K39">
        <v>0.17469611385926145</v>
      </c>
      <c r="L39" s="1">
        <f t="shared" si="0"/>
        <v>32.67594925252093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2.52</v>
      </c>
      <c r="G40">
        <v>16185</v>
      </c>
      <c r="H40">
        <v>16184.735000000001</v>
      </c>
      <c r="I40" cm="1">
        <f t="array" ref="I40">TREND($X$8:$X$12,$W$8:$W$12,H40)</f>
        <v>5.3462043787139013</v>
      </c>
      <c r="J40">
        <f>I40/(2/0.2)*3</f>
        <v>1.6038613136141704</v>
      </c>
      <c r="K40">
        <v>0.1175417454223521</v>
      </c>
      <c r="L40" s="1">
        <f t="shared" si="0"/>
        <v>13.645035709238117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2.52</v>
      </c>
      <c r="G41">
        <v>15852</v>
      </c>
      <c r="H41">
        <v>15851.58</v>
      </c>
      <c r="I41" cm="1">
        <f t="array" ref="I41">TREND($X$8:$X$12,$W$8:$W$12,H41)</f>
        <v>5.2305186264400119</v>
      </c>
      <c r="J41">
        <f>I41/(2/0.2)*3</f>
        <v>1.5691555879320034</v>
      </c>
      <c r="K41">
        <v>0.14813140740266978</v>
      </c>
      <c r="L41" s="1">
        <f t="shared" si="0"/>
        <v>10.592997227566491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2.52</v>
      </c>
      <c r="G42">
        <v>45176</v>
      </c>
      <c r="H42">
        <v>45175.656000000003</v>
      </c>
      <c r="I42" cm="1">
        <f t="array" ref="I42">TREND($X$8:$X$12,$W$8:$W$12,H42)</f>
        <v>15.413099682695156</v>
      </c>
      <c r="J42">
        <f>I42/(2/0.2)*3</f>
        <v>4.6239299048085467</v>
      </c>
      <c r="K42">
        <v>0.11673675431760691</v>
      </c>
      <c r="L42" s="1">
        <f t="shared" si="0"/>
        <v>39.609889206172141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2.52</v>
      </c>
      <c r="G43">
        <v>19310</v>
      </c>
      <c r="H43">
        <v>19310.261999999999</v>
      </c>
      <c r="I43" cm="1">
        <f t="array" ref="I43">TREND($X$8:$X$12,$W$8:$W$12,H43)</f>
        <v>6.4315218503032519</v>
      </c>
      <c r="J43">
        <f>I43/(2/0.2)*3</f>
        <v>1.9294565550909757</v>
      </c>
      <c r="K43">
        <v>8.6147092337289247E-2</v>
      </c>
      <c r="L43" s="1">
        <f t="shared" si="0"/>
        <v>22.397233647035115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2.52</v>
      </c>
      <c r="G44">
        <v>11524</v>
      </c>
      <c r="H44">
        <v>11524.477999999999</v>
      </c>
      <c r="I44" cm="1">
        <f t="array" ref="I44">TREND($X$8:$X$12,$W$8:$W$12,H44)</f>
        <v>3.7279626088630646</v>
      </c>
      <c r="J44">
        <f>I44/(2/0.2)*3</f>
        <v>1.1183887826589194</v>
      </c>
      <c r="K44">
        <v>8.9367056756270047E-2</v>
      </c>
      <c r="L44" s="1">
        <f t="shared" si="0"/>
        <v>12.514553161452893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2.52</v>
      </c>
      <c r="G45">
        <v>13721</v>
      </c>
      <c r="H45">
        <v>13720.882</v>
      </c>
      <c r="I45" cm="1">
        <f t="array" ref="I45">TREND($X$8:$X$12,$W$8:$W$12,H45)</f>
        <v>4.490648592976699</v>
      </c>
      <c r="J45">
        <f>I45/(2/0.2)*3</f>
        <v>1.3471945778930099</v>
      </c>
      <c r="K45">
        <v>9.3392012279996037E-2</v>
      </c>
      <c r="L45" s="1">
        <f t="shared" si="0"/>
        <v>14.42515847987109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2.52</v>
      </c>
      <c r="G46">
        <v>22884</v>
      </c>
      <c r="H46">
        <v>22883.842000000001</v>
      </c>
      <c r="I46" cm="1">
        <f t="array" ref="I46">TREND($X$8:$X$12,$W$8:$W$12,H46)</f>
        <v>7.6724226040392693</v>
      </c>
      <c r="J46">
        <f>I46/(2/0.2)*3</f>
        <v>2.301726781211781</v>
      </c>
      <c r="K46">
        <v>0.18918595374467503</v>
      </c>
      <c r="L46" s="1">
        <f t="shared" si="0"/>
        <v>12.166478195935131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2.52</v>
      </c>
      <c r="G47">
        <v>20686</v>
      </c>
      <c r="H47">
        <v>20686.037</v>
      </c>
      <c r="I47" cm="1">
        <f t="array" ref="I47">TREND($X$8:$X$12,$W$8:$W$12,H47)</f>
        <v>6.9092501324380216</v>
      </c>
      <c r="J47">
        <f>I47/(2/0.2)*3</f>
        <v>2.0727750397314066</v>
      </c>
      <c r="K47">
        <v>9.2587021175250833E-2</v>
      </c>
      <c r="L47" s="1">
        <f t="shared" si="0"/>
        <v>22.387317503260103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2.52</v>
      </c>
      <c r="G48">
        <v>12883</v>
      </c>
      <c r="H48">
        <v>12883.06</v>
      </c>
      <c r="I48" cm="1">
        <f t="array" ref="I48">TREND($X$8:$X$12,$W$8:$W$12,H48)</f>
        <v>4.1997207415513449</v>
      </c>
      <c r="J48">
        <f>I48/(2/0.2)*3</f>
        <v>1.2599162224654035</v>
      </c>
      <c r="K48">
        <v>0.14974138961216016</v>
      </c>
      <c r="L48" s="1">
        <f t="shared" si="0"/>
        <v>8.4139477116425034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2.52</v>
      </c>
      <c r="G49">
        <v>16085</v>
      </c>
      <c r="H49">
        <v>16085.116</v>
      </c>
      <c r="I49" cm="1">
        <f t="array" ref="I49">TREND($X$8:$X$12,$W$8:$W$12,H49)</f>
        <v>5.3116123751246631</v>
      </c>
      <c r="J49">
        <f>I49/(2/0.2)*3</f>
        <v>1.5934837125373991</v>
      </c>
      <c r="K49">
        <v>0.19965083810636269</v>
      </c>
      <c r="L49" s="1">
        <f t="shared" si="0"/>
        <v>7.9813524834214871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2.52</v>
      </c>
      <c r="G50">
        <v>16546</v>
      </c>
      <c r="H50">
        <v>16545.671999999999</v>
      </c>
      <c r="I50" cm="1">
        <f t="array" ref="I50">TREND($X$8:$X$12,$W$8:$W$12,H50)</f>
        <v>5.4715372368984703</v>
      </c>
      <c r="J50">
        <f>I50/(2/0.2)*3</f>
        <v>1.6414611710695413</v>
      </c>
      <c r="K50">
        <v>0.22058060682973793</v>
      </c>
      <c r="L50" s="1">
        <f t="shared" si="0"/>
        <v>7.4415479885616351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2.52</v>
      </c>
      <c r="G51">
        <v>18769</v>
      </c>
      <c r="H51">
        <v>18768.923999999999</v>
      </c>
      <c r="I51" cm="1">
        <f t="array" ref="I51">TREND($X$8:$X$12,$W$8:$W$12,H51)</f>
        <v>6.2435460019310458</v>
      </c>
      <c r="J51">
        <f>I51/(2/0.2)*3</f>
        <v>1.8730638005793139</v>
      </c>
      <c r="K51">
        <v>0.12720163867929454</v>
      </c>
      <c r="L51" s="1">
        <f t="shared" si="0"/>
        <v>14.725154644444096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2.52</v>
      </c>
      <c r="G52">
        <v>20274</v>
      </c>
      <c r="H52">
        <v>20273.974999999999</v>
      </c>
      <c r="I52" cm="1">
        <f t="array" ref="I52">TREND($X$8:$X$12,$W$8:$W$12,H52)</f>
        <v>6.7661644742504414</v>
      </c>
      <c r="J52">
        <f>I52/(2/0.2)*3</f>
        <v>2.0298493422751323</v>
      </c>
      <c r="K52">
        <v>0.1594012828691026</v>
      </c>
      <c r="L52" s="1">
        <f t="shared" si="0"/>
        <v>12.734209573093631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2.52</v>
      </c>
      <c r="G53">
        <v>21963</v>
      </c>
      <c r="H53">
        <v>21962.859</v>
      </c>
      <c r="I53" cm="1">
        <f t="array" ref="I53">TREND($X$8:$X$12,$W$8:$W$12,H53)</f>
        <v>7.3526176748427607</v>
      </c>
      <c r="J53">
        <f>I53/(2/0.2)*3</f>
        <v>2.2057853024528282</v>
      </c>
      <c r="K53">
        <v>0.14491144298368897</v>
      </c>
      <c r="L53" s="1">
        <f t="shared" si="0"/>
        <v>15.221608846315252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2.52</v>
      </c>
      <c r="G54">
        <v>16713</v>
      </c>
      <c r="H54">
        <v>16713.294999999998</v>
      </c>
      <c r="I54" cm="1">
        <f t="array" ref="I54">TREND($X$8:$X$12,$W$8:$W$12,H54)</f>
        <v>5.5297431556252077</v>
      </c>
      <c r="J54">
        <f>I54/(2/0.2)*3</f>
        <v>1.6589229466875621</v>
      </c>
      <c r="K54">
        <v>0.24553533107683917</v>
      </c>
      <c r="L54" s="1">
        <f t="shared" si="0"/>
        <v>6.7563512730003392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2.52</v>
      </c>
      <c r="G55">
        <v>32320</v>
      </c>
      <c r="H55">
        <v>32320.488000000001</v>
      </c>
      <c r="I55" cm="1">
        <f t="array" ref="I55">TREND($X$8:$X$12,$W$8:$W$12,H55)</f>
        <v>10.949232171515014</v>
      </c>
      <c r="J55">
        <f>I55/(2/0.2)*3</f>
        <v>3.2847696514545039</v>
      </c>
      <c r="K55">
        <v>0.3002747261995129</v>
      </c>
      <c r="L55" s="1">
        <f t="shared" si="0"/>
        <v>10.939214542059027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2.52</v>
      </c>
      <c r="G56">
        <v>35696</v>
      </c>
      <c r="H56">
        <v>35695.843999999997</v>
      </c>
      <c r="I56" cm="1">
        <f t="array" ref="I56">TREND($X$8:$X$12,$W$8:$W$12,H56)</f>
        <v>12.121301022506845</v>
      </c>
      <c r="J56">
        <f>I56/(2/0.2)*3</f>
        <v>3.6363903067520535</v>
      </c>
      <c r="K56">
        <v>0.17147614944028067</v>
      </c>
      <c r="L56" s="1">
        <f t="shared" si="0"/>
        <v>21.206391201468431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2.5099999999999998</v>
      </c>
      <c r="G57">
        <v>28836</v>
      </c>
      <c r="H57">
        <v>28836.451000000001</v>
      </c>
      <c r="I57" cm="1">
        <f t="array" ref="I57">TREND($X$8:$X$12,$W$8:$W$12,H57)</f>
        <v>9.7394246005793779</v>
      </c>
      <c r="J57">
        <f>I57/(2/0.2)*3</f>
        <v>2.9218273801738137</v>
      </c>
      <c r="K57">
        <v>0.18113604269722305</v>
      </c>
      <c r="L57" s="1">
        <f t="shared" si="0"/>
        <v>16.130568696688258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2.52</v>
      </c>
      <c r="G58">
        <v>131298</v>
      </c>
      <c r="H58">
        <v>131298.016</v>
      </c>
      <c r="I58" cm="1">
        <f t="array" ref="I58">TREND($X$8:$X$12,$W$8:$W$12,H58)</f>
        <v>45.318489078629945</v>
      </c>
      <c r="J58">
        <f>I58/(2/0.2)*3</f>
        <v>13.595546723588985</v>
      </c>
      <c r="K58">
        <v>8.2927127918308433E-2</v>
      </c>
      <c r="L58" s="1">
        <f t="shared" si="0"/>
        <v>163.94570829683101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2.52</v>
      </c>
      <c r="G59">
        <v>32387</v>
      </c>
      <c r="H59">
        <v>32387.377</v>
      </c>
      <c r="I59" cm="1">
        <f t="array" ref="I59">TREND($X$8:$X$12,$W$8:$W$12,H59)</f>
        <v>10.972458910672009</v>
      </c>
      <c r="J59">
        <f>I59/(2/0.2)*3</f>
        <v>3.2917376732016028</v>
      </c>
      <c r="K59">
        <v>0.11593176321286171</v>
      </c>
      <c r="L59" s="1">
        <f t="shared" si="0"/>
        <v>28.393751479115007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2.52</v>
      </c>
      <c r="G60">
        <v>21049</v>
      </c>
      <c r="H60">
        <v>21048.675999999999</v>
      </c>
      <c r="I60" cm="1">
        <f t="array" ref="I60">TREND($X$8:$X$12,$W$8:$W$12,H60)</f>
        <v>7.0351739982627892</v>
      </c>
      <c r="J60">
        <f>I60/(2/0.2)*3</f>
        <v>2.1105521994788368</v>
      </c>
      <c r="K60">
        <v>0.17469611385926145</v>
      </c>
      <c r="L60" s="1">
        <f t="shared" si="0"/>
        <v>12.081277326976707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2.52</v>
      </c>
      <c r="G61">
        <v>21028</v>
      </c>
      <c r="H61">
        <v>21028.294999999998</v>
      </c>
      <c r="I61" cm="1">
        <f t="array" ref="I61">TREND($X$8:$X$12,$W$8:$W$12,H61)</f>
        <v>7.0280968380307822</v>
      </c>
      <c r="J61">
        <f>I61/(2/0.2)*3</f>
        <v>2.1084290514092343</v>
      </c>
      <c r="K61">
        <v>0.17952606048773259</v>
      </c>
      <c r="L61" s="1">
        <f t="shared" si="0"/>
        <v>11.74441775016451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2.52</v>
      </c>
      <c r="G62">
        <v>15577</v>
      </c>
      <c r="H62">
        <v>15576.657999999999</v>
      </c>
      <c r="I62" cm="1">
        <f t="array" ref="I62">TREND($X$8:$X$12,$W$8:$W$12,H62)</f>
        <v>5.1350538776394776</v>
      </c>
      <c r="J62">
        <f>I62/(2/0.2)*3</f>
        <v>1.5405161632918432</v>
      </c>
      <c r="K62">
        <v>0.19723586479212707</v>
      </c>
      <c r="L62" s="1">
        <f t="shared" si="0"/>
        <v>7.8105275879487763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2.52</v>
      </c>
      <c r="G63">
        <v>42684</v>
      </c>
      <c r="H63">
        <v>42683.828000000001</v>
      </c>
      <c r="I63" cm="1">
        <f t="array" ref="I63">TREND($X$8:$X$12,$W$8:$W$12,H63)</f>
        <v>14.547829773142128</v>
      </c>
      <c r="J63">
        <f>I63/(2/0.2)*3</f>
        <v>4.3643489319426383</v>
      </c>
      <c r="K63">
        <v>0.28417490410460888</v>
      </c>
      <c r="L63" s="1">
        <f t="shared" si="0"/>
        <v>15.357967466177303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2.52</v>
      </c>
      <c r="G64">
        <v>10137</v>
      </c>
      <c r="H64">
        <v>10137.199000000001</v>
      </c>
      <c r="I64" cm="1">
        <f t="array" ref="I64">TREND($X$8:$X$12,$W$8:$W$12,H64)</f>
        <v>3.2462396428899654</v>
      </c>
      <c r="J64">
        <f>I64/(2/0.2)*3</f>
        <v>0.97387189286698961</v>
      </c>
      <c r="K64">
        <v>0.17872106938298743</v>
      </c>
      <c r="L64" s="1">
        <f t="shared" si="0"/>
        <v>5.4491163030143168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2.52</v>
      </c>
      <c r="G65">
        <v>19890</v>
      </c>
      <c r="H65">
        <v>19889.835999999999</v>
      </c>
      <c r="I65" cm="1">
        <f t="array" ref="I65">TREND($X$8:$X$12,$W$8:$W$12,H65)</f>
        <v>6.6327748832410336</v>
      </c>
      <c r="J65">
        <f>I65/(2/0.2)*3</f>
        <v>1.9898324649723103</v>
      </c>
      <c r="K65">
        <v>0.19884584700161748</v>
      </c>
      <c r="L65" s="1">
        <f t="shared" si="0"/>
        <v>10.006909849900584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2.52</v>
      </c>
      <c r="G66">
        <v>19395</v>
      </c>
      <c r="H66">
        <v>19395.243999999999</v>
      </c>
      <c r="I66" cm="1">
        <f t="array" ref="I66">TREND($X$8:$X$12,$W$8:$W$12,H66)</f>
        <v>6.4610312576353932</v>
      </c>
      <c r="J66">
        <f>I66/(2/0.2)*3</f>
        <v>1.9383093772906181</v>
      </c>
      <c r="K66">
        <v>0.17469611385926145</v>
      </c>
      <c r="L66" s="1">
        <f t="shared" si="0"/>
        <v>11.095320522425343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2.52</v>
      </c>
      <c r="G67">
        <v>15817</v>
      </c>
      <c r="H67">
        <v>15817.48</v>
      </c>
      <c r="I67" cm="1">
        <f t="array" ref="I67">TREND($X$8:$X$12,$W$8:$W$12,H67)</f>
        <v>5.2186776390541416</v>
      </c>
      <c r="J67">
        <f>I67/(2/0.2)*3</f>
        <v>1.5656032917162424</v>
      </c>
      <c r="K67">
        <v>0.24875529549582001</v>
      </c>
      <c r="L67" s="1">
        <f t="shared" si="0"/>
        <v>6.2937485957662762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2.5099999999999998</v>
      </c>
      <c r="G68">
        <v>17841</v>
      </c>
      <c r="H68">
        <v>17841.021000000001</v>
      </c>
      <c r="I68" cm="1">
        <f t="array" ref="I68">TREND($X$8:$X$12,$W$8:$W$12,H68)</f>
        <v>5.9213381509541794</v>
      </c>
      <c r="J68">
        <f>I68/(2/0.2)*3</f>
        <v>1.776401445286254</v>
      </c>
      <c r="K68">
        <v>0.18274602490671343</v>
      </c>
      <c r="L68" s="1">
        <f t="shared" si="0"/>
        <v>9.7206023835158959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2.52</v>
      </c>
      <c r="G69">
        <v>49568</v>
      </c>
      <c r="H69">
        <v>49567.887000000002</v>
      </c>
      <c r="I69" cm="1">
        <f t="array" ref="I69">TREND($X$8:$X$12,$W$8:$W$12,H69)</f>
        <v>16.938271291693052</v>
      </c>
      <c r="J69">
        <f>I69/(2/0.2)*3</f>
        <v>5.0814813875079157</v>
      </c>
      <c r="K69">
        <v>0.10063693222270288</v>
      </c>
      <c r="L69" s="1">
        <f t="shared" si="0"/>
        <v>50.493206373411034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2.52</v>
      </c>
      <c r="G70">
        <v>16610</v>
      </c>
      <c r="H70">
        <v>16610.289000000001</v>
      </c>
      <c r="I70" cm="1">
        <f t="array" ref="I70">TREND($X$8:$X$12,$W$8:$W$12,H70)</f>
        <v>5.4939750398871157</v>
      </c>
      <c r="J70">
        <f>I70/(2/0.2)*3</f>
        <v>1.6481925119661347</v>
      </c>
      <c r="K70">
        <v>0.12156670094607813</v>
      </c>
      <c r="L70" s="1">
        <f t="shared" si="0"/>
        <v>13.557927451672835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2.5099999999999998</v>
      </c>
      <c r="G71">
        <v>20461</v>
      </c>
      <c r="H71">
        <v>20461.434000000001</v>
      </c>
      <c r="I71" cm="1">
        <f t="array" ref="I71">TREND($X$8:$X$12,$W$8:$W$12,H71)</f>
        <v>6.8312583057568306</v>
      </c>
      <c r="J71">
        <f>I71/(2/0.2)*3</f>
        <v>2.0493774917270491</v>
      </c>
      <c r="K71">
        <v>8.8562065651524843E-2</v>
      </c>
      <c r="L71" s="1">
        <f t="shared" si="0"/>
        <v>23.140579170668467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2.52</v>
      </c>
      <c r="G72">
        <v>14149</v>
      </c>
      <c r="H72">
        <v>14149.118</v>
      </c>
      <c r="I72" cm="1">
        <f t="array" ref="I72">TREND($X$8:$X$12,$W$8:$W$12,H72)</f>
        <v>4.6393505599613194</v>
      </c>
      <c r="J72">
        <f>I72/(2/0.2)*3</f>
        <v>1.3918051679883958</v>
      </c>
      <c r="K72">
        <v>0.13766652304098212</v>
      </c>
      <c r="L72" s="1">
        <f t="shared" si="0"/>
        <v>10.109975448236371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2.52</v>
      </c>
      <c r="G73">
        <v>4283</v>
      </c>
      <c r="H73">
        <v>4282.6899999999996</v>
      </c>
      <c r="I73" cm="1">
        <f t="array" ref="I73">TREND($X$8:$X$12,$W$8:$W$12,H73)</f>
        <v>1.213302187773724</v>
      </c>
      <c r="J73">
        <f>I73/(2/0.2)*3</f>
        <v>0.36399065633211725</v>
      </c>
      <c r="K73">
        <v>8.2122136813563229E-2</v>
      </c>
      <c r="L73" s="1">
        <f t="shared" ref="L73" si="1">J73/K73</f>
        <v>4.4323086375414533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2.48</v>
      </c>
      <c r="G74">
        <v>719</v>
      </c>
      <c r="H74">
        <v>719.14200000000005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527D-C66F-48FE-936F-9F1DED56274F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255</v>
      </c>
      <c r="P3" t="s">
        <v>83</v>
      </c>
    </row>
    <row r="5" spans="1:28" x14ac:dyDescent="0.3">
      <c r="A5" t="s">
        <v>84</v>
      </c>
      <c r="P5" t="s">
        <v>84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2.75</v>
      </c>
      <c r="G8">
        <v>2934</v>
      </c>
      <c r="H8">
        <v>2933.7260000000001</v>
      </c>
      <c r="I8">
        <f>$X$8*H8/$W$8</f>
        <v>0.56900730759734497</v>
      </c>
      <c r="J8">
        <f>I8/(2/0.2)*3</f>
        <v>0.17070219227920347</v>
      </c>
      <c r="K8">
        <v>0.10224691443219328</v>
      </c>
      <c r="L8" s="1">
        <f>J8/K8</f>
        <v>1.6695094734854561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2.75</v>
      </c>
      <c r="V8">
        <v>5156</v>
      </c>
      <c r="W8">
        <v>5155.8670000000002</v>
      </c>
      <c r="X8">
        <v>1</v>
      </c>
      <c r="Y8">
        <v>0.92600000000000005</v>
      </c>
      <c r="Z8">
        <v>-7.4</v>
      </c>
      <c r="AA8">
        <v>39</v>
      </c>
      <c r="AB8">
        <v>28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2.77</v>
      </c>
      <c r="G9">
        <v>3462</v>
      </c>
      <c r="H9">
        <v>3462.1759999999999</v>
      </c>
      <c r="I9">
        <f>$X$8*H9/$W$8</f>
        <v>0.67150219352050777</v>
      </c>
      <c r="J9">
        <f>I9/(2/0.2)*3</f>
        <v>0.20145065805615231</v>
      </c>
      <c r="K9">
        <v>0.12639664757454935</v>
      </c>
      <c r="L9" s="1">
        <f t="shared" ref="L9:L72" si="0">J9/K9</f>
        <v>1.5937974774001482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2.75</v>
      </c>
      <c r="V9">
        <v>9892</v>
      </c>
      <c r="W9">
        <v>9891.6280000000006</v>
      </c>
      <c r="X9">
        <v>2</v>
      </c>
      <c r="Y9">
        <v>1.885</v>
      </c>
      <c r="Z9">
        <v>-5.8</v>
      </c>
      <c r="AA9">
        <v>97</v>
      </c>
      <c r="AB9">
        <v>97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2.76</v>
      </c>
      <c r="G10">
        <v>4967</v>
      </c>
      <c r="H10">
        <v>4966.5420000000004</v>
      </c>
      <c r="I10">
        <f>$X$8*H10/$W$8</f>
        <v>0.96327969670280478</v>
      </c>
      <c r="J10">
        <f>I10/(2/0.2)*3</f>
        <v>0.28898390901084148</v>
      </c>
      <c r="K10">
        <v>0.15054638071690538</v>
      </c>
      <c r="L10" s="1">
        <f t="shared" si="0"/>
        <v>1.9195672963686896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2.75</v>
      </c>
      <c r="V10">
        <v>25963</v>
      </c>
      <c r="W10">
        <v>25962.925999999999</v>
      </c>
      <c r="X10">
        <v>5</v>
      </c>
      <c r="Y10">
        <v>5.1420000000000003</v>
      </c>
      <c r="Z10">
        <v>2.8</v>
      </c>
      <c r="AA10">
        <v>206</v>
      </c>
      <c r="AB10">
        <v>550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2.75</v>
      </c>
      <c r="G11">
        <v>4104</v>
      </c>
      <c r="H11">
        <v>4103.8370000000004</v>
      </c>
      <c r="I11">
        <f>$X$8*H11/$W$8</f>
        <v>0.7959547831625603</v>
      </c>
      <c r="J11">
        <f>I11/(2/0.2)*3</f>
        <v>0.23878643494876811</v>
      </c>
      <c r="K11">
        <v>0.14893639850741497</v>
      </c>
      <c r="L11" s="1">
        <f t="shared" si="0"/>
        <v>1.6032778913804597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2.75</v>
      </c>
      <c r="V11">
        <v>52126</v>
      </c>
      <c r="W11">
        <v>52126.184000000001</v>
      </c>
      <c r="X11">
        <v>10</v>
      </c>
      <c r="Y11">
        <v>10.451000000000001</v>
      </c>
      <c r="Z11">
        <v>4.5</v>
      </c>
      <c r="AA11">
        <v>505</v>
      </c>
      <c r="AB11">
        <v>842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2.75</v>
      </c>
      <c r="G12">
        <v>4281</v>
      </c>
      <c r="H12">
        <v>4281.2780000000002</v>
      </c>
      <c r="I12">
        <f>$X$8*H12/$W$8</f>
        <v>0.8303701394935129</v>
      </c>
      <c r="J12">
        <f>I12/(2/0.2)*3</f>
        <v>0.24911104184805385</v>
      </c>
      <c r="K12">
        <v>4.0262599366812736E-2</v>
      </c>
      <c r="L12" s="1">
        <f t="shared" si="0"/>
        <v>6.1871574554470685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2.75</v>
      </c>
      <c r="V12">
        <v>107345</v>
      </c>
      <c r="W12">
        <v>107345.156</v>
      </c>
      <c r="X12">
        <v>20</v>
      </c>
      <c r="Y12">
        <v>21.689</v>
      </c>
      <c r="Z12">
        <v>8.4</v>
      </c>
      <c r="AA12">
        <v>928</v>
      </c>
      <c r="AB12">
        <v>797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2.76</v>
      </c>
      <c r="G13">
        <v>5146</v>
      </c>
      <c r="H13">
        <v>5145.9129999999996</v>
      </c>
      <c r="I13">
        <f>$X$8*H13/$W$8</f>
        <v>0.99806938386890109</v>
      </c>
      <c r="J13">
        <f>I13/(2/0.2)*3</f>
        <v>0.29942081516067032</v>
      </c>
      <c r="K13">
        <v>0.11351678989862611</v>
      </c>
      <c r="L13" s="1">
        <f t="shared" si="0"/>
        <v>2.6376786678698547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2.75</v>
      </c>
      <c r="V13">
        <v>238489</v>
      </c>
      <c r="W13">
        <v>238488.859</v>
      </c>
      <c r="X13">
        <v>50</v>
      </c>
      <c r="Y13">
        <v>48.551000000000002</v>
      </c>
      <c r="Z13">
        <v>-2.9</v>
      </c>
      <c r="AA13">
        <v>1630</v>
      </c>
      <c r="AB13">
        <v>4036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2.76</v>
      </c>
      <c r="G14">
        <v>2777</v>
      </c>
      <c r="H14">
        <v>2777.0079999999998</v>
      </c>
      <c r="I14">
        <f>$X$8*H14/$W$8</f>
        <v>0.53861125587607273</v>
      </c>
      <c r="J14">
        <f>I14/(2/0.2)*3</f>
        <v>0.16158337676282181</v>
      </c>
      <c r="K14">
        <v>0.10144192332744809</v>
      </c>
      <c r="L14" s="1">
        <f t="shared" si="0"/>
        <v>1.592865863172181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2.75</v>
      </c>
      <c r="V14">
        <v>496393</v>
      </c>
      <c r="W14">
        <v>496392.53100000002</v>
      </c>
      <c r="X14">
        <v>100</v>
      </c>
      <c r="Y14">
        <v>102.10599999999999</v>
      </c>
      <c r="Z14">
        <v>2.1</v>
      </c>
      <c r="AA14">
        <v>6029</v>
      </c>
      <c r="AB14">
        <v>7027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2.75</v>
      </c>
      <c r="G15">
        <v>2063</v>
      </c>
      <c r="H15">
        <v>2063.0309999999999</v>
      </c>
      <c r="I15">
        <f>$X$8*H15/$W$8</f>
        <v>0.40013270319036542</v>
      </c>
      <c r="J15">
        <f>I15/(2/0.2)*3</f>
        <v>0.12003981095710964</v>
      </c>
      <c r="K15">
        <v>8.3732119023053622E-2</v>
      </c>
      <c r="L15" s="1">
        <f t="shared" si="0"/>
        <v>1.4336172589166121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2.75</v>
      </c>
      <c r="V15">
        <v>936226</v>
      </c>
      <c r="W15">
        <v>936225.875</v>
      </c>
      <c r="X15">
        <v>200</v>
      </c>
      <c r="Y15">
        <v>195.81</v>
      </c>
      <c r="Z15">
        <v>-2.1</v>
      </c>
      <c r="AA15">
        <v>3434</v>
      </c>
      <c r="AB15">
        <v>5969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2.75</v>
      </c>
      <c r="G16">
        <v>6993</v>
      </c>
      <c r="H16">
        <v>6993.1819999999998</v>
      </c>
      <c r="I16">
        <f>$X$8*H16/$W$8</f>
        <v>1.3563542271358047</v>
      </c>
      <c r="J16">
        <f>I16/(2/0.2)*3</f>
        <v>0.40690626814074143</v>
      </c>
      <c r="K16">
        <v>0.22299558014397355</v>
      </c>
      <c r="L16" s="1">
        <f t="shared" si="0"/>
        <v>1.8247279514599746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2.75</v>
      </c>
      <c r="V16">
        <v>2269975</v>
      </c>
      <c r="W16">
        <v>2269974.5</v>
      </c>
      <c r="X16">
        <v>500</v>
      </c>
      <c r="Y16">
        <v>501.47</v>
      </c>
      <c r="Z16">
        <v>0.3</v>
      </c>
      <c r="AA16">
        <v>17804</v>
      </c>
      <c r="AB16">
        <v>25563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2.76</v>
      </c>
      <c r="G17">
        <v>8235</v>
      </c>
      <c r="H17">
        <v>8234.9570000000003</v>
      </c>
      <c r="I17">
        <f>$X$8*H17/$W$8</f>
        <v>1.5972012078666886</v>
      </c>
      <c r="J17">
        <f>I17/(2/0.2)*3</f>
        <v>0.47916036236000659</v>
      </c>
      <c r="K17">
        <v>0.1175417454223521</v>
      </c>
      <c r="L17" s="1">
        <f t="shared" si="0"/>
        <v>4.0765122266840867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2.75</v>
      </c>
      <c r="G18">
        <v>5665</v>
      </c>
      <c r="H18">
        <v>5664.741</v>
      </c>
      <c r="I18">
        <f>$X$8*H18/$W$8</f>
        <v>1.098698046322762</v>
      </c>
      <c r="J18">
        <f>I18/(2/0.2)*3</f>
        <v>0.32960941389682863</v>
      </c>
      <c r="K18">
        <v>0.11351678989862611</v>
      </c>
      <c r="L18" s="1">
        <f t="shared" si="0"/>
        <v>2.9036181712958911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2.75</v>
      </c>
      <c r="G19">
        <v>6814</v>
      </c>
      <c r="H19">
        <v>6814.058</v>
      </c>
      <c r="I19">
        <f>$X$8*H19/$W$8</f>
        <v>1.3216124465584547</v>
      </c>
      <c r="J19">
        <f>I19/(2/0.2)*3</f>
        <v>0.39648373396753644</v>
      </c>
      <c r="K19">
        <v>8.4537110127798853E-2</v>
      </c>
      <c r="L19" s="1">
        <f t="shared" si="0"/>
        <v>4.6900554486444204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2.75</v>
      </c>
      <c r="G20">
        <v>8173</v>
      </c>
      <c r="H20">
        <v>8173.1490000000003</v>
      </c>
      <c r="I20">
        <f>$X$8*H20/$W$8</f>
        <v>1.5852133113596607</v>
      </c>
      <c r="J20">
        <f>I20/(2/0.2)*3</f>
        <v>0.47556399340789818</v>
      </c>
      <c r="K20">
        <v>0.1078818521654097</v>
      </c>
      <c r="L20" s="1">
        <f t="shared" si="0"/>
        <v>4.4081927021306635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2.76</v>
      </c>
      <c r="G21">
        <v>4743</v>
      </c>
      <c r="H21">
        <v>4743.2460000000001</v>
      </c>
      <c r="I21">
        <f>$X$8*H21/$W$8</f>
        <v>0.91997058884567817</v>
      </c>
      <c r="J21">
        <f>I21/(2/0.2)*3</f>
        <v>0.27599117665370343</v>
      </c>
      <c r="K21">
        <v>0.14813140740266978</v>
      </c>
      <c r="L21" s="1">
        <f t="shared" si="0"/>
        <v>1.8631509785326541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2.75</v>
      </c>
      <c r="G22">
        <v>5388</v>
      </c>
      <c r="H22">
        <v>5387.8860000000004</v>
      </c>
      <c r="I22">
        <f>$X$8*H22/$W$8</f>
        <v>1.045000966859696</v>
      </c>
      <c r="J22">
        <f>I22/(2/0.2)*3</f>
        <v>0.3135002900579088</v>
      </c>
      <c r="K22">
        <v>6.6022314718659172E-2</v>
      </c>
      <c r="L22" s="1">
        <f t="shared" si="0"/>
        <v>4.7483989525939414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2.75</v>
      </c>
      <c r="G23">
        <v>6443</v>
      </c>
      <c r="H23">
        <v>6443.47</v>
      </c>
      <c r="I23">
        <f>$X$8*H23/$W$8</f>
        <v>1.2497354955044417</v>
      </c>
      <c r="J23">
        <f>I23/(2/0.2)*3</f>
        <v>0.37492064865133257</v>
      </c>
      <c r="K23">
        <v>0.22621554456295434</v>
      </c>
      <c r="L23" s="1">
        <f t="shared" si="0"/>
        <v>1.657360237448203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2.75</v>
      </c>
      <c r="G24">
        <v>9466</v>
      </c>
      <c r="H24">
        <v>9465.9290000000001</v>
      </c>
      <c r="I24">
        <f>$X$8*H24/$W$8</f>
        <v>1.8359529056897705</v>
      </c>
      <c r="J24">
        <f>I24/(2/0.2)*3</f>
        <v>0.55078587170693116</v>
      </c>
      <c r="K24">
        <v>0.21897062462024752</v>
      </c>
      <c r="L24" s="1">
        <f t="shared" si="0"/>
        <v>2.515341373584417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2.75</v>
      </c>
      <c r="G25">
        <v>7526</v>
      </c>
      <c r="H25">
        <v>7525.8819999999996</v>
      </c>
      <c r="I25">
        <f>$X$8*H25/$W$8</f>
        <v>1.459673416711486</v>
      </c>
      <c r="J25">
        <f>I25/(2/0.2)*3</f>
        <v>0.43790202501344583</v>
      </c>
      <c r="K25">
        <v>0.11271179879388092</v>
      </c>
      <c r="L25" s="1">
        <f t="shared" si="0"/>
        <v>3.8851480474927826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2.75</v>
      </c>
      <c r="G26">
        <v>10469</v>
      </c>
      <c r="H26">
        <v>10468.548000000001</v>
      </c>
      <c r="I26">
        <f>$X$8*H26/$W$8</f>
        <v>2.0304146712861288</v>
      </c>
      <c r="J26">
        <f>I26/(2/0.2)*3</f>
        <v>0.60912440138583857</v>
      </c>
      <c r="K26">
        <v>9.1782030070505644E-2</v>
      </c>
      <c r="L26" s="1">
        <f t="shared" si="0"/>
        <v>6.6366411912867687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2.76</v>
      </c>
      <c r="G27">
        <v>9337</v>
      </c>
      <c r="H27">
        <v>9336.7389999999996</v>
      </c>
      <c r="I27">
        <f>$X$8*H27/$W$8</f>
        <v>1.8108960141912116</v>
      </c>
      <c r="J27">
        <f>I27/(2/0.2)*3</f>
        <v>0.54326880425736346</v>
      </c>
      <c r="K27">
        <v>0.16584121170706426</v>
      </c>
      <c r="L27" s="1">
        <f t="shared" si="0"/>
        <v>3.2758371617362108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2.75</v>
      </c>
      <c r="G28">
        <v>9879</v>
      </c>
      <c r="H28">
        <v>9879.16</v>
      </c>
      <c r="I28">
        <f>$X$8*H28/$W$8</f>
        <v>1.9161006286624538</v>
      </c>
      <c r="J28">
        <f>I28/(2/0.2)*3</f>
        <v>0.57483018859873614</v>
      </c>
      <c r="K28">
        <v>0.20850574025855992</v>
      </c>
      <c r="L28" s="1">
        <f t="shared" si="0"/>
        <v>2.7569034209125918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2.75</v>
      </c>
      <c r="G29">
        <v>10515</v>
      </c>
      <c r="H29">
        <v>10514.715</v>
      </c>
      <c r="I29">
        <f>$X$8*H29/$W$8</f>
        <v>2.0393689363980876</v>
      </c>
      <c r="J29">
        <f>I29/(2/0.2)*3</f>
        <v>0.61181068091942636</v>
      </c>
      <c r="K29">
        <v>0.15457133624063138</v>
      </c>
      <c r="L29" s="1">
        <f t="shared" si="0"/>
        <v>3.9581121299681357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2.75</v>
      </c>
      <c r="G30">
        <v>22720</v>
      </c>
      <c r="H30">
        <v>22719.879000000001</v>
      </c>
      <c r="I30">
        <f>$X$8*H30/$W$8</f>
        <v>4.406606881054147</v>
      </c>
      <c r="J30">
        <f>I30/(2/0.2)*3</f>
        <v>1.3219820643162441</v>
      </c>
      <c r="K30">
        <v>0.22863051787718996</v>
      </c>
      <c r="L30" s="1">
        <f t="shared" si="0"/>
        <v>5.782176747840607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2.75</v>
      </c>
      <c r="G31">
        <v>8745</v>
      </c>
      <c r="H31">
        <v>8745.4989999999998</v>
      </c>
      <c r="I31">
        <f>$X$8*H31/$W$8</f>
        <v>1.696222769128839</v>
      </c>
      <c r="J31">
        <f>I31/(2/0.2)*3</f>
        <v>0.50886683073865169</v>
      </c>
      <c r="K31">
        <v>0.19079593595416544</v>
      </c>
      <c r="L31" s="1">
        <f t="shared" si="0"/>
        <v>2.6670737413447623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2.75</v>
      </c>
      <c r="G32">
        <v>14275</v>
      </c>
      <c r="H32">
        <v>14274.696</v>
      </c>
      <c r="I32">
        <f>$X$8*H32/$W$8</f>
        <v>2.7686315415040768</v>
      </c>
      <c r="J32">
        <f>I32/(2/0.2)*3</f>
        <v>0.83058946245122312</v>
      </c>
      <c r="K32">
        <v>0.13122659420302052</v>
      </c>
      <c r="L32" s="1">
        <f t="shared" si="0"/>
        <v>6.3294293926901668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2.75</v>
      </c>
      <c r="G33">
        <v>11219</v>
      </c>
      <c r="H33">
        <v>11218.916999999999</v>
      </c>
      <c r="I33">
        <f>$X$8*H33/$W$8</f>
        <v>2.1759515906830025</v>
      </c>
      <c r="J33">
        <f>I33/(2/0.2)*3</f>
        <v>0.65278547720490065</v>
      </c>
      <c r="K33">
        <v>0.13927650525047255</v>
      </c>
      <c r="L33" s="1">
        <f t="shared" si="0"/>
        <v>4.6869748492823113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2.75</v>
      </c>
      <c r="G34">
        <v>11227</v>
      </c>
      <c r="H34">
        <v>11227.038</v>
      </c>
      <c r="I34">
        <f>$X$8*H34/$W$8</f>
        <v>2.1775266894976149</v>
      </c>
      <c r="J34">
        <f>I34/(2/0.2)*3</f>
        <v>0.65325800684928437</v>
      </c>
      <c r="K34">
        <v>9.7416967803722054E-2</v>
      </c>
      <c r="L34" s="1">
        <f t="shared" si="0"/>
        <v>6.7057928570049894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2.75</v>
      </c>
      <c r="G35">
        <v>9047</v>
      </c>
      <c r="H35">
        <v>9047.31</v>
      </c>
      <c r="I35">
        <f>$X$8*H35/$W$8</f>
        <v>1.7547601596394939</v>
      </c>
      <c r="J35">
        <f>I35/(2/0.2)*3</f>
        <v>0.52642804789184816</v>
      </c>
      <c r="K35">
        <v>7.4877216870856411E-2</v>
      </c>
      <c r="L35" s="1">
        <f t="shared" si="0"/>
        <v>7.0305504116131701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2.75</v>
      </c>
      <c r="G36">
        <v>22854</v>
      </c>
      <c r="H36">
        <v>22853.544999999998</v>
      </c>
      <c r="I36">
        <f>$X$8*H36/$W$8</f>
        <v>4.4325319097641573</v>
      </c>
      <c r="J36">
        <f>I36/(2/0.2)*3</f>
        <v>1.3297595729292473</v>
      </c>
      <c r="K36">
        <v>0.14491144298368897</v>
      </c>
      <c r="L36" s="1">
        <f t="shared" si="0"/>
        <v>9.1763600275440176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2.75</v>
      </c>
      <c r="G37">
        <v>12972</v>
      </c>
      <c r="H37">
        <v>12972.317999999999</v>
      </c>
      <c r="I37">
        <f>$X$8*H37/$W$8</f>
        <v>2.5160303785958789</v>
      </c>
      <c r="J37">
        <f>I37/(2/0.2)*3</f>
        <v>0.75480911357876357</v>
      </c>
      <c r="K37">
        <v>0.14571643408843418</v>
      </c>
      <c r="L37" s="1">
        <f t="shared" si="0"/>
        <v>5.1799861717771361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2.75</v>
      </c>
      <c r="G38">
        <v>20451</v>
      </c>
      <c r="H38">
        <v>20451.115000000002</v>
      </c>
      <c r="I38">
        <f>$X$8*H38/$W$8</f>
        <v>3.9665714806064627</v>
      </c>
      <c r="J38">
        <f>I38/(2/0.2)*3</f>
        <v>1.1899714441819389</v>
      </c>
      <c r="K38">
        <v>0.26405012648597881</v>
      </c>
      <c r="L38" s="1">
        <f t="shared" si="0"/>
        <v>4.5066119074369277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2.75</v>
      </c>
      <c r="G39">
        <v>19894</v>
      </c>
      <c r="H39">
        <v>19894.039000000001</v>
      </c>
      <c r="I39">
        <f>$X$8*H39/$W$8</f>
        <v>3.8585244731875354</v>
      </c>
      <c r="J39">
        <f>I39/(2/0.2)*3</f>
        <v>1.1575573419562608</v>
      </c>
      <c r="K39">
        <v>0.17469611385926145</v>
      </c>
      <c r="L39" s="1">
        <f t="shared" si="0"/>
        <v>6.6261195878049772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2.75</v>
      </c>
      <c r="G40">
        <v>7215</v>
      </c>
      <c r="H40">
        <v>7214.9430000000002</v>
      </c>
      <c r="I40">
        <f>$X$8*H40/$W$8</f>
        <v>1.3993656159090218</v>
      </c>
      <c r="J40">
        <f>I40/(2/0.2)*3</f>
        <v>0.41980968477270653</v>
      </c>
      <c r="K40">
        <v>0.1175417454223521</v>
      </c>
      <c r="L40" s="1">
        <f t="shared" si="0"/>
        <v>3.5715794696109238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2.75</v>
      </c>
      <c r="G41">
        <v>5522</v>
      </c>
      <c r="H41">
        <v>5522.482</v>
      </c>
      <c r="I41">
        <f>$X$8*H41/$W$8</f>
        <v>1.0711063726042584</v>
      </c>
      <c r="J41">
        <f>I41/(2/0.2)*3</f>
        <v>0.32133191178127751</v>
      </c>
      <c r="K41">
        <v>0.14813140740266978</v>
      </c>
      <c r="L41" s="1">
        <f t="shared" si="0"/>
        <v>2.1692355282076807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2.75</v>
      </c>
      <c r="G42">
        <v>9312</v>
      </c>
      <c r="H42">
        <v>9312.4159999999993</v>
      </c>
      <c r="I42">
        <f>$X$8*H42/$W$8</f>
        <v>1.8061784758993975</v>
      </c>
      <c r="J42">
        <f>I42/(2/0.2)*3</f>
        <v>0.54185354276981923</v>
      </c>
      <c r="K42">
        <v>0.11673675431760691</v>
      </c>
      <c r="L42" s="1">
        <f t="shared" si="0"/>
        <v>4.6416704484998155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2.76</v>
      </c>
      <c r="G43">
        <v>4490</v>
      </c>
      <c r="H43">
        <v>4490.1310000000003</v>
      </c>
      <c r="I43">
        <f>$X$8*H43/$W$8</f>
        <v>0.87087797260868061</v>
      </c>
      <c r="J43">
        <f>I43/(2/0.2)*3</f>
        <v>0.26126339178260416</v>
      </c>
      <c r="K43">
        <v>8.6147092337289247E-2</v>
      </c>
      <c r="L43" s="1">
        <f t="shared" si="0"/>
        <v>3.032759257383721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2.76</v>
      </c>
      <c r="G44">
        <v>4556</v>
      </c>
      <c r="H44">
        <v>4556.2709999999997</v>
      </c>
      <c r="I44">
        <f>$X$8*H44/$W$8</f>
        <v>0.88370607697987547</v>
      </c>
      <c r="J44">
        <f>I44/(2/0.2)*3</f>
        <v>0.26511182309396264</v>
      </c>
      <c r="K44">
        <v>8.9367056756270047E-2</v>
      </c>
      <c r="L44" s="1">
        <f t="shared" si="0"/>
        <v>2.9665497859798569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2.75</v>
      </c>
      <c r="G45">
        <v>4658</v>
      </c>
      <c r="H45">
        <v>4657.9930000000004</v>
      </c>
      <c r="I45">
        <f>$X$8*H45/$W$8</f>
        <v>0.90343544548375665</v>
      </c>
      <c r="J45">
        <f>I45/(2/0.2)*3</f>
        <v>0.27103063364512697</v>
      </c>
      <c r="K45">
        <v>9.3392012279996037E-2</v>
      </c>
      <c r="L45" s="1">
        <f t="shared" si="0"/>
        <v>2.9020751028745098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2.75</v>
      </c>
      <c r="G46">
        <v>5281</v>
      </c>
      <c r="H46">
        <v>5280.7579999999998</v>
      </c>
      <c r="I46">
        <f>$X$8*H46/$W$8</f>
        <v>1.0242230841098112</v>
      </c>
      <c r="J46">
        <f>I46/(2/0.2)*3</f>
        <v>0.30726692523294341</v>
      </c>
      <c r="K46">
        <v>0.18918595374467503</v>
      </c>
      <c r="L46" s="1">
        <f t="shared" si="0"/>
        <v>1.6241529519027096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2.75</v>
      </c>
      <c r="G47">
        <v>6507</v>
      </c>
      <c r="H47">
        <v>6506.6350000000002</v>
      </c>
      <c r="I47">
        <f>$X$8*H47/$W$8</f>
        <v>1.2619865873188738</v>
      </c>
      <c r="J47">
        <f>I47/(2/0.2)*3</f>
        <v>0.3785959761956621</v>
      </c>
      <c r="K47">
        <v>9.2587021175250833E-2</v>
      </c>
      <c r="L47" s="1">
        <f t="shared" si="0"/>
        <v>4.0890825883581128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2.76</v>
      </c>
      <c r="G48">
        <v>4746</v>
      </c>
      <c r="H48">
        <v>4746.3860000000004</v>
      </c>
      <c r="I48">
        <f>$X$8*H48/$W$8</f>
        <v>0.92057960377953896</v>
      </c>
      <c r="J48">
        <f>I48/(2/0.2)*3</f>
        <v>0.27617388113386171</v>
      </c>
      <c r="K48">
        <v>0.14974138961216016</v>
      </c>
      <c r="L48" s="1">
        <f t="shared" si="0"/>
        <v>1.8443389756777993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2.75</v>
      </c>
      <c r="G49">
        <v>5864</v>
      </c>
      <c r="H49">
        <v>5864.0860000000002</v>
      </c>
      <c r="I49">
        <f>$X$8*H49/$W$8</f>
        <v>1.1373617667018951</v>
      </c>
      <c r="J49">
        <f>I49/(2/0.2)*3</f>
        <v>0.3412085300105685</v>
      </c>
      <c r="K49">
        <v>0.19965083810636269</v>
      </c>
      <c r="L49" s="1">
        <f t="shared" si="0"/>
        <v>1.7090262843213904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2.75</v>
      </c>
      <c r="G50">
        <v>8277</v>
      </c>
      <c r="H50">
        <v>8276.84</v>
      </c>
      <c r="I50">
        <f>$X$8*H50/$W$8</f>
        <v>1.6053245748969087</v>
      </c>
      <c r="J50">
        <f>I50/(2/0.2)*3</f>
        <v>0.48159737246907258</v>
      </c>
      <c r="K50">
        <v>0.22058060682973793</v>
      </c>
      <c r="L50" s="1">
        <f t="shared" si="0"/>
        <v>2.183316926137612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2.78</v>
      </c>
      <c r="G51">
        <v>2814</v>
      </c>
      <c r="H51">
        <v>2814.067</v>
      </c>
      <c r="I51">
        <f>$X$8*H51/$W$8</f>
        <v>0.54579898977223418</v>
      </c>
      <c r="J51">
        <f>I51/(2/0.2)*3</f>
        <v>0.16373969693167023</v>
      </c>
      <c r="K51">
        <v>0.12720163867929454</v>
      </c>
      <c r="L51" s="1">
        <f t="shared" si="0"/>
        <v>1.2872451851386661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2.75</v>
      </c>
      <c r="G52">
        <v>5811</v>
      </c>
      <c r="H52">
        <v>5811.2359999999999</v>
      </c>
      <c r="I52">
        <f>$X$8*H52/$W$8</f>
        <v>1.1271113083405759</v>
      </c>
      <c r="J52">
        <f>I52/(2/0.2)*3</f>
        <v>0.33813339250217278</v>
      </c>
      <c r="K52">
        <v>0.1594012828691026</v>
      </c>
      <c r="L52" s="1">
        <f t="shared" si="0"/>
        <v>2.1212714629143963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2.75</v>
      </c>
      <c r="G53">
        <v>9377</v>
      </c>
      <c r="H53">
        <v>9376.6270000000004</v>
      </c>
      <c r="I53">
        <f>$X$8*H53/$W$8</f>
        <v>1.8186324433892496</v>
      </c>
      <c r="J53">
        <f>I53/(2/0.2)*3</f>
        <v>0.54558973301677482</v>
      </c>
      <c r="K53">
        <v>0.14491144298368897</v>
      </c>
      <c r="L53" s="1">
        <f t="shared" si="0"/>
        <v>3.7649872348464961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2.75</v>
      </c>
      <c r="G54">
        <v>6634</v>
      </c>
      <c r="H54">
        <v>6633.9560000000001</v>
      </c>
      <c r="I54">
        <f>$X$8*H54/$W$8</f>
        <v>1.2866809791641249</v>
      </c>
      <c r="J54">
        <f>I54/(2/0.2)*3</f>
        <v>0.38600429374923745</v>
      </c>
      <c r="K54">
        <v>0.24553533107683917</v>
      </c>
      <c r="L54" s="1">
        <f t="shared" si="0"/>
        <v>1.5720926681156089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2.75</v>
      </c>
      <c r="G55">
        <v>11298</v>
      </c>
      <c r="H55">
        <v>11297.993</v>
      </c>
      <c r="I55">
        <f>$X$8*H55/$W$8</f>
        <v>2.1912886814186634</v>
      </c>
      <c r="J55">
        <f>I55/(2/0.2)*3</f>
        <v>0.65738660442559893</v>
      </c>
      <c r="K55">
        <v>0.3002747261995129</v>
      </c>
      <c r="L55" s="1">
        <f t="shared" si="0"/>
        <v>2.1892838359922724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2.75</v>
      </c>
      <c r="G56">
        <v>9773</v>
      </c>
      <c r="H56">
        <v>9773.0429999999997</v>
      </c>
      <c r="I56">
        <f>$X$8*H56/$W$8</f>
        <v>1.8955188332049682</v>
      </c>
      <c r="J56">
        <f>I56/(2/0.2)*3</f>
        <v>0.56865564996149054</v>
      </c>
      <c r="K56">
        <v>0.17147614944028067</v>
      </c>
      <c r="L56" s="1">
        <f t="shared" si="0"/>
        <v>3.3162375748327264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2.75</v>
      </c>
      <c r="G57">
        <v>13926</v>
      </c>
      <c r="H57">
        <v>13925.529</v>
      </c>
      <c r="I57">
        <f>$X$8*H57/$W$8</f>
        <v>2.7009092748125583</v>
      </c>
      <c r="J57">
        <f>I57/(2/0.2)*3</f>
        <v>0.81027278244376755</v>
      </c>
      <c r="K57">
        <v>0.18113604269722305</v>
      </c>
      <c r="L57" s="1">
        <f t="shared" si="0"/>
        <v>4.4732830108151065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2.75</v>
      </c>
      <c r="G58">
        <v>20830</v>
      </c>
      <c r="H58">
        <v>20830.384999999998</v>
      </c>
      <c r="I58">
        <f>$X$8*H58/$W$8</f>
        <v>4.0401323385572203</v>
      </c>
      <c r="J58">
        <f>I58/(2/0.2)*3</f>
        <v>1.212039701567166</v>
      </c>
      <c r="K58">
        <v>8.2927127918308433E-2</v>
      </c>
      <c r="L58" s="1">
        <f t="shared" si="0"/>
        <v>14.615720235254585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2.75</v>
      </c>
      <c r="G59">
        <v>13032</v>
      </c>
      <c r="H59">
        <v>13032.151</v>
      </c>
      <c r="I59">
        <f>$X$8*H59/$W$8</f>
        <v>2.5276352163467366</v>
      </c>
      <c r="J59">
        <f>I59/(2/0.2)*3</f>
        <v>0.75829056490402091</v>
      </c>
      <c r="K59">
        <v>0.11593176321286171</v>
      </c>
      <c r="L59" s="1">
        <f t="shared" si="0"/>
        <v>6.5408352628237658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2.75</v>
      </c>
      <c r="G60">
        <v>7236</v>
      </c>
      <c r="H60">
        <v>7235.8739999999998</v>
      </c>
      <c r="I60">
        <f>$X$8*H60/$W$8</f>
        <v>1.4034252629092254</v>
      </c>
      <c r="J60">
        <f>I60/(2/0.2)*3</f>
        <v>0.42102757887276759</v>
      </c>
      <c r="K60">
        <v>0.17469611385926145</v>
      </c>
      <c r="L60" s="1">
        <f t="shared" si="0"/>
        <v>2.410056924402769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2.75</v>
      </c>
      <c r="G61">
        <v>8528</v>
      </c>
      <c r="H61">
        <v>8528.0030000000006</v>
      </c>
      <c r="I61">
        <f>$X$8*H61/$W$8</f>
        <v>1.6540385933151496</v>
      </c>
      <c r="J61">
        <f>I61/(2/0.2)*3</f>
        <v>0.49621157799454491</v>
      </c>
      <c r="K61">
        <v>0.17952606048773259</v>
      </c>
      <c r="L61" s="1">
        <f t="shared" si="0"/>
        <v>2.7640086160552282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2.75</v>
      </c>
      <c r="G62">
        <v>5595</v>
      </c>
      <c r="H62">
        <v>5594.6</v>
      </c>
      <c r="I62">
        <f>$X$8*H62/$W$8</f>
        <v>1.0850939327953961</v>
      </c>
      <c r="J62">
        <f>I62/(2/0.2)*3</f>
        <v>0.32552817983861881</v>
      </c>
      <c r="K62">
        <v>0.19723586479212707</v>
      </c>
      <c r="L62" s="1">
        <f t="shared" si="0"/>
        <v>1.6504512512554599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2.75</v>
      </c>
      <c r="G63">
        <v>16620</v>
      </c>
      <c r="H63">
        <v>16619.849999999999</v>
      </c>
      <c r="I63">
        <f>$X$8*H63/$W$8</f>
        <v>3.2234830727790298</v>
      </c>
      <c r="J63">
        <f>I63/(2/0.2)*3</f>
        <v>0.96704492183370894</v>
      </c>
      <c r="K63">
        <v>0.28417490410460888</v>
      </c>
      <c r="L63" s="1">
        <f t="shared" si="0"/>
        <v>3.402991987912225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2.75</v>
      </c>
      <c r="G64">
        <v>6368</v>
      </c>
      <c r="H64">
        <v>6368.232</v>
      </c>
      <c r="I64">
        <f>$X$8*H64/$W$8</f>
        <v>1.2351427994554554</v>
      </c>
      <c r="J64">
        <f>I64/(2/0.2)*3</f>
        <v>0.37054283983663661</v>
      </c>
      <c r="K64">
        <v>0.17872106938298743</v>
      </c>
      <c r="L64" s="1">
        <f t="shared" si="0"/>
        <v>2.0733024993409579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I65">
        <f>$X$8*H65/$W$8</f>
        <v>0</v>
      </c>
      <c r="J65">
        <f>I65/(2/0.2)*3</f>
        <v>0</v>
      </c>
      <c r="K65">
        <v>0.19884584700161748</v>
      </c>
      <c r="L65" s="1">
        <f t="shared" si="0"/>
        <v>0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2.75</v>
      </c>
      <c r="G66">
        <v>7883</v>
      </c>
      <c r="H66">
        <v>7882.875</v>
      </c>
      <c r="I66">
        <f>$X$8*H66/$W$8</f>
        <v>1.5289135658464426</v>
      </c>
      <c r="J66">
        <f>I66/(2/0.2)*3</f>
        <v>0.45867406975393277</v>
      </c>
      <c r="K66">
        <v>0.17469611385926145</v>
      </c>
      <c r="L66" s="1">
        <f t="shared" si="0"/>
        <v>2.6255539383288711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2.75</v>
      </c>
      <c r="G67">
        <v>6818</v>
      </c>
      <c r="H67">
        <v>6818.2860000000001</v>
      </c>
      <c r="I67">
        <f>$X$8*H67/$W$8</f>
        <v>1.3224324832273602</v>
      </c>
      <c r="J67">
        <f>I67/(2/0.2)*3</f>
        <v>0.39672974496820801</v>
      </c>
      <c r="K67">
        <v>0.24875529549582001</v>
      </c>
      <c r="L67" s="1">
        <f t="shared" si="0"/>
        <v>1.5948594950609785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2.75</v>
      </c>
      <c r="G68">
        <v>5475</v>
      </c>
      <c r="H68">
        <v>5474.6530000000002</v>
      </c>
      <c r="I68">
        <f>$X$8*H68/$W$8</f>
        <v>1.0618297562757146</v>
      </c>
      <c r="J68">
        <f>I68/(2/0.2)*3</f>
        <v>0.31854892688271441</v>
      </c>
      <c r="K68">
        <v>0.18274602490671343</v>
      </c>
      <c r="L68" s="1">
        <f t="shared" si="0"/>
        <v>1.7431236988346228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2.75</v>
      </c>
      <c r="G69">
        <v>13203</v>
      </c>
      <c r="H69">
        <v>13203.298000000001</v>
      </c>
      <c r="I69">
        <f>$X$8*H69/$W$8</f>
        <v>2.5608298274567596</v>
      </c>
      <c r="J69">
        <f>I69/(2/0.2)*3</f>
        <v>0.76824894823702794</v>
      </c>
      <c r="K69">
        <v>0.10063693222270288</v>
      </c>
      <c r="L69" s="1">
        <f t="shared" si="0"/>
        <v>7.6338669240924775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2.75</v>
      </c>
      <c r="G70">
        <v>6069</v>
      </c>
      <c r="H70">
        <v>6069.2449999999999</v>
      </c>
      <c r="I70">
        <f>$X$8*H70/$W$8</f>
        <v>1.1771531344776736</v>
      </c>
      <c r="J70">
        <f>I70/(2/0.2)*3</f>
        <v>0.35314594034330204</v>
      </c>
      <c r="K70">
        <v>0.12156670094607813</v>
      </c>
      <c r="L70" s="1">
        <f t="shared" si="0"/>
        <v>2.9049561894415703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2.75</v>
      </c>
      <c r="G71">
        <v>5415</v>
      </c>
      <c r="H71">
        <v>5415.4709999999995</v>
      </c>
      <c r="I71">
        <f>$X$8*H71/$W$8</f>
        <v>1.0503511824490428</v>
      </c>
      <c r="J71">
        <f>I71/(2/0.2)*3</f>
        <v>0.31510535473471279</v>
      </c>
      <c r="K71">
        <v>8.8562065651524843E-2</v>
      </c>
      <c r="L71" s="1">
        <f t="shared" si="0"/>
        <v>3.5580172212174159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2.75</v>
      </c>
      <c r="G72">
        <v>6067</v>
      </c>
      <c r="H72">
        <v>6067.46</v>
      </c>
      <c r="I72">
        <f>$X$8*H72/$W$8</f>
        <v>1.1768069269436159</v>
      </c>
      <c r="J72">
        <f>I72/(2/0.2)*3</f>
        <v>0.35304207808308474</v>
      </c>
      <c r="K72">
        <v>0.13766652304098212</v>
      </c>
      <c r="L72" s="1">
        <f t="shared" si="0"/>
        <v>2.5644729763240059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2.75</v>
      </c>
      <c r="G73">
        <v>3872</v>
      </c>
      <c r="H73">
        <v>3871.634</v>
      </c>
      <c r="I73">
        <f>$X$8*H73/$W$8</f>
        <v>0.75091812880355524</v>
      </c>
      <c r="J73">
        <f>I73/(2/0.2)*3</f>
        <v>0.22527543864106656</v>
      </c>
      <c r="K73">
        <v>8.2122136813563229E-2</v>
      </c>
      <c r="L73" s="1">
        <f t="shared" ref="L73" si="1">J73/K73</f>
        <v>2.7431755599893286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2.86</v>
      </c>
      <c r="G74">
        <v>1074</v>
      </c>
      <c r="H74">
        <v>1073.5809999999999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2406-75A1-41F8-8449-739581AD196F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256</v>
      </c>
      <c r="P3" t="s">
        <v>85</v>
      </c>
    </row>
    <row r="5" spans="1:28" x14ac:dyDescent="0.3">
      <c r="A5" t="s">
        <v>86</v>
      </c>
      <c r="P5" t="s">
        <v>86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2.97</v>
      </c>
      <c r="G8">
        <v>3931</v>
      </c>
      <c r="H8">
        <v>3931.1260000000002</v>
      </c>
      <c r="I8">
        <f>$X$8*H8/$W$8</f>
        <v>0.82843652632588283</v>
      </c>
      <c r="J8">
        <f>I8/(2/0.2)*3</f>
        <v>0.24853095789776483</v>
      </c>
      <c r="K8">
        <v>0.10224691443219328</v>
      </c>
      <c r="L8" s="1">
        <f>J8/K8</f>
        <v>2.4306939654651605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2.96</v>
      </c>
      <c r="V8">
        <v>4745</v>
      </c>
      <c r="W8">
        <v>4745.2349999999997</v>
      </c>
      <c r="X8">
        <v>1</v>
      </c>
      <c r="Y8">
        <v>0.85399999999999998</v>
      </c>
      <c r="Z8">
        <v>-14.6</v>
      </c>
      <c r="AA8">
        <v>32</v>
      </c>
      <c r="AB8">
        <v>83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2.97</v>
      </c>
      <c r="G9">
        <v>2553</v>
      </c>
      <c r="H9">
        <v>2553.3780000000002</v>
      </c>
      <c r="I9">
        <f>$X$8*H9/$W$8</f>
        <v>0.53809305545457708</v>
      </c>
      <c r="J9">
        <f>I9/(2/0.2)*3</f>
        <v>0.16142791663637313</v>
      </c>
      <c r="K9">
        <v>0.12639664757454935</v>
      </c>
      <c r="L9" s="1">
        <f t="shared" ref="L9:L72" si="0">J9/K9</f>
        <v>1.2771534667575908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2.96</v>
      </c>
      <c r="V9">
        <v>12295</v>
      </c>
      <c r="W9">
        <v>12294.803</v>
      </c>
      <c r="X9">
        <v>2</v>
      </c>
      <c r="Y9">
        <v>2.29</v>
      </c>
      <c r="Z9">
        <v>14.5</v>
      </c>
      <c r="AA9">
        <v>157</v>
      </c>
      <c r="AB9">
        <v>106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2.97</v>
      </c>
      <c r="G10">
        <v>3709</v>
      </c>
      <c r="H10">
        <v>3708.7289999999998</v>
      </c>
      <c r="I10">
        <f>$X$8*H10/$W$8</f>
        <v>0.7815690898343286</v>
      </c>
      <c r="J10">
        <f>I10/(2/0.2)*3</f>
        <v>0.23447072695029858</v>
      </c>
      <c r="K10">
        <v>0.15054638071690538</v>
      </c>
      <c r="L10" s="1">
        <f t="shared" si="0"/>
        <v>1.5574650538508035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2.96</v>
      </c>
      <c r="V10">
        <v>24085</v>
      </c>
      <c r="W10">
        <v>24085.072</v>
      </c>
      <c r="X10">
        <v>5</v>
      </c>
      <c r="Y10">
        <v>4.5339999999999998</v>
      </c>
      <c r="Z10">
        <v>-9.3000000000000007</v>
      </c>
      <c r="AA10">
        <v>169</v>
      </c>
      <c r="AB10">
        <v>544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2.97</v>
      </c>
      <c r="G11">
        <v>5286</v>
      </c>
      <c r="H11">
        <v>5286.4520000000002</v>
      </c>
      <c r="I11">
        <f>$X$8*H11/$W$8</f>
        <v>1.1140548360618601</v>
      </c>
      <c r="J11">
        <f>I11/(2/0.2)*3</f>
        <v>0.334216450818558</v>
      </c>
      <c r="K11">
        <v>0.14893639850741497</v>
      </c>
      <c r="L11" s="1">
        <f t="shared" si="0"/>
        <v>2.2440213014948029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2.96</v>
      </c>
      <c r="V11">
        <v>57764</v>
      </c>
      <c r="W11">
        <v>57763.699000000001</v>
      </c>
      <c r="X11">
        <v>10</v>
      </c>
      <c r="Y11">
        <v>10.952999999999999</v>
      </c>
      <c r="Z11">
        <v>9.5</v>
      </c>
      <c r="AA11">
        <v>218</v>
      </c>
      <c r="AB11">
        <v>798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2.98</v>
      </c>
      <c r="G12">
        <v>2934</v>
      </c>
      <c r="H12">
        <v>2933.8409999999999</v>
      </c>
      <c r="I12">
        <f>$X$8*H12/$W$8</f>
        <v>0.61827096023695349</v>
      </c>
      <c r="J12">
        <f>I12/(2/0.2)*3</f>
        <v>0.18548128807108605</v>
      </c>
      <c r="K12">
        <v>4.0262599366812736E-2</v>
      </c>
      <c r="L12" s="1">
        <f t="shared" si="0"/>
        <v>4.6067887068407405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2.96</v>
      </c>
      <c r="V12">
        <v>106433</v>
      </c>
      <c r="W12">
        <v>106433.211</v>
      </c>
      <c r="X12">
        <v>20</v>
      </c>
      <c r="Y12">
        <v>20.25</v>
      </c>
      <c r="Z12">
        <v>1.3</v>
      </c>
      <c r="AA12">
        <v>521</v>
      </c>
      <c r="AB12">
        <v>1070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2.96</v>
      </c>
      <c r="G13">
        <v>6550</v>
      </c>
      <c r="H13">
        <v>6549.8909999999996</v>
      </c>
      <c r="I13">
        <f>$X$8*H13/$W$8</f>
        <v>1.3803090890124514</v>
      </c>
      <c r="J13">
        <f>I13/(2/0.2)*3</f>
        <v>0.41409272670373543</v>
      </c>
      <c r="K13">
        <v>0.11351678989862611</v>
      </c>
      <c r="L13" s="1">
        <f t="shared" si="0"/>
        <v>3.6478544457919626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2.96</v>
      </c>
      <c r="V13">
        <v>260781</v>
      </c>
      <c r="W13">
        <v>260780.95300000001</v>
      </c>
      <c r="X13">
        <v>50</v>
      </c>
      <c r="Y13">
        <v>49.914000000000001</v>
      </c>
      <c r="Z13">
        <v>-0.2</v>
      </c>
      <c r="AA13">
        <v>1441</v>
      </c>
      <c r="AB13">
        <v>3181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2.97</v>
      </c>
      <c r="G14">
        <v>2257</v>
      </c>
      <c r="H14">
        <v>2257.4110000000001</v>
      </c>
      <c r="I14">
        <f>$X$8*H14/$W$8</f>
        <v>0.475721644976487</v>
      </c>
      <c r="J14">
        <f>I14/(2/0.2)*3</f>
        <v>0.1427164934929461</v>
      </c>
      <c r="K14">
        <v>0.10144192332744809</v>
      </c>
      <c r="L14" s="1">
        <f t="shared" si="0"/>
        <v>1.4068788210202434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2.96</v>
      </c>
      <c r="V14">
        <v>509627</v>
      </c>
      <c r="W14">
        <v>509627.03100000002</v>
      </c>
      <c r="X14">
        <v>100</v>
      </c>
      <c r="Y14">
        <v>98.323999999999998</v>
      </c>
      <c r="Z14">
        <v>-1.7</v>
      </c>
      <c r="AA14">
        <v>5142</v>
      </c>
      <c r="AB14">
        <v>9451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2.96</v>
      </c>
      <c r="G15">
        <v>2452</v>
      </c>
      <c r="H15">
        <v>2451.9960000000001</v>
      </c>
      <c r="I15">
        <f>$X$8*H15/$W$8</f>
        <v>0.51672804402732431</v>
      </c>
      <c r="J15">
        <f>I15/(2/0.2)*3</f>
        <v>0.15501841320819731</v>
      </c>
      <c r="K15">
        <v>8.3732119023053622E-2</v>
      </c>
      <c r="L15" s="1">
        <f t="shared" si="0"/>
        <v>1.8513614012983086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2.96</v>
      </c>
      <c r="V15">
        <v>1024574</v>
      </c>
      <c r="W15">
        <v>1024574.25</v>
      </c>
      <c r="X15">
        <v>200</v>
      </c>
      <c r="Y15">
        <v>200.93</v>
      </c>
      <c r="Z15">
        <v>0.5</v>
      </c>
      <c r="AA15">
        <v>5807</v>
      </c>
      <c r="AB15">
        <v>8970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2.97</v>
      </c>
      <c r="G16">
        <v>7955</v>
      </c>
      <c r="H16">
        <v>7955.125</v>
      </c>
      <c r="I16">
        <f>$X$8*H16/$W$8</f>
        <v>1.6764448968280814</v>
      </c>
      <c r="J16">
        <f>I16/(2/0.2)*3</f>
        <v>0.5029334690484244</v>
      </c>
      <c r="K16">
        <v>0.22299558014397355</v>
      </c>
      <c r="L16" s="1">
        <f t="shared" si="0"/>
        <v>2.2553517371228318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2.96</v>
      </c>
      <c r="V16">
        <v>2428539</v>
      </c>
      <c r="W16">
        <v>2428538.75</v>
      </c>
      <c r="X16">
        <v>500</v>
      </c>
      <c r="Y16">
        <v>499.952</v>
      </c>
      <c r="Z16">
        <v>0</v>
      </c>
      <c r="AA16">
        <v>11980</v>
      </c>
      <c r="AB16">
        <v>18413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2.97</v>
      </c>
      <c r="G17">
        <v>8395</v>
      </c>
      <c r="H17">
        <v>8394.5079999999998</v>
      </c>
      <c r="I17">
        <f>$X$8*H17/$W$8</f>
        <v>1.7690394680137023</v>
      </c>
      <c r="J17">
        <f>I17/(2/0.2)*3</f>
        <v>0.53071184040411068</v>
      </c>
      <c r="K17">
        <v>0.1175417454223521</v>
      </c>
      <c r="L17" s="1">
        <f t="shared" si="0"/>
        <v>4.5150923911938854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2.97</v>
      </c>
      <c r="G18">
        <v>5013</v>
      </c>
      <c r="H18">
        <v>5012.9939999999997</v>
      </c>
      <c r="I18">
        <f>$X$8*H18/$W$8</f>
        <v>1.0564269209006509</v>
      </c>
      <c r="J18">
        <f>I18/(2/0.2)*3</f>
        <v>0.31692807627019526</v>
      </c>
      <c r="K18">
        <v>0.11351678989862611</v>
      </c>
      <c r="L18" s="1">
        <f t="shared" si="0"/>
        <v>2.7919048499629131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2.98</v>
      </c>
      <c r="G19">
        <v>6647</v>
      </c>
      <c r="H19">
        <v>6647.1130000000003</v>
      </c>
      <c r="I19">
        <f>$X$8*H19/$W$8</f>
        <v>1.4007974315286811</v>
      </c>
      <c r="J19">
        <f>I19/(2/0.2)*3</f>
        <v>0.42023922945860437</v>
      </c>
      <c r="K19">
        <v>8.4537110127798853E-2</v>
      </c>
      <c r="L19" s="1">
        <f t="shared" si="0"/>
        <v>4.9710621622067315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2.97</v>
      </c>
      <c r="G20">
        <v>6148</v>
      </c>
      <c r="H20">
        <v>6148.2969999999996</v>
      </c>
      <c r="I20">
        <f>$X$8*H20/$W$8</f>
        <v>1.2956780854899705</v>
      </c>
      <c r="J20">
        <f>I20/(2/0.2)*3</f>
        <v>0.38870342564699112</v>
      </c>
      <c r="K20">
        <v>0.1078818521654097</v>
      </c>
      <c r="L20" s="1">
        <f t="shared" si="0"/>
        <v>3.6030473879055407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2.97</v>
      </c>
      <c r="G21">
        <v>5450</v>
      </c>
      <c r="H21">
        <v>5450.0630000000001</v>
      </c>
      <c r="I21">
        <f>$X$8*H21/$W$8</f>
        <v>1.1485338450045151</v>
      </c>
      <c r="J21">
        <f>I21/(2/0.2)*3</f>
        <v>0.34456015350135449</v>
      </c>
      <c r="K21">
        <v>0.14813140740266978</v>
      </c>
      <c r="L21" s="1">
        <f t="shared" si="0"/>
        <v>2.3260438791668734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2.97</v>
      </c>
      <c r="G22">
        <v>5610</v>
      </c>
      <c r="H22">
        <v>5609.8609999999999</v>
      </c>
      <c r="I22">
        <f>$X$8*H22/$W$8</f>
        <v>1.1822093110246386</v>
      </c>
      <c r="J22">
        <f>I22/(2/0.2)*3</f>
        <v>0.35466279330739159</v>
      </c>
      <c r="K22">
        <v>6.6022314718659172E-2</v>
      </c>
      <c r="L22" s="1">
        <f t="shared" si="0"/>
        <v>5.371862450123353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2.97</v>
      </c>
      <c r="G23">
        <v>3649</v>
      </c>
      <c r="H23">
        <v>3648.6729999999998</v>
      </c>
      <c r="I23">
        <f>$X$8*H23/$W$8</f>
        <v>0.76891302538230455</v>
      </c>
      <c r="J23">
        <f>I23/(2/0.2)*3</f>
        <v>0.23067390761469136</v>
      </c>
      <c r="K23">
        <v>0.22621554456295434</v>
      </c>
      <c r="L23" s="1">
        <f t="shared" si="0"/>
        <v>1.0197084734400128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2.97</v>
      </c>
      <c r="G24">
        <v>7016</v>
      </c>
      <c r="H24">
        <v>7015.9740000000002</v>
      </c>
      <c r="I24">
        <f>$X$8*H24/$W$8</f>
        <v>1.4785303572952657</v>
      </c>
      <c r="J24">
        <f>I24/(2/0.2)*3</f>
        <v>0.44355910718857972</v>
      </c>
      <c r="K24">
        <v>0.21897062462024752</v>
      </c>
      <c r="L24" s="1">
        <f t="shared" si="0"/>
        <v>2.0256557607114081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2.97</v>
      </c>
      <c r="G25">
        <v>7028</v>
      </c>
      <c r="H25">
        <v>7027.8419999999996</v>
      </c>
      <c r="I25">
        <f>$X$8*H25/$W$8</f>
        <v>1.4810313925443104</v>
      </c>
      <c r="J25">
        <f>I25/(2/0.2)*3</f>
        <v>0.44430941776329308</v>
      </c>
      <c r="K25">
        <v>0.11271179879388092</v>
      </c>
      <c r="L25" s="1">
        <f t="shared" si="0"/>
        <v>3.9419956252833264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2.96</v>
      </c>
      <c r="G26">
        <v>9022</v>
      </c>
      <c r="H26">
        <v>9021.6280000000006</v>
      </c>
      <c r="I26">
        <f>$X$8*H26/$W$8</f>
        <v>1.9011973063504761</v>
      </c>
      <c r="J26">
        <f>I26/(2/0.2)*3</f>
        <v>0.57035919190514284</v>
      </c>
      <c r="K26">
        <v>9.1782030070505644E-2</v>
      </c>
      <c r="L26" s="1">
        <f t="shared" si="0"/>
        <v>6.2142795432504716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2.96</v>
      </c>
      <c r="G27">
        <v>6980</v>
      </c>
      <c r="H27">
        <v>6979.7939999999999</v>
      </c>
      <c r="I27">
        <f>$X$8*H27/$W$8</f>
        <v>1.4709058666219903</v>
      </c>
      <c r="J27">
        <f>I27/(2/0.2)*3</f>
        <v>0.44127175998659712</v>
      </c>
      <c r="K27">
        <v>0.16584121170706426</v>
      </c>
      <c r="L27" s="1">
        <f t="shared" si="0"/>
        <v>2.6608088269762713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2.97</v>
      </c>
      <c r="G28">
        <v>7913</v>
      </c>
      <c r="H28">
        <v>7912.5590000000002</v>
      </c>
      <c r="I28">
        <f>$X$8*H28/$W$8</f>
        <v>1.6674746350812975</v>
      </c>
      <c r="J28">
        <f>I28/(2/0.2)*3</f>
        <v>0.50024239052438924</v>
      </c>
      <c r="K28">
        <v>0.20850574025855992</v>
      </c>
      <c r="L28" s="1">
        <f t="shared" si="0"/>
        <v>2.3991780269649072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2.97</v>
      </c>
      <c r="G29">
        <v>11647</v>
      </c>
      <c r="H29">
        <v>11646.504999999999</v>
      </c>
      <c r="I29">
        <f>$X$8*H29/$W$8</f>
        <v>2.454357897975548</v>
      </c>
      <c r="J29">
        <f>I29/(2/0.2)*3</f>
        <v>0.7363073693926645</v>
      </c>
      <c r="K29">
        <v>0.15457133624063138</v>
      </c>
      <c r="L29" s="1">
        <f t="shared" si="0"/>
        <v>4.763544052219399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2.97</v>
      </c>
      <c r="G30">
        <v>13651</v>
      </c>
      <c r="H30">
        <v>13650.662</v>
      </c>
      <c r="I30">
        <f>$X$8*H30/$W$8</f>
        <v>2.8767093726654216</v>
      </c>
      <c r="J30">
        <f>I30/(2/0.2)*3</f>
        <v>0.86301281179962641</v>
      </c>
      <c r="K30">
        <v>0.22863051787718996</v>
      </c>
      <c r="L30" s="1">
        <f t="shared" si="0"/>
        <v>3.7747052310103153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2.97</v>
      </c>
      <c r="G31">
        <v>7751</v>
      </c>
      <c r="H31">
        <v>7750.567</v>
      </c>
      <c r="I31">
        <f>$X$8*H31/$W$8</f>
        <v>1.6333368105056969</v>
      </c>
      <c r="J31">
        <f>I31/(2/0.2)*3</f>
        <v>0.49000104315170911</v>
      </c>
      <c r="K31">
        <v>0.19079593595416544</v>
      </c>
      <c r="L31" s="1">
        <f t="shared" si="0"/>
        <v>2.5681943417779149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2.97</v>
      </c>
      <c r="G32">
        <v>11135</v>
      </c>
      <c r="H32">
        <v>11135.352999999999</v>
      </c>
      <c r="I32">
        <f>$X$8*H32/$W$8</f>
        <v>2.3466388914353029</v>
      </c>
      <c r="J32">
        <f>I32/(2/0.2)*3</f>
        <v>0.70399166743059083</v>
      </c>
      <c r="K32">
        <v>0.13122659420302052</v>
      </c>
      <c r="L32" s="1">
        <f t="shared" si="0"/>
        <v>5.3647027243688585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2.97</v>
      </c>
      <c r="G33">
        <v>6287</v>
      </c>
      <c r="H33">
        <v>6287.08</v>
      </c>
      <c r="I33">
        <f>$X$8*H33/$W$8</f>
        <v>1.324924898345393</v>
      </c>
      <c r="J33">
        <f>I33/(2/0.2)*3</f>
        <v>0.39747746950361784</v>
      </c>
      <c r="K33">
        <v>0.13927650525047255</v>
      </c>
      <c r="L33" s="1">
        <f t="shared" si="0"/>
        <v>2.8538730835383967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2.96</v>
      </c>
      <c r="G34">
        <v>11242</v>
      </c>
      <c r="H34">
        <v>11241.807000000001</v>
      </c>
      <c r="I34">
        <f>$X$8*H34/$W$8</f>
        <v>2.3690727645733038</v>
      </c>
      <c r="J34">
        <f>I34/(2/0.2)*3</f>
        <v>0.71072182937199124</v>
      </c>
      <c r="K34">
        <v>9.7416967803722054E-2</v>
      </c>
      <c r="L34" s="1">
        <f t="shared" si="0"/>
        <v>7.2956677403875876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2.96</v>
      </c>
      <c r="G35">
        <v>7321</v>
      </c>
      <c r="H35">
        <v>7320.5129999999999</v>
      </c>
      <c r="I35">
        <f>$X$8*H35/$W$8</f>
        <v>1.5427082115005897</v>
      </c>
      <c r="J35">
        <f>I35/(2/0.2)*3</f>
        <v>0.4628124634501769</v>
      </c>
      <c r="K35">
        <v>7.4877216870856411E-2</v>
      </c>
      <c r="L35" s="1">
        <f t="shared" si="0"/>
        <v>6.1809517339353999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2.96</v>
      </c>
      <c r="G36">
        <v>12004</v>
      </c>
      <c r="H36">
        <v>12003.861999999999</v>
      </c>
      <c r="I36">
        <f>$X$8*H36/$W$8</f>
        <v>2.5296664970228027</v>
      </c>
      <c r="J36">
        <f>I36/(2/0.2)*3</f>
        <v>0.75889994910684089</v>
      </c>
      <c r="K36">
        <v>0.14491144298368897</v>
      </c>
      <c r="L36" s="1">
        <f t="shared" si="0"/>
        <v>5.2369911822095485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2.96</v>
      </c>
      <c r="G37">
        <v>11512</v>
      </c>
      <c r="H37">
        <v>11512.348</v>
      </c>
      <c r="I37">
        <f>$X$8*H37/$W$8</f>
        <v>2.4260859578082012</v>
      </c>
      <c r="J37">
        <f>I37/(2/0.2)*3</f>
        <v>0.72782578734246028</v>
      </c>
      <c r="K37">
        <v>0.14571643408843418</v>
      </c>
      <c r="L37" s="1">
        <f t="shared" si="0"/>
        <v>4.9948092121218695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2.97</v>
      </c>
      <c r="G38">
        <v>15359</v>
      </c>
      <c r="H38">
        <v>15358.995999999999</v>
      </c>
      <c r="I38">
        <f>$X$8*H38/$W$8</f>
        <v>3.2367197831087395</v>
      </c>
      <c r="J38">
        <f>I38/(2/0.2)*3</f>
        <v>0.97101593493262195</v>
      </c>
      <c r="K38">
        <v>0.26405012648597881</v>
      </c>
      <c r="L38" s="1">
        <f t="shared" si="0"/>
        <v>3.6773924248969574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2.96</v>
      </c>
      <c r="G39">
        <v>12276</v>
      </c>
      <c r="H39">
        <v>12275.844999999999</v>
      </c>
      <c r="I39">
        <f>$X$8*H39/$W$8</f>
        <v>2.5869835740484928</v>
      </c>
      <c r="J39">
        <f>I39/(2/0.2)*3</f>
        <v>0.77609507221454777</v>
      </c>
      <c r="K39">
        <v>0.17469611385926145</v>
      </c>
      <c r="L39" s="1">
        <f t="shared" si="0"/>
        <v>4.4425434262366297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2.96</v>
      </c>
      <c r="G40">
        <v>5382</v>
      </c>
      <c r="H40">
        <v>5382.4740000000002</v>
      </c>
      <c r="I40">
        <f>$X$8*H40/$W$8</f>
        <v>1.1342902933152943</v>
      </c>
      <c r="J40">
        <f>I40/(2/0.2)*3</f>
        <v>0.34028708799458829</v>
      </c>
      <c r="K40">
        <v>0.1175417454223521</v>
      </c>
      <c r="L40" s="1">
        <f t="shared" si="0"/>
        <v>2.8950317759181261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2.96</v>
      </c>
      <c r="G41">
        <v>7493</v>
      </c>
      <c r="H41">
        <v>7492.527</v>
      </c>
      <c r="I41">
        <f>$X$8*H41/$W$8</f>
        <v>1.5789580494959681</v>
      </c>
      <c r="J41">
        <f>I41/(2/0.2)*3</f>
        <v>0.47368741484879046</v>
      </c>
      <c r="K41">
        <v>0.14813140740266978</v>
      </c>
      <c r="L41" s="1">
        <f t="shared" si="0"/>
        <v>3.1977513962393713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2.97</v>
      </c>
      <c r="G42">
        <v>7011</v>
      </c>
      <c r="H42">
        <v>7011.1580000000004</v>
      </c>
      <c r="I42">
        <f>$X$8*H42/$W$8</f>
        <v>1.4775154444405811</v>
      </c>
      <c r="J42">
        <f>I42/(2/0.2)*3</f>
        <v>0.4432546333321743</v>
      </c>
      <c r="K42">
        <v>0.11673675431760691</v>
      </c>
      <c r="L42" s="1">
        <f t="shared" si="0"/>
        <v>3.7970443492561627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2.97</v>
      </c>
      <c r="G43">
        <v>3779</v>
      </c>
      <c r="H43">
        <v>3778.6030000000001</v>
      </c>
      <c r="I43">
        <f>$X$8*H43/$W$8</f>
        <v>0.79629417721145535</v>
      </c>
      <c r="J43">
        <f>I43/(2/0.2)*3</f>
        <v>0.23888825316343662</v>
      </c>
      <c r="K43">
        <v>8.6147092337289247E-2</v>
      </c>
      <c r="L43" s="1">
        <f t="shared" si="0"/>
        <v>2.7730274659546752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2.97</v>
      </c>
      <c r="G44">
        <v>4681</v>
      </c>
      <c r="H44">
        <v>4681.0339999999997</v>
      </c>
      <c r="I44">
        <f>$X$8*H44/$W$8</f>
        <v>0.98647042770273763</v>
      </c>
      <c r="J44">
        <f>I44/(2/0.2)*3</f>
        <v>0.29594112831082131</v>
      </c>
      <c r="K44">
        <v>8.9367056756270047E-2</v>
      </c>
      <c r="L44" s="1">
        <f t="shared" si="0"/>
        <v>3.3115237208487107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2.98</v>
      </c>
      <c r="G45">
        <v>3008</v>
      </c>
      <c r="H45">
        <v>3007.7020000000002</v>
      </c>
      <c r="I45">
        <f>$X$8*H45/$W$8</f>
        <v>0.6338362588997174</v>
      </c>
      <c r="J45">
        <f>I45/(2/0.2)*3</f>
        <v>0.1901508776699152</v>
      </c>
      <c r="K45">
        <v>9.3392012279996037E-2</v>
      </c>
      <c r="L45" s="1">
        <f t="shared" si="0"/>
        <v>2.0360507609561838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2.97</v>
      </c>
      <c r="G46">
        <v>4997</v>
      </c>
      <c r="H46">
        <v>4997.0730000000003</v>
      </c>
      <c r="I46">
        <f>$X$8*H46/$W$8</f>
        <v>1.0530717656765156</v>
      </c>
      <c r="J46">
        <f>I46/(2/0.2)*3</f>
        <v>0.31592152970295473</v>
      </c>
      <c r="K46">
        <v>0.18918595374467503</v>
      </c>
      <c r="L46" s="1">
        <f t="shared" si="0"/>
        <v>1.6698995007278488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2.97</v>
      </c>
      <c r="G47">
        <v>3873</v>
      </c>
      <c r="H47">
        <v>3873.1990000000001</v>
      </c>
      <c r="I47">
        <f>$X$8*H47/$W$8</f>
        <v>0.81622912247760127</v>
      </c>
      <c r="J47">
        <f>I47/(2/0.2)*3</f>
        <v>0.24486873674328036</v>
      </c>
      <c r="K47">
        <v>9.2587021175250833E-2</v>
      </c>
      <c r="L47" s="1">
        <f t="shared" si="0"/>
        <v>2.6447414943805914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2.96</v>
      </c>
      <c r="G48">
        <v>3175</v>
      </c>
      <c r="H48">
        <v>3175.1979999999999</v>
      </c>
      <c r="I48">
        <f>$X$8*H48/$W$8</f>
        <v>0.66913398388067191</v>
      </c>
      <c r="J48">
        <f>I48/(2/0.2)*3</f>
        <v>0.20074019516420155</v>
      </c>
      <c r="K48">
        <v>0.14974138961216016</v>
      </c>
      <c r="L48" s="1">
        <f t="shared" si="0"/>
        <v>1.3405792191733468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2.96</v>
      </c>
      <c r="G49">
        <v>5511</v>
      </c>
      <c r="H49">
        <v>5510.643</v>
      </c>
      <c r="I49">
        <f>$X$8*H49/$W$8</f>
        <v>1.161300336021293</v>
      </c>
      <c r="J49">
        <f>I49/(2/0.2)*3</f>
        <v>0.34839010080638788</v>
      </c>
      <c r="K49">
        <v>0.19965083810636269</v>
      </c>
      <c r="L49" s="1">
        <f t="shared" si="0"/>
        <v>1.7449969362051228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2.97</v>
      </c>
      <c r="G50">
        <v>5888</v>
      </c>
      <c r="H50">
        <v>5888.4740000000002</v>
      </c>
      <c r="I50">
        <f>$X$8*H50/$W$8</f>
        <v>1.2409235791272719</v>
      </c>
      <c r="J50">
        <f>I50/(2/0.2)*3</f>
        <v>0.37227707373818153</v>
      </c>
      <c r="K50">
        <v>0.22058060682973793</v>
      </c>
      <c r="L50" s="1">
        <f t="shared" si="0"/>
        <v>1.6877144327811886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2.97</v>
      </c>
      <c r="G51">
        <v>6499</v>
      </c>
      <c r="H51">
        <v>6499.433</v>
      </c>
      <c r="I51">
        <f>$X$8*H51/$W$8</f>
        <v>1.3696756851873513</v>
      </c>
      <c r="J51">
        <f>I51/(2/0.2)*3</f>
        <v>0.41090270555620534</v>
      </c>
      <c r="K51">
        <v>0.12720163867929454</v>
      </c>
      <c r="L51" s="1">
        <f t="shared" si="0"/>
        <v>3.2303255667341548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2.97</v>
      </c>
      <c r="G52">
        <v>4848</v>
      </c>
      <c r="H52">
        <v>4847.8680000000004</v>
      </c>
      <c r="I52">
        <f>$X$8*H52/$W$8</f>
        <v>1.021628644313717</v>
      </c>
      <c r="J52">
        <f>I52/(2/0.2)*3</f>
        <v>0.30648859329411515</v>
      </c>
      <c r="K52">
        <v>0.1594012828691026</v>
      </c>
      <c r="L52" s="1">
        <f t="shared" si="0"/>
        <v>1.9227485988666599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2.97</v>
      </c>
      <c r="G53">
        <v>6192</v>
      </c>
      <c r="H53">
        <v>6191.5</v>
      </c>
      <c r="I53">
        <f>$X$8*H53/$W$8</f>
        <v>1.3047825871637548</v>
      </c>
      <c r="J53">
        <f>I53/(2/0.2)*3</f>
        <v>0.39143477614912642</v>
      </c>
      <c r="K53">
        <v>0.14491144298368897</v>
      </c>
      <c r="L53" s="1">
        <f t="shared" si="0"/>
        <v>2.7011999058844909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2.96</v>
      </c>
      <c r="G54">
        <v>5971</v>
      </c>
      <c r="H54">
        <v>5970.9690000000001</v>
      </c>
      <c r="I54">
        <f>$X$8*H54/$W$8</f>
        <v>1.2583083872558474</v>
      </c>
      <c r="J54">
        <f>I54/(2/0.2)*3</f>
        <v>0.37749251617675417</v>
      </c>
      <c r="K54">
        <v>0.24553533107683917</v>
      </c>
      <c r="L54" s="1">
        <f t="shared" si="0"/>
        <v>1.5374264653530436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2.96</v>
      </c>
      <c r="G55">
        <v>10062</v>
      </c>
      <c r="H55">
        <v>10061.862999999999</v>
      </c>
      <c r="I55">
        <f>$X$8*H55/$W$8</f>
        <v>2.1204140574702834</v>
      </c>
      <c r="J55">
        <f>I55/(2/0.2)*3</f>
        <v>0.63612421724108503</v>
      </c>
      <c r="K55">
        <v>0.3002747261995129</v>
      </c>
      <c r="L55" s="1">
        <f t="shared" si="0"/>
        <v>2.1184740563826945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2.96</v>
      </c>
      <c r="G56">
        <v>4762</v>
      </c>
      <c r="H56">
        <v>4761.9009999999998</v>
      </c>
      <c r="I56">
        <f>$X$8*H56/$W$8</f>
        <v>1.0035121548247874</v>
      </c>
      <c r="J56">
        <f>I56/(2/0.2)*3</f>
        <v>0.30105364644743626</v>
      </c>
      <c r="K56">
        <v>0.17147614944028067</v>
      </c>
      <c r="L56" s="1">
        <f t="shared" si="0"/>
        <v>1.7556590081484367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2.96</v>
      </c>
      <c r="G57">
        <v>7714</v>
      </c>
      <c r="H57">
        <v>7713.5</v>
      </c>
      <c r="I57">
        <f>$X$8*H57/$W$8</f>
        <v>1.6255253954756721</v>
      </c>
      <c r="J57">
        <f>I57/(2/0.2)*3</f>
        <v>0.48765761864270163</v>
      </c>
      <c r="K57">
        <v>0.18113604269722305</v>
      </c>
      <c r="L57" s="1">
        <f t="shared" si="0"/>
        <v>2.6922174702571096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2.96</v>
      </c>
      <c r="G58">
        <v>10677</v>
      </c>
      <c r="H58">
        <v>10676.835999999999</v>
      </c>
      <c r="I58">
        <f>$X$8*H58/$W$8</f>
        <v>2.2500120647344124</v>
      </c>
      <c r="J58">
        <f>I58/(2/0.2)*3</f>
        <v>0.67500361942032372</v>
      </c>
      <c r="K58">
        <v>8.2927127918308433E-2</v>
      </c>
      <c r="L58" s="1">
        <f t="shared" si="0"/>
        <v>8.1397202141773217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2.97</v>
      </c>
      <c r="G59">
        <v>11547</v>
      </c>
      <c r="H59">
        <v>11546.728999999999</v>
      </c>
      <c r="I59">
        <f>$X$8*H59/$W$8</f>
        <v>2.4333313313250029</v>
      </c>
      <c r="J59">
        <f>I59/(2/0.2)*3</f>
        <v>0.72999939939750091</v>
      </c>
      <c r="K59">
        <v>0.11593176321286171</v>
      </c>
      <c r="L59" s="1">
        <f t="shared" si="0"/>
        <v>6.2968023530975961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2.96</v>
      </c>
      <c r="G60">
        <v>4173</v>
      </c>
      <c r="H60">
        <v>4173.491</v>
      </c>
      <c r="I60">
        <f>$X$8*H60/$W$8</f>
        <v>0.87951197359034916</v>
      </c>
      <c r="J60">
        <f>I60/(2/0.2)*3</f>
        <v>0.26385359207710479</v>
      </c>
      <c r="K60">
        <v>0.17469611385926145</v>
      </c>
      <c r="L60" s="1">
        <f t="shared" si="0"/>
        <v>1.5103575359991712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2.96</v>
      </c>
      <c r="G61">
        <v>6250</v>
      </c>
      <c r="H61">
        <v>6249.7460000000001</v>
      </c>
      <c r="I61">
        <f>$X$8*H61/$W$8</f>
        <v>1.3170572163443961</v>
      </c>
      <c r="J61">
        <f>I61/(2/0.2)*3</f>
        <v>0.39511716490331883</v>
      </c>
      <c r="K61">
        <v>0.17952606048773259</v>
      </c>
      <c r="L61" s="1">
        <f t="shared" si="0"/>
        <v>2.2008902987670589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2.97</v>
      </c>
      <c r="G62">
        <v>6746</v>
      </c>
      <c r="H62">
        <v>6746.0540000000001</v>
      </c>
      <c r="I62">
        <f>$X$8*H62/$W$8</f>
        <v>1.4216480321838645</v>
      </c>
      <c r="J62">
        <f>I62/(2/0.2)*3</f>
        <v>0.42649440965515939</v>
      </c>
      <c r="K62">
        <v>0.19723586479212707</v>
      </c>
      <c r="L62" s="1">
        <f t="shared" si="0"/>
        <v>2.1623572878322861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2.96</v>
      </c>
      <c r="G63">
        <v>10399</v>
      </c>
      <c r="H63">
        <v>10398.84</v>
      </c>
      <c r="I63">
        <f>$X$8*H63/$W$8</f>
        <v>2.1914278218043997</v>
      </c>
      <c r="J63">
        <f>I63/(2/0.2)*3</f>
        <v>0.65742834654131999</v>
      </c>
      <c r="K63">
        <v>0.28417490410460888</v>
      </c>
      <c r="L63" s="1">
        <f t="shared" si="0"/>
        <v>2.3134637754617176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2.96</v>
      </c>
      <c r="G64">
        <v>2737</v>
      </c>
      <c r="H64">
        <v>2737.4349999999999</v>
      </c>
      <c r="I64">
        <f>$X$8*H64/$W$8</f>
        <v>0.57688080779982454</v>
      </c>
      <c r="J64">
        <f>I64/(2/0.2)*3</f>
        <v>0.17306424233994738</v>
      </c>
      <c r="K64">
        <v>0.17872106938298743</v>
      </c>
      <c r="L64" s="1">
        <f t="shared" si="0"/>
        <v>0.96834829232742647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2.97</v>
      </c>
      <c r="G65">
        <v>5402</v>
      </c>
      <c r="H65">
        <v>5402.2719999999999</v>
      </c>
      <c r="I65">
        <f>$X$8*H65/$W$8</f>
        <v>1.1384624786759772</v>
      </c>
      <c r="J65">
        <f>I65/(2/0.2)*3</f>
        <v>0.34153874360279313</v>
      </c>
      <c r="K65">
        <v>0.19884584700161748</v>
      </c>
      <c r="L65" s="1">
        <f t="shared" si="0"/>
        <v>1.7176056163748541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2.96</v>
      </c>
      <c r="G66">
        <v>5097</v>
      </c>
      <c r="H66">
        <v>5096.6610000000001</v>
      </c>
      <c r="I66">
        <f>$X$8*H66/$W$8</f>
        <v>1.0740587136358897</v>
      </c>
      <c r="J66">
        <f>I66/(2/0.2)*3</f>
        <v>0.32221761409076688</v>
      </c>
      <c r="K66">
        <v>0.17469611385926145</v>
      </c>
      <c r="L66" s="1">
        <f t="shared" si="0"/>
        <v>1.84444637589564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2.96</v>
      </c>
      <c r="G67">
        <v>6011</v>
      </c>
      <c r="H67">
        <v>6011.2129999999997</v>
      </c>
      <c r="I67">
        <f>$X$8*H67/$W$8</f>
        <v>1.2667893160191224</v>
      </c>
      <c r="J67">
        <f>I67/(2/0.2)*3</f>
        <v>0.38003679480573671</v>
      </c>
      <c r="K67">
        <v>0.24875529549582001</v>
      </c>
      <c r="L67" s="1">
        <f t="shared" si="0"/>
        <v>1.5277535863035434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2.97</v>
      </c>
      <c r="G68">
        <v>5308</v>
      </c>
      <c r="H68">
        <v>5308.4750000000004</v>
      </c>
      <c r="I68">
        <f>$X$8*H68/$W$8</f>
        <v>1.1186959128473091</v>
      </c>
      <c r="J68">
        <f>I68/(2/0.2)*3</f>
        <v>0.33560877385419274</v>
      </c>
      <c r="K68">
        <v>0.18274602490671343</v>
      </c>
      <c r="L68" s="1">
        <f t="shared" si="0"/>
        <v>1.8364764652227665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2.96</v>
      </c>
      <c r="G69">
        <v>11279</v>
      </c>
      <c r="H69">
        <v>11278.870999999999</v>
      </c>
      <c r="I69">
        <f>$X$8*H69/$W$8</f>
        <v>2.3768835473901713</v>
      </c>
      <c r="J69">
        <f>I69/(2/0.2)*3</f>
        <v>0.71306506421705129</v>
      </c>
      <c r="K69">
        <v>0.10063693222270288</v>
      </c>
      <c r="L69" s="1">
        <f t="shared" si="0"/>
        <v>7.085520677827156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2.97</v>
      </c>
      <c r="G70">
        <v>3733</v>
      </c>
      <c r="H70">
        <v>3732.6410000000001</v>
      </c>
      <c r="I70">
        <f>$X$8*H70/$W$8</f>
        <v>0.78660825017096103</v>
      </c>
      <c r="J70">
        <f>I70/(2/0.2)*3</f>
        <v>0.23598247505128833</v>
      </c>
      <c r="K70">
        <v>0.12156670094607813</v>
      </c>
      <c r="L70" s="1">
        <f t="shared" si="0"/>
        <v>1.941176927684829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2.96</v>
      </c>
      <c r="G71">
        <v>3329</v>
      </c>
      <c r="H71">
        <v>3329.0940000000001</v>
      </c>
      <c r="I71">
        <f>$X$8*H71/$W$8</f>
        <v>0.70156567588328089</v>
      </c>
      <c r="J71">
        <f>I71/(2/0.2)*3</f>
        <v>0.21046970276498425</v>
      </c>
      <c r="K71">
        <v>8.8562065651524843E-2</v>
      </c>
      <c r="L71" s="1">
        <f t="shared" si="0"/>
        <v>2.3765220607335782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2.97</v>
      </c>
      <c r="G72">
        <v>4408</v>
      </c>
      <c r="H72">
        <v>4408.4979999999996</v>
      </c>
      <c r="I72">
        <f>$X$8*H72/$W$8</f>
        <v>0.92903681271844285</v>
      </c>
      <c r="J72">
        <f>I72/(2/0.2)*3</f>
        <v>0.27871104381553286</v>
      </c>
      <c r="K72">
        <v>0.13766652304098212</v>
      </c>
      <c r="L72" s="1">
        <f t="shared" si="0"/>
        <v>2.0245375394028295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2.97</v>
      </c>
      <c r="G73">
        <v>3021</v>
      </c>
      <c r="H73">
        <v>3021.107</v>
      </c>
      <c r="I73">
        <f>$X$8*H73/$W$8</f>
        <v>0.63666119802285881</v>
      </c>
      <c r="J73">
        <f>I73/(2/0.2)*3</f>
        <v>0.19099835940685767</v>
      </c>
      <c r="K73">
        <v>8.2122136813563229E-2</v>
      </c>
      <c r="L73" s="1">
        <f t="shared" ref="L73" si="1">J73/K73</f>
        <v>2.3257840920587509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2.94</v>
      </c>
      <c r="G74">
        <v>196</v>
      </c>
      <c r="H74">
        <v>195.595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E341-75C9-4EE8-AC71-7546D20EEF03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257</v>
      </c>
      <c r="P3" t="s">
        <v>87</v>
      </c>
    </row>
    <row r="5" spans="1:28" x14ac:dyDescent="0.3">
      <c r="A5" t="s">
        <v>88</v>
      </c>
      <c r="P5" t="s">
        <v>88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3.15</v>
      </c>
      <c r="G8">
        <v>19730</v>
      </c>
      <c r="H8">
        <v>19730.333999999999</v>
      </c>
      <c r="I8" cm="1">
        <f t="array" ref="I8">TREND($X$8:$X$12,$W$8:$W$12,H8)</f>
        <v>2.8898018804540739</v>
      </c>
      <c r="J8">
        <f>I8/(2/0.2)*3</f>
        <v>0.86694056413622211</v>
      </c>
      <c r="K8">
        <v>0.10224691443219328</v>
      </c>
      <c r="L8" s="1">
        <f>J8/K8</f>
        <v>8.4788921890757685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3.14</v>
      </c>
      <c r="V8">
        <v>8588</v>
      </c>
      <c r="W8">
        <v>8588.1550000000007</v>
      </c>
      <c r="X8">
        <v>1</v>
      </c>
      <c r="Y8">
        <v>1.0640000000000001</v>
      </c>
      <c r="Z8">
        <v>6.4</v>
      </c>
      <c r="AA8">
        <v>41</v>
      </c>
      <c r="AB8">
        <v>124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3.15</v>
      </c>
      <c r="G9">
        <v>15740</v>
      </c>
      <c r="H9">
        <v>15740.344999999999</v>
      </c>
      <c r="I9" cm="1">
        <f t="array" ref="I9">TREND($X$8:$X$12,$W$8:$W$12,H9)</f>
        <v>2.2103089720787432</v>
      </c>
      <c r="J9">
        <f>I9/(2/0.2)*3</f>
        <v>0.66309269162362305</v>
      </c>
      <c r="K9">
        <v>0.12639664757454935</v>
      </c>
      <c r="L9" s="1">
        <f t="shared" ref="L9:L72" si="0">J9/K9</f>
        <v>5.2461256239610927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3.15</v>
      </c>
      <c r="V9">
        <v>14487</v>
      </c>
      <c r="W9">
        <v>14487.477000000001</v>
      </c>
      <c r="X9">
        <v>2</v>
      </c>
      <c r="Y9">
        <v>2.0329999999999999</v>
      </c>
      <c r="Z9">
        <v>1.6</v>
      </c>
      <c r="AA9">
        <v>105</v>
      </c>
      <c r="AB9">
        <v>132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3.15</v>
      </c>
      <c r="G10">
        <v>23846</v>
      </c>
      <c r="H10">
        <v>23846.15</v>
      </c>
      <c r="I10" cm="1">
        <f t="array" ref="I10">TREND($X$8:$X$12,$W$8:$W$12,H10)</f>
        <v>3.5907230569730375</v>
      </c>
      <c r="J10">
        <f>I10/(2/0.2)*3</f>
        <v>1.0772169170919113</v>
      </c>
      <c r="K10">
        <v>0.15054638071690538</v>
      </c>
      <c r="L10" s="1">
        <f t="shared" si="0"/>
        <v>7.155382360985227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3.15</v>
      </c>
      <c r="V10">
        <v>31347</v>
      </c>
      <c r="W10">
        <v>31346.912</v>
      </c>
      <c r="X10">
        <v>5</v>
      </c>
      <c r="Y10">
        <v>4.8029999999999999</v>
      </c>
      <c r="Z10">
        <v>-3.9</v>
      </c>
      <c r="AA10">
        <v>131</v>
      </c>
      <c r="AB10">
        <v>466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3.15</v>
      </c>
      <c r="G11">
        <v>28158</v>
      </c>
      <c r="H11">
        <v>28157.734</v>
      </c>
      <c r="I11" cm="1">
        <f t="array" ref="I11">TREND($X$8:$X$12,$W$8:$W$12,H11)</f>
        <v>4.324983415050351</v>
      </c>
      <c r="J11">
        <f>I11/(2/0.2)*3</f>
        <v>1.2974950245151051</v>
      </c>
      <c r="K11">
        <v>0.14893639850741497</v>
      </c>
      <c r="L11" s="1">
        <f t="shared" si="0"/>
        <v>8.7117389537958232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3.15</v>
      </c>
      <c r="V11">
        <v>62806</v>
      </c>
      <c r="W11">
        <v>62805.663999999997</v>
      </c>
      <c r="X11">
        <v>10</v>
      </c>
      <c r="Y11">
        <v>9.9819999999999993</v>
      </c>
      <c r="Z11">
        <v>-0.2</v>
      </c>
      <c r="AA11">
        <v>438</v>
      </c>
      <c r="AB11">
        <v>701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3.15</v>
      </c>
      <c r="G12">
        <v>23503</v>
      </c>
      <c r="H12">
        <v>23503.437999999998</v>
      </c>
      <c r="I12" cm="1">
        <f t="array" ref="I12">TREND($X$8:$X$12,$W$8:$W$12,H12)</f>
        <v>3.5323593939115288</v>
      </c>
      <c r="J12">
        <f>I12/(2/0.2)*3</f>
        <v>1.0597078181734587</v>
      </c>
      <c r="K12">
        <v>4.0262599366812736E-2</v>
      </c>
      <c r="L12" s="1">
        <f t="shared" si="0"/>
        <v>26.319905690116581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3.15</v>
      </c>
      <c r="V12">
        <v>119715</v>
      </c>
      <c r="W12">
        <v>119715.109</v>
      </c>
      <c r="X12">
        <v>20</v>
      </c>
      <c r="Y12">
        <v>19.376999999999999</v>
      </c>
      <c r="Z12">
        <v>-3.1</v>
      </c>
      <c r="AA12">
        <v>718</v>
      </c>
      <c r="AB12">
        <v>2066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3.15</v>
      </c>
      <c r="G13">
        <v>26677</v>
      </c>
      <c r="H13">
        <v>26677.287</v>
      </c>
      <c r="I13" cm="1">
        <f t="array" ref="I13">TREND($X$8:$X$12,$W$8:$W$12,H13)</f>
        <v>4.0728641140383601</v>
      </c>
      <c r="J13">
        <f>I13/(2/0.2)*3</f>
        <v>1.2218592342115082</v>
      </c>
      <c r="K13">
        <v>0.11351678989862611</v>
      </c>
      <c r="L13" s="1">
        <f t="shared" si="0"/>
        <v>10.763687339138686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3.15</v>
      </c>
      <c r="V13">
        <v>315778</v>
      </c>
      <c r="W13">
        <v>315778.06300000002</v>
      </c>
      <c r="X13">
        <v>50</v>
      </c>
      <c r="Y13">
        <v>52.023000000000003</v>
      </c>
      <c r="Z13">
        <v>4</v>
      </c>
      <c r="AA13">
        <v>2913</v>
      </c>
      <c r="AB13">
        <v>2656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3.15</v>
      </c>
      <c r="G14">
        <v>14113</v>
      </c>
      <c r="H14">
        <v>14113.112999999999</v>
      </c>
      <c r="I14" cm="1">
        <f t="array" ref="I14">TREND($X$8:$X$12,$W$8:$W$12,H14)</f>
        <v>1.933192267175194</v>
      </c>
      <c r="J14">
        <f>I14/(2/0.2)*3</f>
        <v>0.57995768015255811</v>
      </c>
      <c r="K14">
        <v>0.10144192332744809</v>
      </c>
      <c r="L14" s="1">
        <f t="shared" si="0"/>
        <v>5.7171400258302629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3.15</v>
      </c>
      <c r="V14">
        <v>537689</v>
      </c>
      <c r="W14">
        <v>537688.68799999997</v>
      </c>
      <c r="X14">
        <v>100</v>
      </c>
      <c r="Y14">
        <v>89.513999999999996</v>
      </c>
      <c r="Z14">
        <v>-10.5</v>
      </c>
      <c r="AA14">
        <v>2879</v>
      </c>
      <c r="AB14">
        <v>6868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3.15</v>
      </c>
      <c r="G15">
        <v>12928</v>
      </c>
      <c r="H15">
        <v>12928.022999999999</v>
      </c>
      <c r="I15" cm="1">
        <f t="array" ref="I15">TREND($X$8:$X$12,$W$8:$W$12,H15)</f>
        <v>1.7313720990527952</v>
      </c>
      <c r="J15">
        <f>I15/(2/0.2)*3</f>
        <v>0.51941162971583865</v>
      </c>
      <c r="K15">
        <v>8.3732119023053622E-2</v>
      </c>
      <c r="L15" s="1">
        <f t="shared" si="0"/>
        <v>6.2032543279220151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3.15</v>
      </c>
      <c r="V15">
        <v>1242522</v>
      </c>
      <c r="W15">
        <v>1242521.75</v>
      </c>
      <c r="X15">
        <v>200</v>
      </c>
      <c r="Y15">
        <v>212.71700000000001</v>
      </c>
      <c r="Z15">
        <v>6.4</v>
      </c>
      <c r="AA15">
        <v>8711</v>
      </c>
      <c r="AB15">
        <v>16732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3.15</v>
      </c>
      <c r="G16">
        <v>61151</v>
      </c>
      <c r="H16">
        <v>61151.358999999997</v>
      </c>
      <c r="I16" cm="1">
        <f t="array" ref="I16">TREND($X$8:$X$12,$W$8:$W$12,H16)</f>
        <v>9.9437794089979619</v>
      </c>
      <c r="J16">
        <f>I16/(2/0.2)*3</f>
        <v>2.9831338226993882</v>
      </c>
      <c r="K16">
        <v>0.22299558014397355</v>
      </c>
      <c r="L16" s="1">
        <f t="shared" si="0"/>
        <v>13.377546858881129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3.15</v>
      </c>
      <c r="V16">
        <v>2723479</v>
      </c>
      <c r="W16">
        <v>2723479</v>
      </c>
      <c r="X16">
        <v>500</v>
      </c>
      <c r="Y16">
        <v>496.47199999999998</v>
      </c>
      <c r="Z16">
        <v>-0.7</v>
      </c>
      <c r="AA16">
        <v>16131</v>
      </c>
      <c r="AB16">
        <v>17443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3.15</v>
      </c>
      <c r="G17">
        <v>63717</v>
      </c>
      <c r="H17">
        <v>63717.258000000002</v>
      </c>
      <c r="I17" cm="1">
        <f t="array" ref="I17">TREND($X$8:$X$12,$W$8:$W$12,H17)</f>
        <v>10.380750582128353</v>
      </c>
      <c r="J17">
        <f>I17/(2/0.2)*3</f>
        <v>3.1142251746385057</v>
      </c>
      <c r="K17">
        <v>0.1175417454223521</v>
      </c>
      <c r="L17" s="1">
        <f t="shared" si="0"/>
        <v>26.494631021927084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3.15</v>
      </c>
      <c r="G18">
        <v>29816</v>
      </c>
      <c r="H18">
        <v>29815.518</v>
      </c>
      <c r="I18" cm="1">
        <f t="array" ref="I18">TREND($X$8:$X$12,$W$8:$W$12,H18)</f>
        <v>4.6073031085678249</v>
      </c>
      <c r="J18">
        <f>I18/(2/0.2)*3</f>
        <v>1.3821909325703476</v>
      </c>
      <c r="K18">
        <v>0.11351678989862611</v>
      </c>
      <c r="L18" s="1">
        <f t="shared" si="0"/>
        <v>12.176092486447912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3.15</v>
      </c>
      <c r="G19">
        <v>35591</v>
      </c>
      <c r="H19">
        <v>35590.605000000003</v>
      </c>
      <c r="I19" cm="1">
        <f t="array" ref="I19">TREND($X$8:$X$12,$W$8:$W$12,H19)</f>
        <v>5.5907972138775301</v>
      </c>
      <c r="J19">
        <f>I19/(2/0.2)*3</f>
        <v>1.6772391641632589</v>
      </c>
      <c r="K19">
        <v>8.4537110127798853E-2</v>
      </c>
      <c r="L19" s="1">
        <f t="shared" si="0"/>
        <v>19.840270877815612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3.15</v>
      </c>
      <c r="G20">
        <v>37030</v>
      </c>
      <c r="H20">
        <v>37030.406000000003</v>
      </c>
      <c r="I20" cm="1">
        <f t="array" ref="I20">TREND($X$8:$X$12,$W$8:$W$12,H20)</f>
        <v>5.8359945236875852</v>
      </c>
      <c r="J20">
        <f>I20/(2/0.2)*3</f>
        <v>1.7507983571062757</v>
      </c>
      <c r="K20">
        <v>0.1078818521654097</v>
      </c>
      <c r="L20" s="1">
        <f t="shared" si="0"/>
        <v>16.228849634708407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3.15</v>
      </c>
      <c r="G21">
        <v>42549</v>
      </c>
      <c r="H21">
        <v>42548.586000000003</v>
      </c>
      <c r="I21" cm="1">
        <f t="array" ref="I21">TREND($X$8:$X$12,$W$8:$W$12,H21)</f>
        <v>6.7757375097305506</v>
      </c>
      <c r="J21">
        <f>I21/(2/0.2)*3</f>
        <v>2.0327212529191652</v>
      </c>
      <c r="K21">
        <v>0.14813140740266978</v>
      </c>
      <c r="L21" s="1">
        <f t="shared" si="0"/>
        <v>13.722419091000477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3.15</v>
      </c>
      <c r="G22">
        <v>34419</v>
      </c>
      <c r="H22">
        <v>34418.671999999999</v>
      </c>
      <c r="I22" cm="1">
        <f t="array" ref="I22">TREND($X$8:$X$12,$W$8:$W$12,H22)</f>
        <v>5.391217675540199</v>
      </c>
      <c r="J22">
        <f>I22/(2/0.2)*3</f>
        <v>1.6173653026620596</v>
      </c>
      <c r="K22">
        <v>6.6022314718659172E-2</v>
      </c>
      <c r="L22" s="1">
        <f t="shared" si="0"/>
        <v>24.497252323765636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3.14</v>
      </c>
      <c r="G23">
        <v>20267</v>
      </c>
      <c r="H23">
        <v>20267.453000000001</v>
      </c>
      <c r="I23" cm="1">
        <f t="array" ref="I23">TREND($X$8:$X$12,$W$8:$W$12,H23)</f>
        <v>2.9812729475306128</v>
      </c>
      <c r="J23">
        <f>I23/(2/0.2)*3</f>
        <v>0.89438188425918375</v>
      </c>
      <c r="K23">
        <v>0.22621554456295434</v>
      </c>
      <c r="L23" s="1">
        <f t="shared" si="0"/>
        <v>3.9536712032195602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3.15</v>
      </c>
      <c r="G24">
        <v>29372</v>
      </c>
      <c r="H24">
        <v>29371.657999999999</v>
      </c>
      <c r="I24" cm="1">
        <f t="array" ref="I24">TREND($X$8:$X$12,$W$8:$W$12,H24)</f>
        <v>4.5317139973418348</v>
      </c>
      <c r="J24">
        <f>I24/(2/0.2)*3</f>
        <v>1.3595141992025503</v>
      </c>
      <c r="K24">
        <v>0.21897062462024752</v>
      </c>
      <c r="L24" s="1">
        <f t="shared" si="0"/>
        <v>6.2086601870013585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3.15</v>
      </c>
      <c r="G25">
        <v>27425</v>
      </c>
      <c r="H25">
        <v>27424.93</v>
      </c>
      <c r="I25" cm="1">
        <f t="array" ref="I25">TREND($X$8:$X$12,$W$8:$W$12,H25)</f>
        <v>4.2001873012693167</v>
      </c>
      <c r="J25">
        <f>I25/(2/0.2)*3</f>
        <v>1.2600561903807952</v>
      </c>
      <c r="K25">
        <v>0.11271179879388092</v>
      </c>
      <c r="L25" s="1">
        <f t="shared" si="0"/>
        <v>11.179452407507874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3.15</v>
      </c>
      <c r="G26">
        <v>43496</v>
      </c>
      <c r="H26">
        <v>43495.684000000001</v>
      </c>
      <c r="I26" cm="1">
        <f t="array" ref="I26">TREND($X$8:$X$12,$W$8:$W$12,H26)</f>
        <v>6.9370277725699863</v>
      </c>
      <c r="J26">
        <f>I26/(2/0.2)*3</f>
        <v>2.081108331770996</v>
      </c>
      <c r="K26">
        <v>9.1782030070505644E-2</v>
      </c>
      <c r="L26" s="1">
        <f t="shared" si="0"/>
        <v>22.67446394650803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3.15</v>
      </c>
      <c r="G27">
        <v>28819</v>
      </c>
      <c r="H27">
        <v>28819.141</v>
      </c>
      <c r="I27" cm="1">
        <f t="array" ref="I27">TREND($X$8:$X$12,$W$8:$W$12,H27)</f>
        <v>4.4376206594261633</v>
      </c>
      <c r="J27">
        <f>I27/(2/0.2)*3</f>
        <v>1.3312861978278492</v>
      </c>
      <c r="K27">
        <v>0.16584121170706426</v>
      </c>
      <c r="L27" s="1">
        <f t="shared" si="0"/>
        <v>8.0274751017822012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3.15</v>
      </c>
      <c r="G28">
        <v>32716</v>
      </c>
      <c r="H28">
        <v>32715.991999999998</v>
      </c>
      <c r="I28" cm="1">
        <f t="array" ref="I28">TREND($X$8:$X$12,$W$8:$W$12,H28)</f>
        <v>5.1012522181836726</v>
      </c>
      <c r="J28">
        <f>I28/(2/0.2)*3</f>
        <v>1.530375665455102</v>
      </c>
      <c r="K28">
        <v>0.20850574025855992</v>
      </c>
      <c r="L28" s="1">
        <f t="shared" si="0"/>
        <v>7.3397291775149318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3.15</v>
      </c>
      <c r="G29">
        <v>49855</v>
      </c>
      <c r="H29">
        <v>49854.667999999998</v>
      </c>
      <c r="I29" cm="1">
        <f t="array" ref="I29">TREND($X$8:$X$12,$W$8:$W$12,H29)</f>
        <v>8.019959212348942</v>
      </c>
      <c r="J29">
        <f>I29/(2/0.2)*3</f>
        <v>2.4059877637046823</v>
      </c>
      <c r="K29">
        <v>0.15457133624063138</v>
      </c>
      <c r="L29" s="1">
        <f t="shared" si="0"/>
        <v>15.565549358770649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3.15</v>
      </c>
      <c r="G30">
        <v>52150</v>
      </c>
      <c r="H30">
        <v>52149.633000000002</v>
      </c>
      <c r="I30" cm="1">
        <f t="array" ref="I30">TREND($X$8:$X$12,$W$8:$W$12,H30)</f>
        <v>8.4107904759112202</v>
      </c>
      <c r="J30">
        <f>I30/(2/0.2)*3</f>
        <v>2.5232371427733664</v>
      </c>
      <c r="K30">
        <v>0.22863051787718996</v>
      </c>
      <c r="L30" s="1">
        <f t="shared" si="0"/>
        <v>11.036309440232891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3.15</v>
      </c>
      <c r="G31">
        <v>31618</v>
      </c>
      <c r="H31">
        <v>31618.493999999999</v>
      </c>
      <c r="I31" cm="1">
        <f t="array" ref="I31">TREND($X$8:$X$12,$W$8:$W$12,H31)</f>
        <v>4.9143489189625198</v>
      </c>
      <c r="J31">
        <f>I31/(2/0.2)*3</f>
        <v>1.4743046756887561</v>
      </c>
      <c r="K31">
        <v>0.19079593595416544</v>
      </c>
      <c r="L31" s="1">
        <f t="shared" si="0"/>
        <v>7.7271282971295872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3.15</v>
      </c>
      <c r="G32">
        <v>52941</v>
      </c>
      <c r="H32">
        <v>52940.902000000002</v>
      </c>
      <c r="I32" cm="1">
        <f t="array" ref="I32">TREND($X$8:$X$12,$W$8:$W$12,H32)</f>
        <v>8.5455431466873151</v>
      </c>
      <c r="J32">
        <f>I32/(2/0.2)*3</f>
        <v>2.5636629440061949</v>
      </c>
      <c r="K32">
        <v>0.13122659420302052</v>
      </c>
      <c r="L32" s="1">
        <f t="shared" si="0"/>
        <v>19.536153929591091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3.15</v>
      </c>
      <c r="G33">
        <v>29365</v>
      </c>
      <c r="H33">
        <v>29365.407999999999</v>
      </c>
      <c r="I33" cm="1">
        <f t="array" ref="I33">TREND($X$8:$X$12,$W$8:$W$12,H33)</f>
        <v>4.5306496258166638</v>
      </c>
      <c r="J33">
        <f>I33/(2/0.2)*3</f>
        <v>1.3591948877449993</v>
      </c>
      <c r="K33">
        <v>0.13927650525047255</v>
      </c>
      <c r="L33" s="1">
        <f t="shared" si="0"/>
        <v>9.758967496352998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3.15</v>
      </c>
      <c r="G34">
        <v>52456</v>
      </c>
      <c r="H34">
        <v>52455.883000000002</v>
      </c>
      <c r="I34" cm="1">
        <f t="array" ref="I34">TREND($X$8:$X$12,$W$8:$W$12,H34)</f>
        <v>8.462944680644604</v>
      </c>
      <c r="J34">
        <f>I34/(2/0.2)*3</f>
        <v>2.5388834041933812</v>
      </c>
      <c r="K34">
        <v>9.7416967803722054E-2</v>
      </c>
      <c r="L34" s="1">
        <f t="shared" si="0"/>
        <v>26.062024526453975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3.15</v>
      </c>
      <c r="G35">
        <v>28814</v>
      </c>
      <c r="H35">
        <v>28813.596000000001</v>
      </c>
      <c r="I35" cm="1">
        <f t="array" ref="I35">TREND($X$8:$X$12,$W$8:$W$12,H35)</f>
        <v>4.4366763490090317</v>
      </c>
      <c r="J35">
        <f>I35/(2/0.2)*3</f>
        <v>1.3310029047027094</v>
      </c>
      <c r="K35">
        <v>7.4877216870856411E-2</v>
      </c>
      <c r="L35" s="1">
        <f t="shared" si="0"/>
        <v>17.775806317672583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3.15</v>
      </c>
      <c r="G36">
        <v>52595</v>
      </c>
      <c r="H36">
        <v>52595.175999999999</v>
      </c>
      <c r="I36" cm="1">
        <f t="array" ref="I36">TREND($X$8:$X$12,$W$8:$W$12,H36)</f>
        <v>8.4866662011015084</v>
      </c>
      <c r="J36">
        <f>I36/(2/0.2)*3</f>
        <v>2.5459998603304523</v>
      </c>
      <c r="K36">
        <v>0.14491144298368897</v>
      </c>
      <c r="L36" s="1">
        <f t="shared" si="0"/>
        <v>17.569349996859991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3.15</v>
      </c>
      <c r="G37">
        <v>45344</v>
      </c>
      <c r="H37">
        <v>45343.59</v>
      </c>
      <c r="I37" cm="1">
        <f t="array" ref="I37">TREND($X$8:$X$12,$W$8:$W$12,H37)</f>
        <v>7.251725136984831</v>
      </c>
      <c r="J37">
        <f>I37/(2/0.2)*3</f>
        <v>2.1755175410954495</v>
      </c>
      <c r="K37">
        <v>0.14571643408843418</v>
      </c>
      <c r="L37" s="1">
        <f t="shared" si="0"/>
        <v>14.929802219666895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3.15</v>
      </c>
      <c r="G38">
        <v>64829</v>
      </c>
      <c r="H38">
        <v>64829.167999999998</v>
      </c>
      <c r="I38" cm="1">
        <f t="array" ref="I38">TREND($X$8:$X$12,$W$8:$W$12,H38)</f>
        <v>10.570108236936827</v>
      </c>
      <c r="J38">
        <f>I38/(2/0.2)*3</f>
        <v>3.1710324710810478</v>
      </c>
      <c r="K38">
        <v>0.26405012648597881</v>
      </c>
      <c r="L38" s="1">
        <f t="shared" si="0"/>
        <v>12.009206408198525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3.15</v>
      </c>
      <c r="G39">
        <v>50664</v>
      </c>
      <c r="H39">
        <v>50663.703000000001</v>
      </c>
      <c r="I39" cm="1">
        <f t="array" ref="I39">TREND($X$8:$X$12,$W$8:$W$12,H39)</f>
        <v>8.1577374230476263</v>
      </c>
      <c r="J39">
        <f>I39/(2/0.2)*3</f>
        <v>2.4473212269142879</v>
      </c>
      <c r="K39">
        <v>0.17469611385926145</v>
      </c>
      <c r="L39" s="1">
        <f t="shared" si="0"/>
        <v>14.009019278390456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3.15</v>
      </c>
      <c r="G40">
        <v>30660</v>
      </c>
      <c r="H40">
        <v>30660.141</v>
      </c>
      <c r="I40" cm="1">
        <f t="array" ref="I40">TREND($X$8:$X$12,$W$8:$W$12,H40)</f>
        <v>4.7511419358805558</v>
      </c>
      <c r="J40">
        <f>I40/(2/0.2)*3</f>
        <v>1.4253425807641666</v>
      </c>
      <c r="K40">
        <v>0.1175417454223521</v>
      </c>
      <c r="L40" s="1">
        <f t="shared" si="0"/>
        <v>12.126266933016966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3.15</v>
      </c>
      <c r="G41">
        <v>29842</v>
      </c>
      <c r="H41">
        <v>29841.548999999999</v>
      </c>
      <c r="I41" cm="1">
        <f t="array" ref="I41">TREND($X$8:$X$12,$W$8:$W$12,H41)</f>
        <v>4.6117361733953013</v>
      </c>
      <c r="J41">
        <f>I41/(2/0.2)*3</f>
        <v>1.3835208520185902</v>
      </c>
      <c r="K41">
        <v>0.14813140740266978</v>
      </c>
      <c r="L41" s="1">
        <f t="shared" si="0"/>
        <v>9.3398211512142488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3.15</v>
      </c>
      <c r="G42">
        <v>49592</v>
      </c>
      <c r="H42">
        <v>49592.163999999997</v>
      </c>
      <c r="I42" cm="1">
        <f t="array" ref="I42">TREND($X$8:$X$12,$W$8:$W$12,H42)</f>
        <v>7.9752549270939799</v>
      </c>
      <c r="J42">
        <f>I42/(2/0.2)*3</f>
        <v>2.392576478128194</v>
      </c>
      <c r="K42">
        <v>0.11673675431760691</v>
      </c>
      <c r="L42" s="1">
        <f t="shared" si="0"/>
        <v>20.495485694408515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3.15</v>
      </c>
      <c r="G43">
        <v>25283</v>
      </c>
      <c r="H43">
        <v>25282.813999999998</v>
      </c>
      <c r="I43" cm="1">
        <f t="array" ref="I43">TREND($X$8:$X$12,$W$8:$W$12,H43)</f>
        <v>3.8353861374271778</v>
      </c>
      <c r="J43">
        <f>I43/(2/0.2)*3</f>
        <v>1.1506158412281535</v>
      </c>
      <c r="K43">
        <v>8.6147092337289247E-2</v>
      </c>
      <c r="L43" s="1">
        <f t="shared" si="0"/>
        <v>13.356409485339102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3.15</v>
      </c>
      <c r="G44">
        <v>35225</v>
      </c>
      <c r="H44">
        <v>35225.339999999997</v>
      </c>
      <c r="I44" cm="1">
        <f t="array" ref="I44">TREND($X$8:$X$12,$W$8:$W$12,H44)</f>
        <v>5.5285927874548708</v>
      </c>
      <c r="J44">
        <f>I44/(2/0.2)*3</f>
        <v>1.6585778362364614</v>
      </c>
      <c r="K44">
        <v>8.9367056756270047E-2</v>
      </c>
      <c r="L44" s="1">
        <f t="shared" si="0"/>
        <v>18.559163705702936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3.15</v>
      </c>
      <c r="G45">
        <v>32339</v>
      </c>
      <c r="H45">
        <v>32338.592000000001</v>
      </c>
      <c r="I45" cm="1">
        <f t="array" ref="I45">TREND($X$8:$X$12,$W$8:$W$12,H45)</f>
        <v>5.0369812080077434</v>
      </c>
      <c r="J45">
        <f>I45/(2/0.2)*3</f>
        <v>1.5110943624023232</v>
      </c>
      <c r="K45">
        <v>9.3392012279996037E-2</v>
      </c>
      <c r="L45" s="1">
        <f t="shared" si="0"/>
        <v>16.180124247370884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3.15</v>
      </c>
      <c r="G46">
        <v>34963</v>
      </c>
      <c r="H46">
        <v>34962.745999999999</v>
      </c>
      <c r="I46" cm="1">
        <f t="array" ref="I46">TREND($X$8:$X$12,$W$8:$W$12,H46)</f>
        <v>5.4838731752499479</v>
      </c>
      <c r="J46">
        <f>I46/(2/0.2)*3</f>
        <v>1.6451619525749845</v>
      </c>
      <c r="K46">
        <v>0.18918595374467503</v>
      </c>
      <c r="L46" s="1">
        <f t="shared" si="0"/>
        <v>8.6960047509409275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3.14</v>
      </c>
      <c r="G47">
        <v>23715</v>
      </c>
      <c r="H47">
        <v>23714.958999999999</v>
      </c>
      <c r="I47" cm="1">
        <f t="array" ref="I47">TREND($X$8:$X$12,$W$8:$W$12,H47)</f>
        <v>3.568381302611642</v>
      </c>
      <c r="J47">
        <f>I47/(2/0.2)*3</f>
        <v>1.0705143907834924</v>
      </c>
      <c r="K47">
        <v>9.2587021175250833E-2</v>
      </c>
      <c r="L47" s="1">
        <f t="shared" si="0"/>
        <v>11.562251136227811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3.14</v>
      </c>
      <c r="G48">
        <v>28980</v>
      </c>
      <c r="H48">
        <v>28979.815999999999</v>
      </c>
      <c r="I48" cm="1">
        <f t="array" ref="I48">TREND($X$8:$X$12,$W$8:$W$12,H48)</f>
        <v>4.4649835225952614</v>
      </c>
      <c r="J48">
        <f>I48/(2/0.2)*3</f>
        <v>1.3394950567785786</v>
      </c>
      <c r="K48">
        <v>0.14974138961216016</v>
      </c>
      <c r="L48" s="1">
        <f t="shared" si="0"/>
        <v>8.945389516204953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3.15</v>
      </c>
      <c r="G49">
        <v>42770</v>
      </c>
      <c r="H49">
        <v>42769.733999999997</v>
      </c>
      <c r="I49" cm="1">
        <f t="array" ref="I49">TREND($X$8:$X$12,$W$8:$W$12,H49)</f>
        <v>6.8133988911783145</v>
      </c>
      <c r="J49">
        <f>I49/(2/0.2)*3</f>
        <v>2.0440196673534947</v>
      </c>
      <c r="K49">
        <v>0.19965083810636269</v>
      </c>
      <c r="L49" s="1">
        <f t="shared" si="0"/>
        <v>10.237971885019368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3.15</v>
      </c>
      <c r="G50">
        <v>55680</v>
      </c>
      <c r="H50">
        <v>55680.406000000003</v>
      </c>
      <c r="I50" cm="1">
        <f t="array" ref="I50">TREND($X$8:$X$12,$W$8:$W$12,H50)</f>
        <v>9.0120791547980783</v>
      </c>
      <c r="J50">
        <f>I50/(2/0.2)*3</f>
        <v>2.7036237464394235</v>
      </c>
      <c r="K50">
        <v>0.22058060682973793</v>
      </c>
      <c r="L50" s="1">
        <f t="shared" si="0"/>
        <v>12.256851521522472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3.15</v>
      </c>
      <c r="G51">
        <v>38058</v>
      </c>
      <c r="H51">
        <v>38058.050999999999</v>
      </c>
      <c r="I51" cm="1">
        <f t="array" ref="I51">TREND($X$8:$X$12,$W$8:$W$12,H51)</f>
        <v>6.0110018958450935</v>
      </c>
      <c r="J51">
        <f>I51/(2/0.2)*3</f>
        <v>1.8033005687535282</v>
      </c>
      <c r="K51">
        <v>0.12720163867929454</v>
      </c>
      <c r="L51" s="1">
        <f t="shared" si="0"/>
        <v>14.176708629517549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3.14</v>
      </c>
      <c r="G52">
        <v>36952</v>
      </c>
      <c r="H52">
        <v>36952.277000000002</v>
      </c>
      <c r="I52" cm="1">
        <f t="array" ref="I52">TREND($X$8:$X$12,$W$8:$W$12,H52)</f>
        <v>5.8226891984251701</v>
      </c>
      <c r="J52">
        <f>I52/(2/0.2)*3</f>
        <v>1.7468067595275512</v>
      </c>
      <c r="K52">
        <v>0.1594012828691026</v>
      </c>
      <c r="L52" s="1">
        <f t="shared" si="0"/>
        <v>10.958548940675696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3.15</v>
      </c>
      <c r="G53">
        <v>49849</v>
      </c>
      <c r="H53">
        <v>49848.961000000003</v>
      </c>
      <c r="I53" cm="1">
        <f t="array" ref="I53">TREND($X$8:$X$12,$W$8:$W$12,H53)</f>
        <v>8.0189873134218779</v>
      </c>
      <c r="J53">
        <f>I53/(2/0.2)*3</f>
        <v>2.4056961940265635</v>
      </c>
      <c r="K53">
        <v>0.14491144298368897</v>
      </c>
      <c r="L53" s="1">
        <f t="shared" si="0"/>
        <v>16.601147186819095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3.14</v>
      </c>
      <c r="G54">
        <v>36396</v>
      </c>
      <c r="H54">
        <v>36396.046999999999</v>
      </c>
      <c r="I54" cm="1">
        <f t="array" ref="I54">TREND($X$8:$X$12,$W$8:$W$12,H54)</f>
        <v>5.7279635386738246</v>
      </c>
      <c r="J54">
        <f>I54/(2/0.2)*3</f>
        <v>1.7183890616021475</v>
      </c>
      <c r="K54">
        <v>0.24553533107683917</v>
      </c>
      <c r="L54" s="1">
        <f t="shared" si="0"/>
        <v>6.9985409190027541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3.15</v>
      </c>
      <c r="G55">
        <v>70210</v>
      </c>
      <c r="H55">
        <v>70209.968999999997</v>
      </c>
      <c r="I55" cm="1">
        <f t="array" ref="I55">TREND($X$8:$X$12,$W$8:$W$12,H55)</f>
        <v>11.486455655658757</v>
      </c>
      <c r="J55">
        <f>I55/(2/0.2)*3</f>
        <v>3.4459366966976268</v>
      </c>
      <c r="K55">
        <v>0.3002747261995129</v>
      </c>
      <c r="L55" s="1">
        <f t="shared" si="0"/>
        <v>11.475946511755463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3.15</v>
      </c>
      <c r="G56">
        <v>29533</v>
      </c>
      <c r="H56">
        <v>29533.298999999999</v>
      </c>
      <c r="I56" cm="1">
        <f t="array" ref="I56">TREND($X$8:$X$12,$W$8:$W$12,H56)</f>
        <v>4.5592413697738632</v>
      </c>
      <c r="J56">
        <f>I56/(2/0.2)*3</f>
        <v>1.367772410932159</v>
      </c>
      <c r="K56">
        <v>0.17147614944028067</v>
      </c>
      <c r="L56" s="1">
        <f t="shared" si="0"/>
        <v>7.9764586235271615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3.14</v>
      </c>
      <c r="G57">
        <v>45955</v>
      </c>
      <c r="H57">
        <v>45954.847999999998</v>
      </c>
      <c r="I57" cm="1">
        <f t="array" ref="I57">TREND($X$8:$X$12,$W$8:$W$12,H57)</f>
        <v>7.3558220345421148</v>
      </c>
      <c r="J57">
        <f>I57/(2/0.2)*3</f>
        <v>2.2067466103626341</v>
      </c>
      <c r="K57">
        <v>0.18113604269722305</v>
      </c>
      <c r="L57" s="1">
        <f t="shared" si="0"/>
        <v>12.182813411968533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3.14</v>
      </c>
      <c r="G58">
        <v>65274</v>
      </c>
      <c r="H58">
        <v>65274.281000000003</v>
      </c>
      <c r="I58" cm="1">
        <f t="array" ref="I58">TREND($X$8:$X$12,$W$8:$W$12,H58)</f>
        <v>10.645910733366184</v>
      </c>
      <c r="J58">
        <f>I58/(2/0.2)*3</f>
        <v>3.193773220009855</v>
      </c>
      <c r="K58">
        <v>8.2927127918308433E-2</v>
      </c>
      <c r="L58" s="1">
        <f t="shared" si="0"/>
        <v>38.513008953548265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3.15</v>
      </c>
      <c r="G59">
        <v>65318</v>
      </c>
      <c r="H59">
        <v>65317.703000000001</v>
      </c>
      <c r="I59" cm="1">
        <f t="array" ref="I59">TREND($X$8:$X$12,$W$8:$W$12,H59)</f>
        <v>10.653305475824741</v>
      </c>
      <c r="J59">
        <f>I59/(2/0.2)*3</f>
        <v>3.1959916427474226</v>
      </c>
      <c r="K59">
        <v>0.11593176321286171</v>
      </c>
      <c r="L59" s="1">
        <f t="shared" si="0"/>
        <v>27.567868840908414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3.14</v>
      </c>
      <c r="G60">
        <v>23441</v>
      </c>
      <c r="H60">
        <v>23441.243999999999</v>
      </c>
      <c r="I60" cm="1">
        <f t="array" ref="I60">TREND($X$8:$X$12,$W$8:$W$12,H60)</f>
        <v>3.5217677902896902</v>
      </c>
      <c r="J60">
        <f>I60/(2/0.2)*3</f>
        <v>1.0565303370869072</v>
      </c>
      <c r="K60">
        <v>0.17469611385926145</v>
      </c>
      <c r="L60" s="1">
        <f t="shared" si="0"/>
        <v>6.0478182012570034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3.14</v>
      </c>
      <c r="G61">
        <v>45613</v>
      </c>
      <c r="H61">
        <v>45612.699000000001</v>
      </c>
      <c r="I61" cm="1">
        <f t="array" ref="I61">TREND($X$8:$X$12,$W$8:$W$12,H61)</f>
        <v>7.2975542500675932</v>
      </c>
      <c r="J61">
        <f>I61/(2/0.2)*3</f>
        <v>2.1892662750202776</v>
      </c>
      <c r="K61">
        <v>0.17952606048773259</v>
      </c>
      <c r="L61" s="1">
        <f t="shared" si="0"/>
        <v>12.194699026272428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3.14</v>
      </c>
      <c r="G62">
        <v>32566</v>
      </c>
      <c r="H62">
        <v>32565.553</v>
      </c>
      <c r="I62" cm="1">
        <f t="array" ref="I62">TREND($X$8:$X$12,$W$8:$W$12,H62)</f>
        <v>5.0756325401236397</v>
      </c>
      <c r="J62">
        <f>I62/(2/0.2)*3</f>
        <v>1.5226897620370921</v>
      </c>
      <c r="K62">
        <v>0.19723586479212707</v>
      </c>
      <c r="L62" s="1">
        <f t="shared" si="0"/>
        <v>7.7201464532928714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3.14</v>
      </c>
      <c r="G63">
        <v>54826</v>
      </c>
      <c r="H63">
        <v>54826.078000000001</v>
      </c>
      <c r="I63" cm="1">
        <f t="array" ref="I63">TREND($X$8:$X$12,$W$8:$W$12,H63)</f>
        <v>8.8665875713810607</v>
      </c>
      <c r="J63">
        <f>I63/(2/0.2)*3</f>
        <v>2.659976271414318</v>
      </c>
      <c r="K63">
        <v>0.28417490410460888</v>
      </c>
      <c r="L63" s="1">
        <f t="shared" si="0"/>
        <v>9.3603489716852071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3.14</v>
      </c>
      <c r="G64">
        <v>18388</v>
      </c>
      <c r="H64">
        <v>18388.223000000002</v>
      </c>
      <c r="I64" cm="1">
        <f t="array" ref="I64">TREND($X$8:$X$12,$W$8:$W$12,H64)</f>
        <v>2.6612411233310538</v>
      </c>
      <c r="J64">
        <f>I64/(2/0.2)*3</f>
        <v>0.7983723369993162</v>
      </c>
      <c r="K64">
        <v>0.17872106938298743</v>
      </c>
      <c r="L64" s="1">
        <f t="shared" si="0"/>
        <v>4.4671416736459708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3.14</v>
      </c>
      <c r="G65">
        <v>33866</v>
      </c>
      <c r="H65">
        <v>33866.387000000002</v>
      </c>
      <c r="I65" cm="1">
        <f t="array" ref="I65">TREND($X$8:$X$12,$W$8:$W$12,H65)</f>
        <v>5.2971638470955424</v>
      </c>
      <c r="J65">
        <f>I65/(2/0.2)*3</f>
        <v>1.5891491541286629</v>
      </c>
      <c r="K65">
        <v>0.19884584700161748</v>
      </c>
      <c r="L65" s="1">
        <f t="shared" si="0"/>
        <v>7.9918649450885253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3.14</v>
      </c>
      <c r="G66">
        <v>35544</v>
      </c>
      <c r="H66">
        <v>35543.836000000003</v>
      </c>
      <c r="I66" cm="1">
        <f t="array" ref="I66">TREND($X$8:$X$12,$W$8:$W$12,H66)</f>
        <v>5.5828324791798138</v>
      </c>
      <c r="J66">
        <f>I66/(2/0.2)*3</f>
        <v>1.674849743753944</v>
      </c>
      <c r="K66">
        <v>0.17469611385926145</v>
      </c>
      <c r="L66" s="1">
        <f t="shared" si="0"/>
        <v>9.5872180940626706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3.14</v>
      </c>
      <c r="G67">
        <v>32775</v>
      </c>
      <c r="H67">
        <v>32774.656000000003</v>
      </c>
      <c r="I67" cm="1">
        <f t="array" ref="I67">TREND($X$8:$X$12,$W$8:$W$12,H67)</f>
        <v>5.1112426647680955</v>
      </c>
      <c r="J67">
        <f>I67/(2/0.2)*3</f>
        <v>1.5333727994304285</v>
      </c>
      <c r="K67">
        <v>0.24875529549582001</v>
      </c>
      <c r="L67" s="1">
        <f t="shared" si="0"/>
        <v>6.1641815358105401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3.14</v>
      </c>
      <c r="G68">
        <v>30258</v>
      </c>
      <c r="H68">
        <v>30258.146000000001</v>
      </c>
      <c r="I68" cm="1">
        <f t="array" ref="I68">TREND($X$8:$X$12,$W$8:$W$12,H68)</f>
        <v>4.6826824108787726</v>
      </c>
      <c r="J68">
        <f>I68/(2/0.2)*3</f>
        <v>1.4048047232636316</v>
      </c>
      <c r="K68">
        <v>0.18274602490671343</v>
      </c>
      <c r="L68" s="1">
        <f t="shared" si="0"/>
        <v>7.6871971578081864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3.15</v>
      </c>
      <c r="G69">
        <v>42728</v>
      </c>
      <c r="H69">
        <v>42728.370999999999</v>
      </c>
      <c r="I69" cm="1">
        <f t="array" ref="I69">TREND($X$8:$X$12,$W$8:$W$12,H69)</f>
        <v>6.806354795275011</v>
      </c>
      <c r="J69">
        <f>I69/(2/0.2)*3</f>
        <v>2.0419064385825036</v>
      </c>
      <c r="K69">
        <v>0.10063693222270288</v>
      </c>
      <c r="L69" s="1">
        <f t="shared" si="0"/>
        <v>20.289831908467754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3.15</v>
      </c>
      <c r="G70">
        <v>32681</v>
      </c>
      <c r="H70">
        <v>32680.960999999999</v>
      </c>
      <c r="I70" cm="1">
        <f t="array" ref="I70">TREND($X$8:$X$12,$W$8:$W$12,H70)</f>
        <v>5.0952864583599498</v>
      </c>
      <c r="J70">
        <f>I70/(2/0.2)*3</f>
        <v>1.5285859375079851</v>
      </c>
      <c r="K70">
        <v>0.12156670094607813</v>
      </c>
      <c r="L70" s="1">
        <f t="shared" si="0"/>
        <v>12.574051328299198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3.14</v>
      </c>
      <c r="G71">
        <v>24210</v>
      </c>
      <c r="H71">
        <v>24210.208999999999</v>
      </c>
      <c r="I71" cm="1">
        <f t="array" ref="I71">TREND($X$8:$X$12,$W$8:$W$12,H71)</f>
        <v>3.652722102266198</v>
      </c>
      <c r="J71">
        <f>I71/(2/0.2)*3</f>
        <v>1.0958166306798596</v>
      </c>
      <c r="K71">
        <v>8.8562065651524843E-2</v>
      </c>
      <c r="L71" s="1">
        <f t="shared" si="0"/>
        <v>12.373431249805002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3.15</v>
      </c>
      <c r="G72">
        <v>18008</v>
      </c>
      <c r="H72">
        <v>18007.868999999999</v>
      </c>
      <c r="I72" cm="1">
        <f t="array" ref="I72">TREND($X$8:$X$12,$W$8:$W$12,H72)</f>
        <v>2.5964670485974661</v>
      </c>
      <c r="J72">
        <f>I72/(2/0.2)*3</f>
        <v>0.77894011457923984</v>
      </c>
      <c r="K72">
        <v>0.13766652304098212</v>
      </c>
      <c r="L72" s="1">
        <f t="shared" si="0"/>
        <v>5.6581665416751772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3.15</v>
      </c>
      <c r="G73">
        <v>10784</v>
      </c>
      <c r="H73">
        <v>10784.111999999999</v>
      </c>
      <c r="I73" cm="1">
        <f t="array" ref="I73">TREND($X$8:$X$12,$W$8:$W$12,H73)</f>
        <v>1.3662652477086277</v>
      </c>
      <c r="J73">
        <f>I73/(2/0.2)*3</f>
        <v>0.40987957431258826</v>
      </c>
      <c r="K73">
        <v>8.2122136813563229E-2</v>
      </c>
      <c r="L73" s="1">
        <f t="shared" ref="L73" si="1">J73/K73</f>
        <v>4.9910972877278184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1E76-67F7-49A1-B86F-0732A9AEF009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258</v>
      </c>
      <c r="P3" t="s">
        <v>89</v>
      </c>
    </row>
    <row r="5" spans="1:28" x14ac:dyDescent="0.3">
      <c r="A5" t="s">
        <v>90</v>
      </c>
      <c r="P5" t="s">
        <v>90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3.23</v>
      </c>
      <c r="G8">
        <v>72818</v>
      </c>
      <c r="H8">
        <v>72818.023000000001</v>
      </c>
      <c r="I8" cm="1">
        <f t="array" ref="I8">TREND($X$8:$X$12,$W$8:$W$12,H8)</f>
        <v>8.37718055652185</v>
      </c>
      <c r="J8">
        <f>I8/(2/0.2)*3</f>
        <v>2.5131541669565554</v>
      </c>
      <c r="K8">
        <v>0.10224691443219328</v>
      </c>
      <c r="L8" s="1">
        <f>J8/K8</f>
        <v>24.579266581420359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3.22</v>
      </c>
      <c r="V8">
        <v>14322</v>
      </c>
      <c r="W8">
        <v>14321.62</v>
      </c>
      <c r="X8">
        <v>1</v>
      </c>
      <c r="Y8">
        <v>1.01</v>
      </c>
      <c r="Z8">
        <v>1</v>
      </c>
      <c r="AA8">
        <v>45</v>
      </c>
      <c r="AB8">
        <v>29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3.23</v>
      </c>
      <c r="G9">
        <v>98494</v>
      </c>
      <c r="H9">
        <v>98493.835999999996</v>
      </c>
      <c r="I9" cm="1">
        <f t="array" ref="I9">TREND($X$8:$X$12,$W$8:$W$12,H9)</f>
        <v>11.534572246857687</v>
      </c>
      <c r="J9">
        <f>I9/(2/0.2)*3</f>
        <v>3.4603716740573058</v>
      </c>
      <c r="K9">
        <v>0.12639664757454935</v>
      </c>
      <c r="L9" s="1">
        <f t="shared" ref="L9:L72" si="0">J9/K9</f>
        <v>27.37708428553346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3.22</v>
      </c>
      <c r="V9">
        <v>21421</v>
      </c>
      <c r="W9">
        <v>21421.294999999998</v>
      </c>
      <c r="X9">
        <v>2</v>
      </c>
      <c r="Y9">
        <v>1.923</v>
      </c>
      <c r="Z9">
        <v>-3.8</v>
      </c>
      <c r="AA9">
        <v>69</v>
      </c>
      <c r="AB9">
        <v>50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3.23</v>
      </c>
      <c r="G10">
        <v>110407</v>
      </c>
      <c r="H10">
        <v>110407.391</v>
      </c>
      <c r="I10" cm="1">
        <f t="array" ref="I10">TREND($X$8:$X$12,$W$8:$W$12,H10)</f>
        <v>12.99959925727247</v>
      </c>
      <c r="J10">
        <f>I10/(2/0.2)*3</f>
        <v>3.8998797771817406</v>
      </c>
      <c r="K10">
        <v>0.15054638071690538</v>
      </c>
      <c r="L10" s="1">
        <f t="shared" si="0"/>
        <v>25.904839150635322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3.23</v>
      </c>
      <c r="V10">
        <v>41099</v>
      </c>
      <c r="W10">
        <v>41099.218999999997</v>
      </c>
      <c r="X10">
        <v>5</v>
      </c>
      <c r="Y10">
        <v>4.4550000000000001</v>
      </c>
      <c r="Z10">
        <v>-10.9</v>
      </c>
      <c r="AA10">
        <v>181</v>
      </c>
      <c r="AB10">
        <v>205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3.22</v>
      </c>
      <c r="G11">
        <v>151763</v>
      </c>
      <c r="H11">
        <v>151763.266</v>
      </c>
      <c r="I11" cm="1">
        <f t="array" ref="I11">TREND($X$8:$X$12,$W$8:$W$12,H11)</f>
        <v>18.085190746491044</v>
      </c>
      <c r="J11">
        <f>I11/(2/0.2)*3</f>
        <v>5.4255572239473135</v>
      </c>
      <c r="K11">
        <v>0.14893639850741497</v>
      </c>
      <c r="L11" s="1">
        <f t="shared" si="0"/>
        <v>36.428685521606702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3.23</v>
      </c>
      <c r="V11">
        <v>89104</v>
      </c>
      <c r="W11">
        <v>89104.218999999997</v>
      </c>
      <c r="X11">
        <v>10</v>
      </c>
      <c r="Y11">
        <v>10.634</v>
      </c>
      <c r="Z11">
        <v>6.3</v>
      </c>
      <c r="AA11">
        <v>327</v>
      </c>
      <c r="AB11">
        <v>135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3.23</v>
      </c>
      <c r="G12">
        <v>88364</v>
      </c>
      <c r="H12">
        <v>88364.054999999993</v>
      </c>
      <c r="I12" cm="1">
        <f t="array" ref="I12">TREND($X$8:$X$12,$W$8:$W$12,H12)</f>
        <v>10.288898493340248</v>
      </c>
      <c r="J12">
        <f>I12/(2/0.2)*3</f>
        <v>3.0866695480020745</v>
      </c>
      <c r="K12">
        <v>4.0262599366812736E-2</v>
      </c>
      <c r="L12" s="1">
        <f t="shared" si="0"/>
        <v>76.66344440111645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3.23</v>
      </c>
      <c r="V12">
        <v>166544</v>
      </c>
      <c r="W12">
        <v>166543.71900000001</v>
      </c>
      <c r="X12">
        <v>20</v>
      </c>
      <c r="Y12">
        <v>20.614999999999998</v>
      </c>
      <c r="Z12">
        <v>3.1</v>
      </c>
      <c r="AA12">
        <v>586</v>
      </c>
      <c r="AB12">
        <v>568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3.23</v>
      </c>
      <c r="G13">
        <v>118654</v>
      </c>
      <c r="H13">
        <v>118653.57799999999</v>
      </c>
      <c r="I13" cm="1">
        <f t="array" ref="I13">TREND($X$8:$X$12,$W$8:$W$12,H13)</f>
        <v>14.013644744780709</v>
      </c>
      <c r="J13">
        <f>I13/(2/0.2)*3</f>
        <v>4.2040934234342124</v>
      </c>
      <c r="K13">
        <v>0.11351678989862611</v>
      </c>
      <c r="L13" s="1">
        <f t="shared" si="0"/>
        <v>37.034992155685458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3.23</v>
      </c>
      <c r="V13">
        <v>428849</v>
      </c>
      <c r="W13">
        <v>428848.93800000002</v>
      </c>
      <c r="X13">
        <v>50</v>
      </c>
      <c r="Y13">
        <v>54.534999999999997</v>
      </c>
      <c r="Z13">
        <v>9.1</v>
      </c>
      <c r="AA13">
        <v>1820</v>
      </c>
      <c r="AB13">
        <v>1391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3.23</v>
      </c>
      <c r="G14">
        <v>62538</v>
      </c>
      <c r="H14">
        <v>62538.402000000002</v>
      </c>
      <c r="I14" cm="1">
        <f t="array" ref="I14">TREND($X$8:$X$12,$W$8:$W$12,H14)</f>
        <v>7.1130807624782584</v>
      </c>
      <c r="J14">
        <f>I14/(2/0.2)*3</f>
        <v>2.1339242287434779</v>
      </c>
      <c r="K14">
        <v>0.10144192332744809</v>
      </c>
      <c r="L14" s="1">
        <f t="shared" si="0"/>
        <v>21.035920443417719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3.23</v>
      </c>
      <c r="V14">
        <v>751991</v>
      </c>
      <c r="W14">
        <v>751990.625</v>
      </c>
      <c r="X14">
        <v>100</v>
      </c>
      <c r="Y14">
        <v>96.564999999999998</v>
      </c>
      <c r="Z14">
        <v>-3.4</v>
      </c>
      <c r="AA14">
        <v>3832</v>
      </c>
      <c r="AB14">
        <v>1973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3.22</v>
      </c>
      <c r="G15">
        <v>53863</v>
      </c>
      <c r="H15">
        <v>53863.175999999999</v>
      </c>
      <c r="I15" cm="1">
        <f t="array" ref="I15">TREND($X$8:$X$12,$W$8:$W$12,H15)</f>
        <v>6.0462757314482607</v>
      </c>
      <c r="J15">
        <f>I15/(2/0.2)*3</f>
        <v>1.8138827194344782</v>
      </c>
      <c r="K15">
        <v>8.3732119023053622E-2</v>
      </c>
      <c r="L15" s="1">
        <f t="shared" si="0"/>
        <v>21.662926253366038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3.23</v>
      </c>
      <c r="V15">
        <v>1513136</v>
      </c>
      <c r="W15">
        <v>1513136.25</v>
      </c>
      <c r="X15">
        <v>200</v>
      </c>
      <c r="Y15">
        <v>196.65600000000001</v>
      </c>
      <c r="Z15">
        <v>-1.7</v>
      </c>
      <c r="AA15">
        <v>5311</v>
      </c>
      <c r="AB15">
        <v>5426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3.22</v>
      </c>
      <c r="G16">
        <v>302659</v>
      </c>
      <c r="H16">
        <v>302659.09399999998</v>
      </c>
      <c r="I16" cm="1">
        <f t="array" ref="I16">TREND($X$8:$X$12,$W$8:$W$12,H16)</f>
        <v>36.641067961890059</v>
      </c>
      <c r="J16">
        <f>I16/(2/0.2)*3</f>
        <v>10.992320388567016</v>
      </c>
      <c r="K16">
        <v>0.22299558014397355</v>
      </c>
      <c r="L16" s="1">
        <f t="shared" si="0"/>
        <v>49.293893544750972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3.22</v>
      </c>
      <c r="V16">
        <v>3759450</v>
      </c>
      <c r="W16">
        <v>3759449.75</v>
      </c>
      <c r="X16">
        <v>500</v>
      </c>
      <c r="Y16">
        <v>501.61500000000001</v>
      </c>
      <c r="Z16">
        <v>0.3</v>
      </c>
      <c r="AA16">
        <v>9836</v>
      </c>
      <c r="AB16">
        <v>9968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3.23</v>
      </c>
      <c r="G17">
        <v>319534</v>
      </c>
      <c r="H17">
        <v>319534</v>
      </c>
      <c r="I17" cm="1">
        <f t="array" ref="I17">TREND($X$8:$X$12,$W$8:$W$12,H17)</f>
        <v>38.716199447681703</v>
      </c>
      <c r="J17">
        <f>I17/(2/0.2)*3</f>
        <v>11.614859834304511</v>
      </c>
      <c r="K17">
        <v>0.1175417454223521</v>
      </c>
      <c r="L17" s="1">
        <f t="shared" si="0"/>
        <v>98.814764002098897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3.23</v>
      </c>
      <c r="G18">
        <v>147829</v>
      </c>
      <c r="H18">
        <v>147828.53099999999</v>
      </c>
      <c r="I18" cm="1">
        <f t="array" ref="I18">TREND($X$8:$X$12,$W$8:$W$12,H18)</f>
        <v>17.601330718663547</v>
      </c>
      <c r="J18">
        <f>I18/(2/0.2)*3</f>
        <v>5.2803992155990649</v>
      </c>
      <c r="K18">
        <v>0.11351678989862611</v>
      </c>
      <c r="L18" s="1">
        <f t="shared" si="0"/>
        <v>46.516459990761007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3.23</v>
      </c>
      <c r="G19">
        <v>165484</v>
      </c>
      <c r="H19">
        <v>165483.79699999999</v>
      </c>
      <c r="I19" cm="1">
        <f t="array" ref="I19">TREND($X$8:$X$12,$W$8:$W$12,H19)</f>
        <v>19.77242419714732</v>
      </c>
      <c r="J19">
        <f>I19/(2/0.2)*3</f>
        <v>5.9317272591441963</v>
      </c>
      <c r="K19">
        <v>8.4537110127798853E-2</v>
      </c>
      <c r="L19" s="1">
        <f t="shared" si="0"/>
        <v>70.167140208328817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3.23</v>
      </c>
      <c r="G20">
        <v>175927</v>
      </c>
      <c r="H20">
        <v>175926.96900000001</v>
      </c>
      <c r="I20" cm="1">
        <f t="array" ref="I20">TREND($X$8:$X$12,$W$8:$W$12,H20)</f>
        <v>21.056636093126929</v>
      </c>
      <c r="J20">
        <f>I20/(2/0.2)*3</f>
        <v>6.3169908279380795</v>
      </c>
      <c r="K20">
        <v>0.1078818521654097</v>
      </c>
      <c r="L20" s="1">
        <f t="shared" si="0"/>
        <v>58.55471241124561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3.23</v>
      </c>
      <c r="G21">
        <v>263764</v>
      </c>
      <c r="H21">
        <v>263764.25</v>
      </c>
      <c r="I21" cm="1">
        <f t="array" ref="I21">TREND($X$8:$X$12,$W$8:$W$12,H21)</f>
        <v>31.858112997912535</v>
      </c>
      <c r="J21">
        <f>I21/(2/0.2)*3</f>
        <v>9.5574338993737591</v>
      </c>
      <c r="K21">
        <v>0.14813140740266978</v>
      </c>
      <c r="L21" s="1">
        <f t="shared" si="0"/>
        <v>64.519969579398634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3.22</v>
      </c>
      <c r="G22">
        <v>186784</v>
      </c>
      <c r="H22">
        <v>186784.34400000001</v>
      </c>
      <c r="I22" cm="1">
        <f t="array" ref="I22">TREND($X$8:$X$12,$W$8:$W$12,H22)</f>
        <v>22.391783128348759</v>
      </c>
      <c r="J22">
        <f>I22/(2/0.2)*3</f>
        <v>6.7175349385046284</v>
      </c>
      <c r="K22">
        <v>6.6022314718659172E-2</v>
      </c>
      <c r="L22" s="1">
        <f t="shared" si="0"/>
        <v>101.7464317500841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3.22</v>
      </c>
      <c r="G23">
        <v>100638</v>
      </c>
      <c r="H23">
        <v>100638.227</v>
      </c>
      <c r="I23" cm="1">
        <f t="array" ref="I23">TREND($X$8:$X$12,$W$8:$W$12,H23)</f>
        <v>11.798271095428946</v>
      </c>
      <c r="J23">
        <f>I23/(2/0.2)*3</f>
        <v>3.5394813286286841</v>
      </c>
      <c r="K23">
        <v>0.22621554456295434</v>
      </c>
      <c r="L23" s="1">
        <f t="shared" si="0"/>
        <v>15.646499162853369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3.23</v>
      </c>
      <c r="G24">
        <v>127218</v>
      </c>
      <c r="H24">
        <v>127217.602</v>
      </c>
      <c r="I24" cm="1">
        <f t="array" ref="I24">TREND($X$8:$X$12,$W$8:$W$12,H24)</f>
        <v>15.066775105772072</v>
      </c>
      <c r="J24">
        <f>I24/(2/0.2)*3</f>
        <v>4.5200325317316219</v>
      </c>
      <c r="K24">
        <v>0.21897062462024752</v>
      </c>
      <c r="L24" s="1">
        <f t="shared" si="0"/>
        <v>20.64218677537475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3.22</v>
      </c>
      <c r="G25">
        <v>126024</v>
      </c>
      <c r="H25">
        <v>126023.742</v>
      </c>
      <c r="I25" cm="1">
        <f t="array" ref="I25">TREND($X$8:$X$12,$W$8:$W$12,H25)</f>
        <v>14.91996442275984</v>
      </c>
      <c r="J25">
        <f>I25/(2/0.2)*3</f>
        <v>4.4759893268279516</v>
      </c>
      <c r="K25">
        <v>0.11271179879388092</v>
      </c>
      <c r="L25" s="1">
        <f t="shared" si="0"/>
        <v>39.711808122353837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3.23</v>
      </c>
      <c r="G26">
        <v>242452</v>
      </c>
      <c r="H26">
        <v>242451.53099999999</v>
      </c>
      <c r="I26" cm="1">
        <f t="array" ref="I26">TREND($X$8:$X$12,$W$8:$W$12,H26)</f>
        <v>29.237257258346943</v>
      </c>
      <c r="J26">
        <f>I26/(2/0.2)*3</f>
        <v>8.7711771775040823</v>
      </c>
      <c r="K26">
        <v>9.1782030070505644E-2</v>
      </c>
      <c r="L26" s="1">
        <f t="shared" si="0"/>
        <v>95.565299337639289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3.23</v>
      </c>
      <c r="G27">
        <v>199480</v>
      </c>
      <c r="H27">
        <v>199480.32800000001</v>
      </c>
      <c r="I27" cm="1">
        <f t="array" ref="I27">TREND($X$8:$X$12,$W$8:$W$12,H27)</f>
        <v>23.953026559364428</v>
      </c>
      <c r="J27">
        <f>I27/(2/0.2)*3</f>
        <v>7.1859079678093289</v>
      </c>
      <c r="K27">
        <v>0.16584121170706426</v>
      </c>
      <c r="L27" s="1">
        <f t="shared" si="0"/>
        <v>43.330049834068078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3.23</v>
      </c>
      <c r="G28">
        <v>171775</v>
      </c>
      <c r="H28">
        <v>171775.484</v>
      </c>
      <c r="I28" cm="1">
        <f t="array" ref="I28">TREND($X$8:$X$12,$W$8:$W$12,H28)</f>
        <v>20.54612200574228</v>
      </c>
      <c r="J28">
        <f>I28/(2/0.2)*3</f>
        <v>6.163836601722684</v>
      </c>
      <c r="K28">
        <v>0.20850574025855992</v>
      </c>
      <c r="L28" s="1">
        <f t="shared" si="0"/>
        <v>29.561951599409916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3.22</v>
      </c>
      <c r="G29">
        <v>257294</v>
      </c>
      <c r="H29">
        <v>257294.42199999999</v>
      </c>
      <c r="I29" cm="1">
        <f t="array" ref="I29">TREND($X$8:$X$12,$W$8:$W$12,H29)</f>
        <v>31.062508934076185</v>
      </c>
      <c r="J29">
        <f>I29/(2/0.2)*3</f>
        <v>9.318752680222854</v>
      </c>
      <c r="K29">
        <v>0.15457133624063138</v>
      </c>
      <c r="L29" s="1">
        <f t="shared" si="0"/>
        <v>60.287715089140058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3.22</v>
      </c>
      <c r="G30">
        <v>235831</v>
      </c>
      <c r="H30">
        <v>235831.15599999999</v>
      </c>
      <c r="I30" cm="1">
        <f t="array" ref="I30">TREND($X$8:$X$12,$W$8:$W$12,H30)</f>
        <v>28.42314021317657</v>
      </c>
      <c r="J30">
        <f>I30/(2/0.2)*3</f>
        <v>8.5269420639529709</v>
      </c>
      <c r="K30">
        <v>0.22863051787718996</v>
      </c>
      <c r="L30" s="1">
        <f t="shared" si="0"/>
        <v>37.295729997573034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3.23</v>
      </c>
      <c r="G31">
        <v>160186</v>
      </c>
      <c r="H31">
        <v>160186.07800000001</v>
      </c>
      <c r="I31" cm="1">
        <f t="array" ref="I31">TREND($X$8:$X$12,$W$8:$W$12,H31)</f>
        <v>19.120956064538071</v>
      </c>
      <c r="J31">
        <f>I31/(2/0.2)*3</f>
        <v>5.7362868193614212</v>
      </c>
      <c r="K31">
        <v>0.19079593595416544</v>
      </c>
      <c r="L31" s="1">
        <f t="shared" si="0"/>
        <v>30.065036714091431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3.22</v>
      </c>
      <c r="G32">
        <v>269510</v>
      </c>
      <c r="H32">
        <v>269509.625</v>
      </c>
      <c r="I32" cm="1">
        <f t="array" ref="I32">TREND($X$8:$X$12,$W$8:$W$12,H32)</f>
        <v>32.56463003333662</v>
      </c>
      <c r="J32">
        <f>I32/(2/0.2)*3</f>
        <v>9.7693890100009853</v>
      </c>
      <c r="K32">
        <v>0.13122659420302052</v>
      </c>
      <c r="L32" s="1">
        <f t="shared" si="0"/>
        <v>74.446716150285624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3.23</v>
      </c>
      <c r="G33">
        <v>172327</v>
      </c>
      <c r="H33">
        <v>172326.78099999999</v>
      </c>
      <c r="I33" cm="1">
        <f t="array" ref="I33">TREND($X$8:$X$12,$W$8:$W$12,H33)</f>
        <v>20.613915791540109</v>
      </c>
      <c r="J33">
        <f>I33/(2/0.2)*3</f>
        <v>6.1841747374620333</v>
      </c>
      <c r="K33">
        <v>0.13927650525047255</v>
      </c>
      <c r="L33" s="1">
        <f t="shared" si="0"/>
        <v>44.402138941815892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3.22</v>
      </c>
      <c r="G34">
        <v>254277</v>
      </c>
      <c r="H34">
        <v>254276.5</v>
      </c>
      <c r="I34" cm="1">
        <f t="array" ref="I34">TREND($X$8:$X$12,$W$8:$W$12,H34)</f>
        <v>30.691390720803572</v>
      </c>
      <c r="J34">
        <f>I34/(2/0.2)*3</f>
        <v>9.2074172162410708</v>
      </c>
      <c r="K34">
        <v>9.7416967803722054E-2</v>
      </c>
      <c r="L34" s="1">
        <f t="shared" si="0"/>
        <v>94.515538964345382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3.22</v>
      </c>
      <c r="G35">
        <v>151699</v>
      </c>
      <c r="H35">
        <v>151699.28099999999</v>
      </c>
      <c r="I35" cm="1">
        <f t="array" ref="I35">TREND($X$8:$X$12,$W$8:$W$12,H35)</f>
        <v>18.077322418921195</v>
      </c>
      <c r="J35">
        <f>I35/(2/0.2)*3</f>
        <v>5.4231967256763589</v>
      </c>
      <c r="K35">
        <v>7.4877216870856411E-2</v>
      </c>
      <c r="L35" s="1">
        <f t="shared" si="0"/>
        <v>72.427861936027256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3.23</v>
      </c>
      <c r="G36">
        <v>364358</v>
      </c>
      <c r="H36">
        <v>364357.68800000002</v>
      </c>
      <c r="I36" cm="1">
        <f t="array" ref="I36">TREND($X$8:$X$12,$W$8:$W$12,H36)</f>
        <v>44.228232894155482</v>
      </c>
      <c r="J36">
        <f>I36/(2/0.2)*3</f>
        <v>13.268469868246646</v>
      </c>
      <c r="K36">
        <v>0.14491144298368897</v>
      </c>
      <c r="L36" s="1">
        <f t="shared" si="0"/>
        <v>91.562609515524088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3.23</v>
      </c>
      <c r="G37">
        <v>253520</v>
      </c>
      <c r="H37">
        <v>253520.484</v>
      </c>
      <c r="I37" cm="1">
        <f t="array" ref="I37">TREND($X$8:$X$12,$W$8:$W$12,H37)</f>
        <v>30.598422344839744</v>
      </c>
      <c r="J37">
        <f>I37/(2/0.2)*3</f>
        <v>9.1795267034519235</v>
      </c>
      <c r="K37">
        <v>0.14571643408843418</v>
      </c>
      <c r="L37" s="1">
        <f t="shared" si="0"/>
        <v>62.995823092136192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3.22</v>
      </c>
      <c r="G38">
        <v>360057</v>
      </c>
      <c r="H38">
        <v>360056.84399999998</v>
      </c>
      <c r="I38" cm="1">
        <f t="array" ref="I38">TREND($X$8:$X$12,$W$8:$W$12,H38)</f>
        <v>43.699351915507179</v>
      </c>
      <c r="J38">
        <f>I38/(2/0.2)*3</f>
        <v>13.109805574652155</v>
      </c>
      <c r="K38">
        <v>0.26405012648597881</v>
      </c>
      <c r="L38" s="1">
        <f t="shared" si="0"/>
        <v>49.648927456008217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3.22</v>
      </c>
      <c r="G39">
        <v>329061</v>
      </c>
      <c r="H39">
        <v>329060.59399999998</v>
      </c>
      <c r="I39" cm="1">
        <f t="array" ref="I39">TREND($X$8:$X$12,$W$8:$W$12,H39)</f>
        <v>39.88769842739476</v>
      </c>
      <c r="J39">
        <f>I39/(2/0.2)*3</f>
        <v>11.966309528218428</v>
      </c>
      <c r="K39">
        <v>0.17469611385926145</v>
      </c>
      <c r="L39" s="1">
        <f t="shared" si="0"/>
        <v>68.497857587483125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3.22</v>
      </c>
      <c r="G40">
        <v>241981</v>
      </c>
      <c r="H40">
        <v>241981.21900000001</v>
      </c>
      <c r="I40" cm="1">
        <f t="array" ref="I40">TREND($X$8:$X$12,$W$8:$W$12,H40)</f>
        <v>29.179422314594039</v>
      </c>
      <c r="J40">
        <f>I40/(2/0.2)*3</f>
        <v>8.7538266943782119</v>
      </c>
      <c r="K40">
        <v>0.1175417454223521</v>
      </c>
      <c r="L40" s="1">
        <f t="shared" si="0"/>
        <v>74.474193512474059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3.23</v>
      </c>
      <c r="G41">
        <v>138626</v>
      </c>
      <c r="H41">
        <v>138625.875</v>
      </c>
      <c r="I41" cm="1">
        <f t="array" ref="I41">TREND($X$8:$X$12,$W$8:$W$12,H41)</f>
        <v>16.469666861187282</v>
      </c>
      <c r="J41">
        <f>I41/(2/0.2)*3</f>
        <v>4.9409000583561848</v>
      </c>
      <c r="K41">
        <v>0.14813140740266978</v>
      </c>
      <c r="L41" s="1">
        <f t="shared" si="0"/>
        <v>33.354844492398541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3.22</v>
      </c>
      <c r="G42">
        <v>300104</v>
      </c>
      <c r="H42">
        <v>300104.09399999998</v>
      </c>
      <c r="I42" cm="1">
        <f t="array" ref="I42">TREND($X$8:$X$12,$W$8:$W$12,H42)</f>
        <v>36.326875933430898</v>
      </c>
      <c r="J42">
        <f>I42/(2/0.2)*3</f>
        <v>10.898062780029271</v>
      </c>
      <c r="K42">
        <v>0.11673675431760691</v>
      </c>
      <c r="L42" s="1">
        <f t="shared" si="0"/>
        <v>93.355883018460474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3.22</v>
      </c>
      <c r="G43">
        <v>123648</v>
      </c>
      <c r="H43">
        <v>123647.633</v>
      </c>
      <c r="I43" cm="1">
        <f t="array" ref="I43">TREND($X$8:$X$12,$W$8:$W$12,H43)</f>
        <v>14.627770878121849</v>
      </c>
      <c r="J43">
        <f>I43/(2/0.2)*3</f>
        <v>4.3883312634365543</v>
      </c>
      <c r="K43">
        <v>8.6147092337289247E-2</v>
      </c>
      <c r="L43" s="1">
        <f t="shared" si="0"/>
        <v>50.939981192343048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3.22</v>
      </c>
      <c r="G44">
        <v>208984</v>
      </c>
      <c r="H44">
        <v>208983.81299999999</v>
      </c>
      <c r="I44" cm="1">
        <f t="array" ref="I44">TREND($X$8:$X$12,$W$8:$W$12,H44)</f>
        <v>25.121683792077224</v>
      </c>
      <c r="J44">
        <f>I44/(2/0.2)*3</f>
        <v>7.536505137623168</v>
      </c>
      <c r="K44">
        <v>8.9367056756270047E-2</v>
      </c>
      <c r="L44" s="1">
        <f t="shared" si="0"/>
        <v>84.332028055678379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3.23</v>
      </c>
      <c r="G45">
        <v>172208</v>
      </c>
      <c r="H45">
        <v>172207.93799999999</v>
      </c>
      <c r="I45" cm="1">
        <f t="array" ref="I45">TREND($X$8:$X$12,$W$8:$W$12,H45)</f>
        <v>20.599301496730646</v>
      </c>
      <c r="J45">
        <f>I45/(2/0.2)*3</f>
        <v>6.1797904490191939</v>
      </c>
      <c r="K45">
        <v>9.3392012279996037E-2</v>
      </c>
      <c r="L45" s="1">
        <f t="shared" si="0"/>
        <v>66.170438971715626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3.22</v>
      </c>
      <c r="G46">
        <v>227799</v>
      </c>
      <c r="H46">
        <v>227799.359</v>
      </c>
      <c r="I46" cm="1">
        <f t="array" ref="I46">TREND($X$8:$X$12,$W$8:$W$12,H46)</f>
        <v>27.435458572627766</v>
      </c>
      <c r="J46">
        <f>I46/(2/0.2)*3</f>
        <v>8.2306375717883284</v>
      </c>
      <c r="K46">
        <v>0.18918595374467503</v>
      </c>
      <c r="L46" s="1">
        <f t="shared" si="0"/>
        <v>43.50554260966107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3.22</v>
      </c>
      <c r="G47">
        <v>143308</v>
      </c>
      <c r="H47">
        <v>143307.734</v>
      </c>
      <c r="I47" cm="1">
        <f t="array" ref="I47">TREND($X$8:$X$12,$W$8:$W$12,H47)</f>
        <v>17.045401802936706</v>
      </c>
      <c r="J47">
        <f>I47/(2/0.2)*3</f>
        <v>5.113620540881012</v>
      </c>
      <c r="K47">
        <v>9.2587021175250833E-2</v>
      </c>
      <c r="L47" s="1">
        <f t="shared" si="0"/>
        <v>55.230425128397144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3.23</v>
      </c>
      <c r="G48">
        <v>192952</v>
      </c>
      <c r="H48">
        <v>192952.46900000001</v>
      </c>
      <c r="I48" cm="1">
        <f t="array" ref="I48">TREND($X$8:$X$12,$W$8:$W$12,H48)</f>
        <v>23.150286339910267</v>
      </c>
      <c r="J48">
        <f>I48/(2/0.2)*3</f>
        <v>6.94508590197308</v>
      </c>
      <c r="K48">
        <v>0.14974138961216016</v>
      </c>
      <c r="L48" s="1">
        <f t="shared" si="0"/>
        <v>46.380535935730926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3.22</v>
      </c>
      <c r="G49">
        <v>241618</v>
      </c>
      <c r="H49">
        <v>241618.17199999999</v>
      </c>
      <c r="I49" cm="1">
        <f t="array" ref="I49">TREND($X$8:$X$12,$W$8:$W$12,H49)</f>
        <v>29.134777902321623</v>
      </c>
      <c r="J49">
        <f>I49/(2/0.2)*3</f>
        <v>8.7404333706964863</v>
      </c>
      <c r="K49">
        <v>0.19965083810636269</v>
      </c>
      <c r="L49" s="1">
        <f t="shared" si="0"/>
        <v>43.778595940779759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3.23</v>
      </c>
      <c r="G50">
        <v>332716</v>
      </c>
      <c r="H50">
        <v>332716.15600000002</v>
      </c>
      <c r="I50" cm="1">
        <f t="array" ref="I50">TREND($X$8:$X$12,$W$8:$W$12,H50)</f>
        <v>40.337228149484091</v>
      </c>
      <c r="J50">
        <f>I50/(2/0.2)*3</f>
        <v>12.101168444845229</v>
      </c>
      <c r="K50">
        <v>0.22058060682973793</v>
      </c>
      <c r="L50" s="1">
        <f t="shared" si="0"/>
        <v>54.860527490460193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3.23</v>
      </c>
      <c r="G51">
        <v>222357</v>
      </c>
      <c r="H51">
        <v>222357.45300000001</v>
      </c>
      <c r="I51" cm="1">
        <f t="array" ref="I51">TREND($X$8:$X$12,$W$8:$W$12,H51)</f>
        <v>26.766259557041046</v>
      </c>
      <c r="J51">
        <f>I51/(2/0.2)*3</f>
        <v>8.0298778671123152</v>
      </c>
      <c r="K51">
        <v>0.12720163867929454</v>
      </c>
      <c r="L51" s="1">
        <f t="shared" si="0"/>
        <v>63.12715740524019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3.22</v>
      </c>
      <c r="G52">
        <v>243378</v>
      </c>
      <c r="H52">
        <v>243377.5</v>
      </c>
      <c r="I52" cm="1">
        <f t="array" ref="I52">TREND($X$8:$X$12,$W$8:$W$12,H52)</f>
        <v>29.351124999403815</v>
      </c>
      <c r="J52">
        <f>I52/(2/0.2)*3</f>
        <v>8.805337499821146</v>
      </c>
      <c r="K52">
        <v>0.1594012828691026</v>
      </c>
      <c r="L52" s="1">
        <f t="shared" si="0"/>
        <v>55.240066712963198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3.22</v>
      </c>
      <c r="G53">
        <v>304837</v>
      </c>
      <c r="H53">
        <v>304837.25</v>
      </c>
      <c r="I53" cm="1">
        <f t="array" ref="I53">TREND($X$8:$X$12,$W$8:$W$12,H53)</f>
        <v>36.908918941123126</v>
      </c>
      <c r="J53">
        <f>I53/(2/0.2)*3</f>
        <v>11.072675682336939</v>
      </c>
      <c r="K53">
        <v>0.14491144298368897</v>
      </c>
      <c r="L53" s="1">
        <f t="shared" si="0"/>
        <v>76.409947029395497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3.22</v>
      </c>
      <c r="G54">
        <v>233609</v>
      </c>
      <c r="H54">
        <v>233609.42199999999</v>
      </c>
      <c r="I54" cm="1">
        <f t="array" ref="I54">TREND($X$8:$X$12,$W$8:$W$12,H54)</f>
        <v>28.149930384543815</v>
      </c>
      <c r="J54">
        <f>I54/(2/0.2)*3</f>
        <v>8.4449791153631431</v>
      </c>
      <c r="K54">
        <v>0.24553533107683917</v>
      </c>
      <c r="L54" s="1">
        <f t="shared" si="0"/>
        <v>34.394150439882416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3.22</v>
      </c>
      <c r="G55">
        <v>397843</v>
      </c>
      <c r="H55">
        <v>397842.93800000002</v>
      </c>
      <c r="I55" cm="1">
        <f t="array" ref="I55">TREND($X$8:$X$12,$W$8:$W$12,H55)</f>
        <v>48.345962295706201</v>
      </c>
      <c r="J55">
        <f>I55/(2/0.2)*3</f>
        <v>14.503788688711859</v>
      </c>
      <c r="K55">
        <v>0.3002747261995129</v>
      </c>
      <c r="L55" s="1">
        <f t="shared" si="0"/>
        <v>48.301729793519286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3.22</v>
      </c>
      <c r="G56">
        <v>205996</v>
      </c>
      <c r="H56">
        <v>205995.734</v>
      </c>
      <c r="I56" cm="1">
        <f t="array" ref="I56">TREND($X$8:$X$12,$W$8:$W$12,H56)</f>
        <v>24.754235415479879</v>
      </c>
      <c r="J56">
        <f>I56/(2/0.2)*3</f>
        <v>7.4262706246439638</v>
      </c>
      <c r="K56">
        <v>0.17147614944028067</v>
      </c>
      <c r="L56" s="1">
        <f t="shared" si="0"/>
        <v>43.307892373862067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3.22</v>
      </c>
      <c r="G57">
        <v>222527</v>
      </c>
      <c r="H57">
        <v>222527.03099999999</v>
      </c>
      <c r="I57" cm="1">
        <f t="array" ref="I57">TREND($X$8:$X$12,$W$8:$W$12,H57)</f>
        <v>26.787112807844192</v>
      </c>
      <c r="J57">
        <f>I57/(2/0.2)*3</f>
        <v>8.0361338423532569</v>
      </c>
      <c r="K57">
        <v>0.18113604269722305</v>
      </c>
      <c r="L57" s="1">
        <f t="shared" si="0"/>
        <v>44.365183884391314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3.22</v>
      </c>
      <c r="G58">
        <v>281922</v>
      </c>
      <c r="H58">
        <v>281921.68800000002</v>
      </c>
      <c r="I58" cm="1">
        <f t="array" ref="I58">TREND($X$8:$X$12,$W$8:$W$12,H58)</f>
        <v>34.090959290218379</v>
      </c>
      <c r="J58">
        <f>I58/(2/0.2)*3</f>
        <v>10.227287787065514</v>
      </c>
      <c r="K58">
        <v>8.2927127918308433E-2</v>
      </c>
      <c r="L58" s="1">
        <f t="shared" si="0"/>
        <v>123.32861445702571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3.22</v>
      </c>
      <c r="G59">
        <v>378192</v>
      </c>
      <c r="H59">
        <v>378191.59399999998</v>
      </c>
      <c r="I59" cm="1">
        <f t="array" ref="I59">TREND($X$8:$X$12,$W$8:$W$12,H59)</f>
        <v>45.929408231788884</v>
      </c>
      <c r="J59">
        <f>I59/(2/0.2)*3</f>
        <v>13.778822469536664</v>
      </c>
      <c r="K59">
        <v>0.11593176321286171</v>
      </c>
      <c r="L59" s="1">
        <f t="shared" si="0"/>
        <v>118.85286730468715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3.22</v>
      </c>
      <c r="G60">
        <v>139201</v>
      </c>
      <c r="H60">
        <v>139201.20300000001</v>
      </c>
      <c r="I60" cm="1">
        <f t="array" ref="I60">TREND($X$8:$X$12,$W$8:$W$12,H60)</f>
        <v>16.540415773652782</v>
      </c>
      <c r="J60">
        <f>I60/(2/0.2)*3</f>
        <v>4.9621247320958339</v>
      </c>
      <c r="K60">
        <v>0.17469611385926145</v>
      </c>
      <c r="L60" s="1">
        <f t="shared" si="0"/>
        <v>28.404322354264945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3.22</v>
      </c>
      <c r="G61">
        <v>362018</v>
      </c>
      <c r="H61">
        <v>362017.78100000002</v>
      </c>
      <c r="I61" cm="1">
        <f t="array" ref="I61">TREND($X$8:$X$12,$W$8:$W$12,H61)</f>
        <v>43.940491161577874</v>
      </c>
      <c r="J61">
        <f>I61/(2/0.2)*3</f>
        <v>13.182147348473361</v>
      </c>
      <c r="K61">
        <v>0.17952606048773259</v>
      </c>
      <c r="L61" s="1">
        <f t="shared" si="0"/>
        <v>73.427486308452288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3.22</v>
      </c>
      <c r="G62">
        <v>185762</v>
      </c>
      <c r="H62">
        <v>185761.56299999999</v>
      </c>
      <c r="I62" cm="1">
        <f t="array" ref="I62">TREND($X$8:$X$12,$W$8:$W$12,H62)</f>
        <v>22.266010276270677</v>
      </c>
      <c r="J62">
        <f>I62/(2/0.2)*3</f>
        <v>6.6798030828812038</v>
      </c>
      <c r="K62">
        <v>0.19723586479212707</v>
      </c>
      <c r="L62" s="1">
        <f t="shared" si="0"/>
        <v>33.867081374481529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3.22</v>
      </c>
      <c r="G63">
        <v>276555</v>
      </c>
      <c r="H63">
        <v>276554.90600000002</v>
      </c>
      <c r="I63" cm="1">
        <f t="array" ref="I63">TREND($X$8:$X$12,$W$8:$W$12,H63)</f>
        <v>33.430998381068434</v>
      </c>
      <c r="J63">
        <f>I63/(2/0.2)*3</f>
        <v>10.029299514320531</v>
      </c>
      <c r="K63">
        <v>0.28417490410460888</v>
      </c>
      <c r="L63" s="1">
        <f t="shared" si="0"/>
        <v>35.292699564450636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3.22</v>
      </c>
      <c r="G64">
        <v>146734</v>
      </c>
      <c r="H64">
        <v>146734.484</v>
      </c>
      <c r="I64" cm="1">
        <f t="array" ref="I64">TREND($X$8:$X$12,$W$8:$W$12,H64)</f>
        <v>17.466794183963096</v>
      </c>
      <c r="J64">
        <f>I64/(2/0.2)*3</f>
        <v>5.240038255188928</v>
      </c>
      <c r="K64">
        <v>0.17872106938298743</v>
      </c>
      <c r="L64" s="1">
        <f t="shared" si="0"/>
        <v>29.319644702661623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3.23</v>
      </c>
      <c r="G65">
        <v>157018</v>
      </c>
      <c r="H65">
        <v>157018.40599999999</v>
      </c>
      <c r="I65" cm="1">
        <f t="array" ref="I65">TREND($X$8:$X$12,$W$8:$W$12,H65)</f>
        <v>18.731422878168878</v>
      </c>
      <c r="J65">
        <f>I65/(2/0.2)*3</f>
        <v>5.6194268634506628</v>
      </c>
      <c r="K65">
        <v>0.19884584700161748</v>
      </c>
      <c r="L65" s="1">
        <f t="shared" si="0"/>
        <v>28.260217390433869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3.22</v>
      </c>
      <c r="G66">
        <v>266074</v>
      </c>
      <c r="H66">
        <v>266073.84399999998</v>
      </c>
      <c r="I66" cm="1">
        <f t="array" ref="I66">TREND($X$8:$X$12,$W$8:$W$12,H66)</f>
        <v>32.142127097238209</v>
      </c>
      <c r="J66">
        <f>I66/(2/0.2)*3</f>
        <v>9.6426381291714627</v>
      </c>
      <c r="K66">
        <v>0.17469611385926145</v>
      </c>
      <c r="L66" s="1">
        <f t="shared" si="0"/>
        <v>55.196637842440829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3.22</v>
      </c>
      <c r="G67">
        <v>216313</v>
      </c>
      <c r="H67">
        <v>216312.75</v>
      </c>
      <c r="I67" cm="1">
        <f t="array" ref="I67">TREND($X$8:$X$12,$W$8:$W$12,H67)</f>
        <v>26.022933726511429</v>
      </c>
      <c r="J67">
        <f>I67/(2/0.2)*3</f>
        <v>7.806880117953428</v>
      </c>
      <c r="K67">
        <v>0.24875529549582001</v>
      </c>
      <c r="L67" s="1">
        <f t="shared" si="0"/>
        <v>31.383774574095899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3.22</v>
      </c>
      <c r="G68">
        <v>170634</v>
      </c>
      <c r="H68">
        <v>170633.625</v>
      </c>
      <c r="I68" cm="1">
        <f t="array" ref="I68">TREND($X$8:$X$12,$W$8:$W$12,H68)</f>
        <v>20.405705960566412</v>
      </c>
      <c r="J68">
        <f>I68/(2/0.2)*3</f>
        <v>6.1217117881699235</v>
      </c>
      <c r="K68">
        <v>0.18274602490671343</v>
      </c>
      <c r="L68" s="1">
        <f t="shared" si="0"/>
        <v>33.498467566092778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3.22</v>
      </c>
      <c r="G69">
        <v>241147</v>
      </c>
      <c r="H69">
        <v>241146.859</v>
      </c>
      <c r="I69" cm="1">
        <f t="array" ref="I69">TREND($X$8:$X$12,$W$8:$W$12,H69)</f>
        <v>29.076819864157564</v>
      </c>
      <c r="J69">
        <f>I69/(2/0.2)*3</f>
        <v>8.7230459592472691</v>
      </c>
      <c r="K69">
        <v>0.10063693222270288</v>
      </c>
      <c r="L69" s="1">
        <f t="shared" si="0"/>
        <v>86.678377078742272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3.22</v>
      </c>
      <c r="G70">
        <v>225121</v>
      </c>
      <c r="H70">
        <v>225121.21900000001</v>
      </c>
      <c r="I70" cm="1">
        <f t="array" ref="I70">TREND($X$8:$X$12,$W$8:$W$12,H70)</f>
        <v>27.106123841082713</v>
      </c>
      <c r="J70">
        <f>I70/(2/0.2)*3</f>
        <v>8.1318371523248132</v>
      </c>
      <c r="K70">
        <v>0.12156670094607813</v>
      </c>
      <c r="L70" s="1">
        <f t="shared" si="0"/>
        <v>66.891978552019381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3.22</v>
      </c>
      <c r="G71">
        <v>147246</v>
      </c>
      <c r="H71">
        <v>147246.016</v>
      </c>
      <c r="I71" cm="1">
        <f t="array" ref="I71">TREND($X$8:$X$12,$W$8:$W$12,H71)</f>
        <v>17.529698010460852</v>
      </c>
      <c r="J71">
        <f>I71/(2/0.2)*3</f>
        <v>5.2589094031382562</v>
      </c>
      <c r="K71">
        <v>8.8562065651524843E-2</v>
      </c>
      <c r="L71" s="1">
        <f t="shared" si="0"/>
        <v>59.381060778675611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3.22</v>
      </c>
      <c r="G72">
        <v>113436</v>
      </c>
      <c r="H72">
        <v>113435.79700000001</v>
      </c>
      <c r="I72" cm="1">
        <f t="array" ref="I72">TREND($X$8:$X$12,$W$8:$W$12,H72)</f>
        <v>13.372006703119002</v>
      </c>
      <c r="J72">
        <f>I72/(2/0.2)*3</f>
        <v>4.0116020109357002</v>
      </c>
      <c r="K72">
        <v>0.13766652304098212</v>
      </c>
      <c r="L72" s="1">
        <f t="shared" si="0"/>
        <v>29.139996582476929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3.22</v>
      </c>
      <c r="G73">
        <v>79374</v>
      </c>
      <c r="H73">
        <v>79374.258000000002</v>
      </c>
      <c r="I73" cm="1">
        <f t="array" ref="I73">TREND($X$8:$X$12,$W$8:$W$12,H73)</f>
        <v>9.1834102135492248</v>
      </c>
      <c r="J73">
        <f>I73/(2/0.2)*3</f>
        <v>2.7550230640647673</v>
      </c>
      <c r="K73">
        <v>8.2122136813563229E-2</v>
      </c>
      <c r="L73" s="1">
        <f t="shared" ref="L73" si="1">J73/K73</f>
        <v>33.547873581508533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3.18</v>
      </c>
      <c r="G74">
        <v>8483</v>
      </c>
      <c r="H74">
        <v>8483.4770000000008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3F5C-7045-4C87-BD5D-B1248FFA2E0B}">
  <dimension ref="A1:AB73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259</v>
      </c>
      <c r="P3" t="s">
        <v>91</v>
      </c>
    </row>
    <row r="5" spans="1:28" x14ac:dyDescent="0.3">
      <c r="A5" t="s">
        <v>92</v>
      </c>
      <c r="P5" t="s">
        <v>92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3.31</v>
      </c>
      <c r="G8">
        <v>129459</v>
      </c>
      <c r="H8">
        <v>129458.56299999999</v>
      </c>
      <c r="I8" cm="1">
        <f t="array" ref="I8">TREND($X$8:$X$13,$W$8:$W$13,H8)</f>
        <v>9.7781564014735345</v>
      </c>
      <c r="J8">
        <f>I8/(2/0.2)*3</f>
        <v>2.9334469204420603</v>
      </c>
      <c r="K8">
        <v>0.10224691443219328</v>
      </c>
      <c r="L8" s="1">
        <f>J8/K8</f>
        <v>28.689833201640759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3.31</v>
      </c>
      <c r="V8">
        <v>18813</v>
      </c>
      <c r="W8">
        <v>18812.934000000001</v>
      </c>
      <c r="X8">
        <v>1</v>
      </c>
      <c r="Y8">
        <v>0.97099999999999997</v>
      </c>
      <c r="Z8">
        <v>-2.9</v>
      </c>
      <c r="AA8">
        <v>58</v>
      </c>
      <c r="AB8">
        <v>34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3.31</v>
      </c>
      <c r="G9">
        <v>130031</v>
      </c>
      <c r="H9">
        <v>130030.883</v>
      </c>
      <c r="I9" cm="1">
        <f t="array" ref="I9">TREND($X$8:$X$13,$W$8:$W$13,H9)</f>
        <v>9.8255083607522149</v>
      </c>
      <c r="J9">
        <f>I9/(2/0.2)*3</f>
        <v>2.9476525082256648</v>
      </c>
      <c r="K9">
        <v>0.12639664757454935</v>
      </c>
      <c r="L9" s="1">
        <f t="shared" ref="L9:L72" si="0">J9/K9</f>
        <v>23.320654184970572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3.31</v>
      </c>
      <c r="V9">
        <v>34076</v>
      </c>
      <c r="W9">
        <v>34076.468999999997</v>
      </c>
      <c r="X9">
        <v>2</v>
      </c>
      <c r="Y9">
        <v>2.145</v>
      </c>
      <c r="Z9">
        <v>7.2</v>
      </c>
      <c r="AA9">
        <v>115</v>
      </c>
      <c r="AB9">
        <v>197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3.32</v>
      </c>
      <c r="G10">
        <v>151609</v>
      </c>
      <c r="H10">
        <v>151609.375</v>
      </c>
      <c r="I10" cm="1">
        <f t="array" ref="I10">TREND($X$8:$X$13,$W$8:$W$13,H10)</f>
        <v>11.610845015908966</v>
      </c>
      <c r="J10">
        <f>I10/(2/0.2)*3</f>
        <v>3.4832535047726898</v>
      </c>
      <c r="K10">
        <v>0.15054638071690538</v>
      </c>
      <c r="L10" s="1">
        <f t="shared" si="0"/>
        <v>23.137411129947829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3.31</v>
      </c>
      <c r="V10">
        <v>72131</v>
      </c>
      <c r="W10">
        <v>72130.656000000003</v>
      </c>
      <c r="X10">
        <v>5</v>
      </c>
      <c r="Y10">
        <v>5.0759999999999996</v>
      </c>
      <c r="Z10">
        <v>1.5</v>
      </c>
      <c r="AA10">
        <v>354</v>
      </c>
      <c r="AB10">
        <v>238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3.31</v>
      </c>
      <c r="G11">
        <v>221635</v>
      </c>
      <c r="H11">
        <v>221635.43799999999</v>
      </c>
      <c r="I11" cm="1">
        <f t="array" ref="I11">TREND($X$8:$X$13,$W$8:$W$13,H11)</f>
        <v>17.404581533280794</v>
      </c>
      <c r="J11">
        <f>I11/(2/0.2)*3</f>
        <v>5.2213744599842382</v>
      </c>
      <c r="K11">
        <v>0.14893639850741497</v>
      </c>
      <c r="L11" s="1">
        <f t="shared" si="0"/>
        <v>35.057746207850499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3.31</v>
      </c>
      <c r="V11">
        <v>139564</v>
      </c>
      <c r="W11">
        <v>139564.125</v>
      </c>
      <c r="X11">
        <v>10</v>
      </c>
      <c r="Y11">
        <v>10.285</v>
      </c>
      <c r="Z11">
        <v>2.8</v>
      </c>
      <c r="AA11">
        <v>700</v>
      </c>
      <c r="AB11">
        <v>468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3.31</v>
      </c>
      <c r="G12">
        <v>189370</v>
      </c>
      <c r="H12">
        <v>189369.859</v>
      </c>
      <c r="I12" cm="1">
        <f t="array" ref="I12">TREND($X$8:$X$13,$W$8:$W$13,H12)</f>
        <v>14.735028865348491</v>
      </c>
      <c r="J12">
        <f>I12/(2/0.2)*3</f>
        <v>4.4205086596045478</v>
      </c>
      <c r="K12">
        <v>4.0262599366812736E-2</v>
      </c>
      <c r="L12" s="1">
        <f t="shared" si="0"/>
        <v>109.79193418019209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3.31</v>
      </c>
      <c r="V12">
        <v>252314</v>
      </c>
      <c r="W12">
        <v>252314.34400000001</v>
      </c>
      <c r="X12">
        <v>20</v>
      </c>
      <c r="Y12">
        <v>19.035</v>
      </c>
      <c r="Z12">
        <v>-4.8</v>
      </c>
      <c r="AA12">
        <v>988</v>
      </c>
      <c r="AB12">
        <v>899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3.31</v>
      </c>
      <c r="G13">
        <v>166080</v>
      </c>
      <c r="H13">
        <v>166079.93799999999</v>
      </c>
      <c r="I13" cm="1">
        <f t="array" ref="I13">TREND($X$8:$X$13,$W$8:$W$13,H13)</f>
        <v>12.808093949924142</v>
      </c>
      <c r="J13">
        <f>I13/(2/0.2)*3</f>
        <v>3.8424281849772424</v>
      </c>
      <c r="K13">
        <v>0.11351678989862611</v>
      </c>
      <c r="L13" s="1">
        <f t="shared" si="0"/>
        <v>33.848985585380326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3.31</v>
      </c>
      <c r="V13">
        <v>614363</v>
      </c>
      <c r="W13">
        <v>614363.06299999997</v>
      </c>
      <c r="X13">
        <v>50</v>
      </c>
      <c r="Y13">
        <v>47.488</v>
      </c>
      <c r="Z13">
        <v>-5</v>
      </c>
      <c r="AA13">
        <v>3435</v>
      </c>
      <c r="AB13">
        <v>4701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3.31</v>
      </c>
      <c r="G14">
        <v>103928</v>
      </c>
      <c r="H14">
        <v>103927.55499999999</v>
      </c>
      <c r="I14" cm="1">
        <f t="array" ref="I14">TREND($X$8:$X$13,$W$8:$W$13,H14)</f>
        <v>7.6658009863916909</v>
      </c>
      <c r="J14">
        <f>I14/(2/0.2)*3</f>
        <v>2.2997402959175073</v>
      </c>
      <c r="K14">
        <v>0.10144192332744809</v>
      </c>
      <c r="L14" s="1">
        <f t="shared" si="0"/>
        <v>22.670511564475092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3.32</v>
      </c>
      <c r="V14">
        <v>1234964</v>
      </c>
      <c r="W14">
        <v>1234963.75</v>
      </c>
      <c r="X14">
        <v>100</v>
      </c>
      <c r="Y14">
        <v>97.602000000000004</v>
      </c>
      <c r="Z14">
        <v>-2.4</v>
      </c>
      <c r="AA14">
        <v>6795</v>
      </c>
      <c r="AB14">
        <v>3670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3.31</v>
      </c>
      <c r="G15">
        <v>80561</v>
      </c>
      <c r="H15">
        <v>80560.906000000003</v>
      </c>
      <c r="I15" cm="1">
        <f t="array" ref="I15">TREND($X$8:$X$13,$W$8:$W$13,H15)</f>
        <v>5.7325178372317858</v>
      </c>
      <c r="J15">
        <f>I15/(2/0.2)*3</f>
        <v>1.7197553511695356</v>
      </c>
      <c r="K15">
        <v>8.3732119023053622E-2</v>
      </c>
      <c r="L15" s="1">
        <f t="shared" si="0"/>
        <v>20.538777368049676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3.32</v>
      </c>
      <c r="V15">
        <v>2531296</v>
      </c>
      <c r="W15">
        <v>2531295.75</v>
      </c>
      <c r="X15">
        <v>200</v>
      </c>
      <c r="Y15">
        <v>208.54300000000001</v>
      </c>
      <c r="Z15">
        <v>4.3</v>
      </c>
      <c r="AA15">
        <v>10916</v>
      </c>
      <c r="AB15">
        <v>7701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3.31</v>
      </c>
      <c r="G16">
        <v>425635</v>
      </c>
      <c r="H16">
        <v>425635.46899999998</v>
      </c>
      <c r="I16" cm="1">
        <f t="array" ref="I16">TREND($X$8:$X$13,$W$8:$W$13,H16)</f>
        <v>34.282903382528346</v>
      </c>
      <c r="J16">
        <f>I16/(2/0.2)*3</f>
        <v>10.284871014758505</v>
      </c>
      <c r="K16">
        <v>0.22299558014397355</v>
      </c>
      <c r="L16" s="1">
        <f t="shared" si="0"/>
        <v>46.121411949592186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3.32</v>
      </c>
      <c r="V16">
        <v>5399094</v>
      </c>
      <c r="W16">
        <v>5399094</v>
      </c>
      <c r="X16">
        <v>500</v>
      </c>
      <c r="Y16">
        <v>496.661</v>
      </c>
      <c r="Z16">
        <v>-0.7</v>
      </c>
      <c r="AA16">
        <v>6212</v>
      </c>
      <c r="AB16">
        <v>5493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3.31</v>
      </c>
      <c r="G17">
        <v>469041</v>
      </c>
      <c r="H17">
        <v>469040.81300000002</v>
      </c>
      <c r="I17" cm="1">
        <f t="array" ref="I17">TREND($X$8:$X$13,$W$8:$W$13,H17)</f>
        <v>37.874125219202014</v>
      </c>
      <c r="J17">
        <f>I17/(2/0.2)*3</f>
        <v>11.362237565760605</v>
      </c>
      <c r="K17">
        <v>0.1175417454223521</v>
      </c>
      <c r="L17" s="1">
        <f t="shared" si="0"/>
        <v>96.665550821401425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3.31</v>
      </c>
      <c r="G18">
        <v>289112</v>
      </c>
      <c r="H18">
        <v>289111.90600000002</v>
      </c>
      <c r="I18" cm="1">
        <f t="array" ref="I18">TREND($X$8:$X$13,$W$8:$W$13,H18)</f>
        <v>22.987372568025556</v>
      </c>
      <c r="J18">
        <f>I18/(2/0.2)*3</f>
        <v>6.8962117704076675</v>
      </c>
      <c r="K18">
        <v>0.11351678989862611</v>
      </c>
      <c r="L18" s="1">
        <f t="shared" si="0"/>
        <v>60.750588318839803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3.32</v>
      </c>
      <c r="G19">
        <v>277256</v>
      </c>
      <c r="H19">
        <v>277256.46899999998</v>
      </c>
      <c r="I19" cm="1">
        <f t="array" ref="I19">TREND($X$8:$X$13,$W$8:$W$13,H19)</f>
        <v>22.006490945760124</v>
      </c>
      <c r="J19">
        <f>I19/(2/0.2)*3</f>
        <v>6.6019472837280366</v>
      </c>
      <c r="K19">
        <v>8.4537110127798853E-2</v>
      </c>
      <c r="L19" s="1">
        <f t="shared" si="0"/>
        <v>78.095256316989691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3.31</v>
      </c>
      <c r="G20">
        <v>404776</v>
      </c>
      <c r="H20">
        <v>404775.625</v>
      </c>
      <c r="I20" cm="1">
        <f t="array" ref="I20">TREND($X$8:$X$13,$W$8:$W$13,H20)</f>
        <v>32.55702540578875</v>
      </c>
      <c r="J20">
        <f>I20/(2/0.2)*3</f>
        <v>9.7671076217366242</v>
      </c>
      <c r="K20">
        <v>0.1078818521654097</v>
      </c>
      <c r="L20" s="1">
        <f t="shared" si="0"/>
        <v>90.53522372568483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3.32</v>
      </c>
      <c r="G21">
        <v>397848</v>
      </c>
      <c r="H21">
        <v>397848.09399999998</v>
      </c>
      <c r="I21" cm="1">
        <f t="array" ref="I21">TREND($X$8:$X$13,$W$8:$W$13,H21)</f>
        <v>31.983863248579862</v>
      </c>
      <c r="J21">
        <f>I21/(2/0.2)*3</f>
        <v>9.5951589745739589</v>
      </c>
      <c r="K21">
        <v>0.14813140740266978</v>
      </c>
      <c r="L21" s="1">
        <f t="shared" si="0"/>
        <v>64.774642615061154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3.31</v>
      </c>
      <c r="G22">
        <v>247005</v>
      </c>
      <c r="H22">
        <v>247004.65599999999</v>
      </c>
      <c r="I22" cm="1">
        <f t="array" ref="I22">TREND($X$8:$X$13,$W$8:$W$13,H22)</f>
        <v>19.503550951906639</v>
      </c>
      <c r="J22">
        <f>I22/(2/0.2)*3</f>
        <v>5.8510652855719911</v>
      </c>
      <c r="K22">
        <v>6.6022314718659172E-2</v>
      </c>
      <c r="L22" s="1">
        <f t="shared" si="0"/>
        <v>88.622540886443176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3.31</v>
      </c>
      <c r="G23">
        <v>171285</v>
      </c>
      <c r="H23">
        <v>171285.43799999999</v>
      </c>
      <c r="I23" cm="1">
        <f t="array" ref="I23">TREND($X$8:$X$13,$W$8:$W$13,H23)</f>
        <v>13.238780670683798</v>
      </c>
      <c r="J23">
        <f>I23/(2/0.2)*3</f>
        <v>3.9716342012051395</v>
      </c>
      <c r="K23">
        <v>0.22621554456295434</v>
      </c>
      <c r="L23" s="1">
        <f t="shared" si="0"/>
        <v>17.556858035013853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3.31</v>
      </c>
      <c r="G24">
        <v>240473</v>
      </c>
      <c r="H24">
        <v>240473.375</v>
      </c>
      <c r="I24" cm="1">
        <f t="array" ref="I24">TREND($X$8:$X$13,$W$8:$W$13,H24)</f>
        <v>18.963173275170526</v>
      </c>
      <c r="J24">
        <f>I24/(2/0.2)*3</f>
        <v>5.6889519825511581</v>
      </c>
      <c r="K24">
        <v>0.21897062462024752</v>
      </c>
      <c r="L24" s="1">
        <f t="shared" si="0"/>
        <v>25.980434555627234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3.31</v>
      </c>
      <c r="G25">
        <v>210851</v>
      </c>
      <c r="H25">
        <v>210851.04699999999</v>
      </c>
      <c r="I25" cm="1">
        <f t="array" ref="I25">TREND($X$8:$X$13,$W$8:$W$13,H25)</f>
        <v>16.512314893154016</v>
      </c>
      <c r="J25">
        <f>I25/(2/0.2)*3</f>
        <v>4.9536944679462049</v>
      </c>
      <c r="K25">
        <v>0.11271179879388092</v>
      </c>
      <c r="L25" s="1">
        <f t="shared" si="0"/>
        <v>43.950096804019232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3.31</v>
      </c>
      <c r="G26">
        <v>337807</v>
      </c>
      <c r="H26">
        <v>337807.46899999998</v>
      </c>
      <c r="I26" cm="1">
        <f t="array" ref="I26">TREND($X$8:$X$13,$W$8:$W$13,H26)</f>
        <v>27.016290509436605</v>
      </c>
      <c r="J26">
        <f>I26/(2/0.2)*3</f>
        <v>8.1048871528309814</v>
      </c>
      <c r="K26">
        <v>9.1782030070505644E-2</v>
      </c>
      <c r="L26" s="1">
        <f t="shared" si="0"/>
        <v>88.305817016739795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3.31</v>
      </c>
      <c r="G27">
        <v>282630</v>
      </c>
      <c r="H27">
        <v>282630.06300000002</v>
      </c>
      <c r="I27" cm="1">
        <f t="array" ref="I27">TREND($X$8:$X$13,$W$8:$W$13,H27)</f>
        <v>22.451085236136414</v>
      </c>
      <c r="J27">
        <f>I27/(2/0.2)*3</f>
        <v>6.7353255708409243</v>
      </c>
      <c r="K27">
        <v>0.16584121170706426</v>
      </c>
      <c r="L27" s="1">
        <f t="shared" si="0"/>
        <v>40.613099129653932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3.31</v>
      </c>
      <c r="G28">
        <v>266642</v>
      </c>
      <c r="H28">
        <v>266641.875</v>
      </c>
      <c r="I28" cm="1">
        <f t="array" ref="I28">TREND($X$8:$X$13,$W$8:$W$13,H28)</f>
        <v>21.128272776121261</v>
      </c>
      <c r="J28">
        <f>I28/(2/0.2)*3</f>
        <v>6.3384818328363774</v>
      </c>
      <c r="K28">
        <v>0.20850574025855992</v>
      </c>
      <c r="L28" s="1">
        <f t="shared" si="0"/>
        <v>30.399555546894156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3.31</v>
      </c>
      <c r="G29">
        <v>335306</v>
      </c>
      <c r="H29">
        <v>335306.34399999998</v>
      </c>
      <c r="I29" cm="1">
        <f t="array" ref="I29">TREND($X$8:$X$13,$W$8:$W$13,H29)</f>
        <v>26.809355282376764</v>
      </c>
      <c r="J29">
        <f>I29/(2/0.2)*3</f>
        <v>8.0428065847130306</v>
      </c>
      <c r="K29">
        <v>0.15457133624063138</v>
      </c>
      <c r="L29" s="1">
        <f t="shared" si="0"/>
        <v>52.032975714153523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3.31</v>
      </c>
      <c r="G30">
        <v>433600</v>
      </c>
      <c r="H30">
        <v>433600.125</v>
      </c>
      <c r="I30" cm="1">
        <f t="array" ref="I30">TREND($X$8:$X$13,$W$8:$W$13,H30)</f>
        <v>34.941874004873696</v>
      </c>
      <c r="J30">
        <f>I30/(2/0.2)*3</f>
        <v>10.482562201462109</v>
      </c>
      <c r="K30">
        <v>0.22863051787718996</v>
      </c>
      <c r="L30" s="1">
        <f t="shared" si="0"/>
        <v>45.849356852232958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3.31</v>
      </c>
      <c r="G31">
        <v>241003</v>
      </c>
      <c r="H31">
        <v>241003.18799999999</v>
      </c>
      <c r="I31" cm="1">
        <f t="array" ref="I31">TREND($X$8:$X$13,$W$8:$W$13,H31)</f>
        <v>19.007008338773606</v>
      </c>
      <c r="J31">
        <f>I31/(2/0.2)*3</f>
        <v>5.7021025016320817</v>
      </c>
      <c r="K31">
        <v>0.19079593595416544</v>
      </c>
      <c r="L31" s="1">
        <f t="shared" si="0"/>
        <v>29.885869807006202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3.31</v>
      </c>
      <c r="G32">
        <v>438774</v>
      </c>
      <c r="H32">
        <v>438774.18800000002</v>
      </c>
      <c r="I32" cm="1">
        <f t="array" ref="I32">TREND($X$8:$X$13,$W$8:$W$13,H32)</f>
        <v>35.369959726989507</v>
      </c>
      <c r="J32">
        <f>I32/(2/0.2)*3</f>
        <v>10.610987918096853</v>
      </c>
      <c r="K32">
        <v>0.13122659420302052</v>
      </c>
      <c r="L32" s="1">
        <f t="shared" si="0"/>
        <v>80.860041994846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3.31</v>
      </c>
      <c r="G33">
        <v>268664</v>
      </c>
      <c r="H33">
        <v>268663.78100000002</v>
      </c>
      <c r="I33" cm="1">
        <f t="array" ref="I33">TREND($X$8:$X$13,$W$8:$W$13,H33)</f>
        <v>21.295558928234271</v>
      </c>
      <c r="J33">
        <f>I33/(2/0.2)*3</f>
        <v>6.3886676784702807</v>
      </c>
      <c r="K33">
        <v>0.13927650525047255</v>
      </c>
      <c r="L33" s="1">
        <f t="shared" si="0"/>
        <v>45.870390465218861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3.31</v>
      </c>
      <c r="G34">
        <v>391282</v>
      </c>
      <c r="H34">
        <v>391282.09399999998</v>
      </c>
      <c r="I34" cm="1">
        <f t="array" ref="I34">TREND($X$8:$X$13,$W$8:$W$13,H34)</f>
        <v>31.440613030827887</v>
      </c>
      <c r="J34">
        <f>I34/(2/0.2)*3</f>
        <v>9.4321839092483657</v>
      </c>
      <c r="K34">
        <v>9.7416967803722054E-2</v>
      </c>
      <c r="L34" s="1">
        <f t="shared" si="0"/>
        <v>96.822803274400272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3.31</v>
      </c>
      <c r="G35">
        <v>194353</v>
      </c>
      <c r="H35">
        <v>194353.06299999999</v>
      </c>
      <c r="I35" cm="1">
        <f t="array" ref="I35">TREND($X$8:$X$13,$W$8:$W$13,H35)</f>
        <v>15.147323513247137</v>
      </c>
      <c r="J35">
        <f>I35/(2/0.2)*3</f>
        <v>4.5441970539741412</v>
      </c>
      <c r="K35">
        <v>7.4877216870856411E-2</v>
      </c>
      <c r="L35" s="1">
        <f t="shared" si="0"/>
        <v>60.688647947635275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3.31</v>
      </c>
      <c r="G36">
        <v>400109</v>
      </c>
      <c r="H36">
        <v>400108.53100000002</v>
      </c>
      <c r="I36" cm="1">
        <f t="array" ref="I36">TREND($X$8:$X$13,$W$8:$W$13,H36)</f>
        <v>32.170884706463596</v>
      </c>
      <c r="J36">
        <f>I36/(2/0.2)*3</f>
        <v>9.6512654119390788</v>
      </c>
      <c r="K36">
        <v>0.14491144298368897</v>
      </c>
      <c r="L36" s="1">
        <f t="shared" si="0"/>
        <v>66.60112695879657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3.31</v>
      </c>
      <c r="G37">
        <v>359500</v>
      </c>
      <c r="H37">
        <v>359499.625</v>
      </c>
      <c r="I37" cm="1">
        <f t="array" ref="I37">TREND($X$8:$X$13,$W$8:$W$13,H37)</f>
        <v>28.811031366961704</v>
      </c>
      <c r="J37">
        <f>I37/(2/0.2)*3</f>
        <v>8.6433094100885111</v>
      </c>
      <c r="K37">
        <v>0.14571643408843418</v>
      </c>
      <c r="L37" s="1">
        <f t="shared" si="0"/>
        <v>59.315954745660008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3.31</v>
      </c>
      <c r="G38">
        <v>462051</v>
      </c>
      <c r="H38">
        <v>462051.28100000002</v>
      </c>
      <c r="I38" cm="1">
        <f t="array" ref="I38">TREND($X$8:$X$13,$W$8:$W$13,H38)</f>
        <v>37.295833293983563</v>
      </c>
      <c r="J38">
        <f>I38/(2/0.2)*3</f>
        <v>11.18874998819507</v>
      </c>
      <c r="K38">
        <v>0.26405012648597881</v>
      </c>
      <c r="L38" s="1">
        <f t="shared" si="0"/>
        <v>42.373583141567622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3.31</v>
      </c>
      <c r="G39">
        <v>399942</v>
      </c>
      <c r="H39">
        <v>399942.375</v>
      </c>
      <c r="I39" cm="1">
        <f t="array" ref="I39">TREND($X$8:$X$13,$W$8:$W$13,H39)</f>
        <v>32.157137480880166</v>
      </c>
      <c r="J39">
        <f>I39/(2/0.2)*3</f>
        <v>9.6471412442640485</v>
      </c>
      <c r="K39">
        <v>0.17469611385926145</v>
      </c>
      <c r="L39" s="1">
        <f t="shared" si="0"/>
        <v>55.222414689979715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3.31</v>
      </c>
      <c r="G40">
        <v>230103</v>
      </c>
      <c r="H40">
        <v>230102.609</v>
      </c>
      <c r="I40" cm="1">
        <f t="array" ref="I40">TREND($X$8:$X$13,$W$8:$W$13,H40)</f>
        <v>18.105128668445765</v>
      </c>
      <c r="J40">
        <f>I40/(2/0.2)*3</f>
        <v>5.4315386005337292</v>
      </c>
      <c r="K40">
        <v>0.1175417454223521</v>
      </c>
      <c r="L40" s="1">
        <f t="shared" si="0"/>
        <v>46.209443130328495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3.31</v>
      </c>
      <c r="G41">
        <v>217431</v>
      </c>
      <c r="H41">
        <v>217431.40599999999</v>
      </c>
      <c r="I41" cm="1">
        <f t="array" ref="I41">TREND($X$8:$X$13,$W$8:$W$13,H41)</f>
        <v>17.056753129467779</v>
      </c>
      <c r="J41">
        <f>I41/(2/0.2)*3</f>
        <v>5.1170259388403334</v>
      </c>
      <c r="K41">
        <v>0.14813140740266978</v>
      </c>
      <c r="L41" s="1">
        <f t="shared" si="0"/>
        <v>34.543828540902048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3.31</v>
      </c>
      <c r="G42">
        <v>385308</v>
      </c>
      <c r="H42">
        <v>385307.65600000002</v>
      </c>
      <c r="I42" cm="1">
        <f t="array" ref="I42">TREND($X$8:$X$13,$W$8:$W$13,H42)</f>
        <v>30.946306795000037</v>
      </c>
      <c r="J42">
        <f>I42/(2/0.2)*3</f>
        <v>9.2838920385000119</v>
      </c>
      <c r="K42">
        <v>0.11673675431760691</v>
      </c>
      <c r="L42" s="1">
        <f t="shared" si="0"/>
        <v>79.528440659239422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3.31</v>
      </c>
      <c r="G43">
        <v>182672</v>
      </c>
      <c r="H43">
        <v>182671.59400000001</v>
      </c>
      <c r="I43" cm="1">
        <f t="array" ref="I43">TREND($X$8:$X$13,$W$8:$W$13,H43)</f>
        <v>14.180835456909499</v>
      </c>
      <c r="J43">
        <f>I43/(2/0.2)*3</f>
        <v>4.2542506370728503</v>
      </c>
      <c r="K43">
        <v>8.6147092337289247E-2</v>
      </c>
      <c r="L43" s="1">
        <f t="shared" si="0"/>
        <v>49.383566196480601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3.31</v>
      </c>
      <c r="G44">
        <v>269073</v>
      </c>
      <c r="H44">
        <v>269073.06300000002</v>
      </c>
      <c r="I44" cm="1">
        <f t="array" ref="I44">TREND($X$8:$X$13,$W$8:$W$13,H44)</f>
        <v>21.329421635456622</v>
      </c>
      <c r="J44">
        <f>I44/(2/0.2)*3</f>
        <v>6.3988264906369867</v>
      </c>
      <c r="K44">
        <v>8.9367056756270047E-2</v>
      </c>
      <c r="L44" s="1">
        <f t="shared" si="0"/>
        <v>71.601625060657952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3.31</v>
      </c>
      <c r="G45">
        <v>280905</v>
      </c>
      <c r="H45">
        <v>280904.68800000002</v>
      </c>
      <c r="I45" cm="1">
        <f t="array" ref="I45">TREND($X$8:$X$13,$W$8:$W$13,H45)</f>
        <v>22.308333127629894</v>
      </c>
      <c r="J45">
        <f>I45/(2/0.2)*3</f>
        <v>6.6924999382889681</v>
      </c>
      <c r="K45">
        <v>9.3392012279996037E-2</v>
      </c>
      <c r="L45" s="1">
        <f t="shared" si="0"/>
        <v>71.660303433920745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3.31</v>
      </c>
      <c r="G46">
        <v>306029</v>
      </c>
      <c r="H46">
        <v>306029.43800000002</v>
      </c>
      <c r="I46" cm="1">
        <f t="array" ref="I46">TREND($X$8:$X$13,$W$8:$W$13,H46)</f>
        <v>24.387076031751722</v>
      </c>
      <c r="J46">
        <f>I46/(2/0.2)*3</f>
        <v>7.316122809525516</v>
      </c>
      <c r="K46">
        <v>0.18918595374467503</v>
      </c>
      <c r="L46" s="1">
        <f t="shared" si="0"/>
        <v>38.671596197883382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3.31</v>
      </c>
      <c r="G47">
        <v>209035</v>
      </c>
      <c r="H47">
        <v>209034.875</v>
      </c>
      <c r="I47" cm="1">
        <f t="array" ref="I47">TREND($X$8:$X$13,$W$8:$W$13,H47)</f>
        <v>16.362050526039329</v>
      </c>
      <c r="J47">
        <f>I47/(2/0.2)*3</f>
        <v>4.9086151578117985</v>
      </c>
      <c r="K47">
        <v>9.2587021175250833E-2</v>
      </c>
      <c r="L47" s="1">
        <f t="shared" si="0"/>
        <v>53.016233760460437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3.31</v>
      </c>
      <c r="G48">
        <v>274087</v>
      </c>
      <c r="H48">
        <v>274087.125</v>
      </c>
      <c r="I48" cm="1">
        <f t="array" ref="I48">TREND($X$8:$X$13,$W$8:$W$13,H48)</f>
        <v>21.744269377357611</v>
      </c>
      <c r="J48">
        <f>I48/(2/0.2)*3</f>
        <v>6.5232808132072826</v>
      </c>
      <c r="K48">
        <v>0.14974138961216016</v>
      </c>
      <c r="L48" s="1">
        <f t="shared" si="0"/>
        <v>43.563645496432216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3.31</v>
      </c>
      <c r="G49">
        <v>350031</v>
      </c>
      <c r="H49">
        <v>350030.90600000002</v>
      </c>
      <c r="I49" cm="1">
        <f t="array" ref="I49">TREND($X$8:$X$13,$W$8:$W$13,H49)</f>
        <v>28.027619295901356</v>
      </c>
      <c r="J49">
        <f>I49/(2/0.2)*3</f>
        <v>8.4082857887704066</v>
      </c>
      <c r="K49">
        <v>0.19965083810636269</v>
      </c>
      <c r="L49" s="1">
        <f t="shared" si="0"/>
        <v>42.114953628649168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3.31</v>
      </c>
      <c r="G50">
        <v>479392</v>
      </c>
      <c r="H50">
        <v>479392.125</v>
      </c>
      <c r="I50" cm="1">
        <f t="array" ref="I50">TREND($X$8:$X$13,$W$8:$W$13,H50)</f>
        <v>38.730560263067176</v>
      </c>
      <c r="J50">
        <f>I50/(2/0.2)*3</f>
        <v>11.619168078920154</v>
      </c>
      <c r="K50">
        <v>0.22058060682973793</v>
      </c>
      <c r="L50" s="1">
        <f t="shared" si="0"/>
        <v>52.675383597474521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3.31</v>
      </c>
      <c r="G51">
        <v>401324</v>
      </c>
      <c r="H51">
        <v>401324.28100000002</v>
      </c>
      <c r="I51" cm="1">
        <f t="array" ref="I51">TREND($X$8:$X$13,$W$8:$W$13,H51)</f>
        <v>32.271472043081317</v>
      </c>
      <c r="J51">
        <f>I51/(2/0.2)*3</f>
        <v>9.6814416129243952</v>
      </c>
      <c r="K51">
        <v>0.12720163867929454</v>
      </c>
      <c r="L51" s="1">
        <f t="shared" si="0"/>
        <v>76.110981850898966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3.31</v>
      </c>
      <c r="G52">
        <v>315736</v>
      </c>
      <c r="H52">
        <v>315736.06300000002</v>
      </c>
      <c r="I52" cm="1">
        <f t="array" ref="I52">TREND($X$8:$X$13,$W$8:$W$13,H52)</f>
        <v>25.190171698045773</v>
      </c>
      <c r="J52">
        <f>I52/(2/0.2)*3</f>
        <v>7.557051509413732</v>
      </c>
      <c r="K52">
        <v>0.1594012828691026</v>
      </c>
      <c r="L52" s="1">
        <f t="shared" si="0"/>
        <v>47.408975469911645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3.31</v>
      </c>
      <c r="G53">
        <v>619955</v>
      </c>
      <c r="H53">
        <v>619955.375</v>
      </c>
      <c r="I53" cm="1">
        <f t="array" ref="I53">TREND($X$8:$X$13,$W$8:$W$13,H53)</f>
        <v>50.360322092251636</v>
      </c>
      <c r="J53">
        <f>I53/(2/0.2)*3</f>
        <v>15.108096627675492</v>
      </c>
      <c r="K53">
        <v>0.14491144298368897</v>
      </c>
      <c r="L53" s="1">
        <f t="shared" si="0"/>
        <v>104.25744383330748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3.31</v>
      </c>
      <c r="G54">
        <v>355695</v>
      </c>
      <c r="H54">
        <v>355695.43800000002</v>
      </c>
      <c r="I54" cm="1">
        <f t="array" ref="I54">TREND($X$8:$X$13,$W$8:$W$13,H54)</f>
        <v>28.49628488263042</v>
      </c>
      <c r="J54">
        <f>I54/(2/0.2)*3</f>
        <v>8.5488854647891266</v>
      </c>
      <c r="K54">
        <v>0.24553533107683917</v>
      </c>
      <c r="L54" s="1">
        <f t="shared" si="0"/>
        <v>34.817333323462897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3.31</v>
      </c>
      <c r="G55">
        <v>433493</v>
      </c>
      <c r="H55">
        <v>433493.34399999998</v>
      </c>
      <c r="I55" cm="1">
        <f t="array" ref="I55">TREND($X$8:$X$13,$W$8:$W$13,H55)</f>
        <v>34.933039280307483</v>
      </c>
      <c r="J55">
        <f>I55/(2/0.2)*3</f>
        <v>10.479911784092245</v>
      </c>
      <c r="K55">
        <v>0.3002747261995129</v>
      </c>
      <c r="L55" s="1">
        <f t="shared" si="0"/>
        <v>34.901078478143475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3.31</v>
      </c>
      <c r="G56">
        <v>293714</v>
      </c>
      <c r="H56">
        <v>293713.96899999998</v>
      </c>
      <c r="I56" cm="1">
        <f t="array" ref="I56">TREND($X$8:$X$13,$W$8:$W$13,H56)</f>
        <v>23.368132806657645</v>
      </c>
      <c r="J56">
        <f>I56/(2/0.2)*3</f>
        <v>7.010439841997294</v>
      </c>
      <c r="K56">
        <v>0.17147614944028067</v>
      </c>
      <c r="L56" s="1">
        <f t="shared" si="0"/>
        <v>40.88288584086029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3.31</v>
      </c>
      <c r="G57">
        <v>377380</v>
      </c>
      <c r="H57">
        <v>377379.625</v>
      </c>
      <c r="I57" cm="1">
        <f t="array" ref="I57">TREND($X$8:$X$13,$W$8:$W$13,H57)</f>
        <v>30.29036641012425</v>
      </c>
      <c r="J57">
        <f>I57/(2/0.2)*3</f>
        <v>9.0871099230372749</v>
      </c>
      <c r="K57">
        <v>0.18113604269722305</v>
      </c>
      <c r="L57" s="1">
        <f t="shared" si="0"/>
        <v>50.167320582501532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3.31</v>
      </c>
      <c r="G58">
        <v>547949</v>
      </c>
      <c r="H58">
        <v>547949</v>
      </c>
      <c r="I58" cm="1">
        <f t="array" ref="I58">TREND($X$8:$X$13,$W$8:$W$13,H58)</f>
        <v>44.402740779689907</v>
      </c>
      <c r="J58">
        <f>I58/(2/0.2)*3</f>
        <v>13.320822233906974</v>
      </c>
      <c r="K58">
        <v>8.2927127918308433E-2</v>
      </c>
      <c r="L58" s="1">
        <f t="shared" si="0"/>
        <v>160.6328660873113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3.31</v>
      </c>
      <c r="G59">
        <v>488431</v>
      </c>
      <c r="H59">
        <v>488430.68800000002</v>
      </c>
      <c r="I59" cm="1">
        <f t="array" ref="I59">TREND($X$8:$X$13,$W$8:$W$13,H59)</f>
        <v>39.47838257770546</v>
      </c>
      <c r="J59">
        <f>I59/(2/0.2)*3</f>
        <v>11.843514773311639</v>
      </c>
      <c r="K59">
        <v>0.11593176321286171</v>
      </c>
      <c r="L59" s="1">
        <f t="shared" si="0"/>
        <v>102.15936034342739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3.31</v>
      </c>
      <c r="G60">
        <v>229217</v>
      </c>
      <c r="H60">
        <v>229217.46900000001</v>
      </c>
      <c r="I60" cm="1">
        <f t="array" ref="I60">TREND($X$8:$X$13,$W$8:$W$13,H60)</f>
        <v>18.031894964860481</v>
      </c>
      <c r="J60">
        <f>I60/(2/0.2)*3</f>
        <v>5.4095684894581435</v>
      </c>
      <c r="K60">
        <v>0.17469611385926145</v>
      </c>
      <c r="L60" s="1">
        <f t="shared" si="0"/>
        <v>30.965591448795454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3.31</v>
      </c>
      <c r="G61">
        <v>453601</v>
      </c>
      <c r="H61">
        <v>453601.40600000002</v>
      </c>
      <c r="I61" cm="1">
        <f t="array" ref="I61">TREND($X$8:$X$13,$W$8:$W$13,H61)</f>
        <v>36.596717175535957</v>
      </c>
      <c r="J61">
        <f>I61/(2/0.2)*3</f>
        <v>10.979015152660786</v>
      </c>
      <c r="K61">
        <v>0.17952606048773259</v>
      </c>
      <c r="L61" s="1">
        <f t="shared" si="0"/>
        <v>61.155551026036164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3.31</v>
      </c>
      <c r="G62">
        <v>242153</v>
      </c>
      <c r="H62">
        <v>242152.67199999999</v>
      </c>
      <c r="I62" cm="1">
        <f t="array" ref="I62">TREND($X$8:$X$13,$W$8:$W$13,H62)</f>
        <v>19.10211303467711</v>
      </c>
      <c r="J62">
        <f>I62/(2/0.2)*3</f>
        <v>5.7306339104031334</v>
      </c>
      <c r="K62">
        <v>0.19723586479212707</v>
      </c>
      <c r="L62" s="1">
        <f t="shared" si="0"/>
        <v>29.054725500571735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3.31</v>
      </c>
      <c r="G63">
        <v>487936</v>
      </c>
      <c r="H63">
        <v>487936.31300000002</v>
      </c>
      <c r="I63" cm="1">
        <f t="array" ref="I63">TREND($X$8:$X$13,$W$8:$W$13,H63)</f>
        <v>39.43747954292003</v>
      </c>
      <c r="J63">
        <f>I63/(2/0.2)*3</f>
        <v>11.831243862876008</v>
      </c>
      <c r="K63">
        <v>0.28417490410460888</v>
      </c>
      <c r="L63" s="1">
        <f t="shared" si="0"/>
        <v>41.633668884852533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3.31</v>
      </c>
      <c r="G64">
        <v>194378</v>
      </c>
      <c r="H64">
        <v>194378.09400000001</v>
      </c>
      <c r="I64" cm="1">
        <f t="array" ref="I64">TREND($X$8:$X$13,$W$8:$W$13,H64)</f>
        <v>15.149394499570704</v>
      </c>
      <c r="J64">
        <f>I64/(2/0.2)*3</f>
        <v>4.5448183498712105</v>
      </c>
      <c r="K64">
        <v>0.17872106938298743</v>
      </c>
      <c r="L64" s="1">
        <f t="shared" si="0"/>
        <v>25.429672984621448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3.31</v>
      </c>
      <c r="G65">
        <v>289415</v>
      </c>
      <c r="H65">
        <v>289414.59399999998</v>
      </c>
      <c r="I65" cm="1">
        <f t="array" ref="I65">TREND($X$8:$X$13,$W$8:$W$13,H65)</f>
        <v>23.012416022474369</v>
      </c>
      <c r="J65">
        <f>I65/(2/0.2)*3</f>
        <v>6.9037248067423107</v>
      </c>
      <c r="K65">
        <v>0.19884584700161748</v>
      </c>
      <c r="L65" s="1">
        <f t="shared" si="0"/>
        <v>34.718979102873362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3.31</v>
      </c>
      <c r="G66">
        <v>387022</v>
      </c>
      <c r="H66">
        <v>387021.625</v>
      </c>
      <c r="I66" cm="1">
        <f t="array" ref="I66">TREND($X$8:$X$13,$W$8:$W$13,H66)</f>
        <v>31.088115206890098</v>
      </c>
      <c r="J66">
        <f>I66/(2/0.2)*3</f>
        <v>9.3264345620670301</v>
      </c>
      <c r="K66">
        <v>0.17469611385926145</v>
      </c>
      <c r="L66" s="1">
        <f t="shared" si="0"/>
        <v>53.386617229394041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3.31</v>
      </c>
      <c r="G67">
        <v>319066</v>
      </c>
      <c r="H67">
        <v>319066.18800000002</v>
      </c>
      <c r="I67" cm="1">
        <f t="array" ref="I67">TREND($X$8:$X$13,$W$8:$W$13,H67)</f>
        <v>25.465695781413316</v>
      </c>
      <c r="J67">
        <f>I67/(2/0.2)*3</f>
        <v>7.6397087344239942</v>
      </c>
      <c r="K67">
        <v>0.24875529549582001</v>
      </c>
      <c r="L67" s="1">
        <f t="shared" si="0"/>
        <v>30.711743117655033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3.31</v>
      </c>
      <c r="G68">
        <v>250810</v>
      </c>
      <c r="H68">
        <v>250809.875</v>
      </c>
      <c r="I68" cm="1">
        <f t="array" ref="I68">TREND($X$8:$X$13,$W$8:$W$13,H68)</f>
        <v>19.818382820676661</v>
      </c>
      <c r="J68">
        <f>I68/(2/0.2)*3</f>
        <v>5.9455148462029985</v>
      </c>
      <c r="K68">
        <v>0.18274602490671343</v>
      </c>
      <c r="L68" s="1">
        <f t="shared" si="0"/>
        <v>32.534304640760375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3.31</v>
      </c>
      <c r="G69">
        <v>283943</v>
      </c>
      <c r="H69">
        <v>283943.15600000002</v>
      </c>
      <c r="I69" cm="1">
        <f t="array" ref="I69">TREND($X$8:$X$13,$W$8:$W$13,H69)</f>
        <v>22.559726426842872</v>
      </c>
      <c r="J69">
        <f>I69/(2/0.2)*3</f>
        <v>6.767917928052861</v>
      </c>
      <c r="K69">
        <v>0.10063693222270288</v>
      </c>
      <c r="L69" s="1">
        <f t="shared" si="0"/>
        <v>67.250837029450636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3.31</v>
      </c>
      <c r="G70">
        <v>323765</v>
      </c>
      <c r="H70">
        <v>323765.18800000002</v>
      </c>
      <c r="I70" cm="1">
        <f t="array" ref="I70">TREND($X$8:$X$13,$W$8:$W$13,H70)</f>
        <v>25.854476282969291</v>
      </c>
      <c r="J70">
        <f>I70/(2/0.2)*3</f>
        <v>7.7563428848907865</v>
      </c>
      <c r="K70">
        <v>0.12156670094607813</v>
      </c>
      <c r="L70" s="1">
        <f t="shared" si="0"/>
        <v>63.803186436153872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3.31</v>
      </c>
      <c r="G71">
        <v>240514</v>
      </c>
      <c r="H71">
        <v>240513.625</v>
      </c>
      <c r="I71" cm="1">
        <f t="array" ref="I71">TREND($X$8:$X$13,$W$8:$W$13,H71)</f>
        <v>18.966503433754827</v>
      </c>
      <c r="J71">
        <f>I71/(2/0.2)*3</f>
        <v>5.6899510301264478</v>
      </c>
      <c r="K71">
        <v>8.8562065651524843E-2</v>
      </c>
      <c r="L71" s="1">
        <f t="shared" si="0"/>
        <v>64.248174297507248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3.31</v>
      </c>
      <c r="G72">
        <v>145688</v>
      </c>
      <c r="H72">
        <v>145687.875</v>
      </c>
      <c r="I72" cm="1">
        <f t="array" ref="I72">TREND($X$8:$X$13,$W$8:$W$13,H72)</f>
        <v>11.120918703935418</v>
      </c>
      <c r="J72">
        <f>I72/(2/0.2)*3</f>
        <v>3.3362756111806258</v>
      </c>
      <c r="K72">
        <v>0.13766652304098212</v>
      </c>
      <c r="L72" s="1">
        <f t="shared" si="0"/>
        <v>24.234472822324754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3.31</v>
      </c>
      <c r="G73">
        <v>87459</v>
      </c>
      <c r="H73">
        <v>87459.304999999993</v>
      </c>
      <c r="I73" cm="1">
        <f t="array" ref="I73">TREND($X$8:$X$13,$W$8:$W$13,H73)</f>
        <v>6.3032697042573718</v>
      </c>
      <c r="J73">
        <f>I73/(2/0.2)*3</f>
        <v>1.8909809112772114</v>
      </c>
      <c r="K73">
        <v>8.2122136813563229E-2</v>
      </c>
      <c r="L73" s="1">
        <f t="shared" ref="L73" si="1">J73/K73</f>
        <v>23.026445543790313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4840-5F01-4172-9B32-FCC178E60CE7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260</v>
      </c>
      <c r="P3" t="s">
        <v>91</v>
      </c>
    </row>
    <row r="5" spans="1:28" x14ac:dyDescent="0.3">
      <c r="A5" t="s">
        <v>261</v>
      </c>
      <c r="P5" t="s">
        <v>92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3.38</v>
      </c>
      <c r="G8">
        <v>47565</v>
      </c>
      <c r="H8">
        <v>47565.43</v>
      </c>
      <c r="I8" cm="1">
        <f t="array" ref="I8">TREND($X$8:$X$12,$W$8:$W$12,H8)</f>
        <v>3.0622617550204501</v>
      </c>
      <c r="J8">
        <f>I8/(2/0.2)*3</f>
        <v>0.91867852650613502</v>
      </c>
      <c r="K8">
        <v>0.10224691443219328</v>
      </c>
      <c r="L8" s="1">
        <f>J8/K8</f>
        <v>8.9849022007932753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3.31</v>
      </c>
      <c r="V8">
        <v>18813</v>
      </c>
      <c r="W8">
        <v>18812.934000000001</v>
      </c>
      <c r="X8">
        <v>1</v>
      </c>
      <c r="Y8">
        <v>0.97099999999999997</v>
      </c>
      <c r="Z8">
        <v>-2.9</v>
      </c>
      <c r="AA8">
        <v>58</v>
      </c>
      <c r="AB8">
        <v>34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3.39</v>
      </c>
      <c r="G9">
        <v>48426</v>
      </c>
      <c r="H9">
        <v>48426.120999999999</v>
      </c>
      <c r="I9" cm="1">
        <f t="array" ref="I9">TREND($X$8:$X$12,$W$8:$W$12,H9)</f>
        <v>3.1322365137327122</v>
      </c>
      <c r="J9">
        <f>I9/(2/0.2)*3</f>
        <v>0.93967095411981372</v>
      </c>
      <c r="K9">
        <v>0.12639664757454935</v>
      </c>
      <c r="L9" s="1">
        <f t="shared" ref="L9:L72" si="0">J9/K9</f>
        <v>7.4343028248877507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3.31</v>
      </c>
      <c r="V9">
        <v>34076</v>
      </c>
      <c r="W9">
        <v>34076.468999999997</v>
      </c>
      <c r="X9">
        <v>2</v>
      </c>
      <c r="Y9">
        <v>2.145</v>
      </c>
      <c r="Z9">
        <v>7.2</v>
      </c>
      <c r="AA9">
        <v>115</v>
      </c>
      <c r="AB9">
        <v>197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3.38</v>
      </c>
      <c r="G10">
        <v>53909</v>
      </c>
      <c r="H10">
        <v>53908.805</v>
      </c>
      <c r="I10" cm="1">
        <f t="array" ref="I10">TREND($X$8:$X$12,$W$8:$W$12,H10)</f>
        <v>3.5779824202143411</v>
      </c>
      <c r="J10">
        <f>I10/(2/0.2)*3</f>
        <v>1.0733947260643024</v>
      </c>
      <c r="K10">
        <v>0.15054638071690538</v>
      </c>
      <c r="L10" s="1">
        <f t="shared" si="0"/>
        <v>7.1299935671171353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3.31</v>
      </c>
      <c r="V10">
        <v>72131</v>
      </c>
      <c r="W10">
        <v>72130.656000000003</v>
      </c>
      <c r="X10">
        <v>5</v>
      </c>
      <c r="Y10">
        <v>5.0759999999999996</v>
      </c>
      <c r="Z10">
        <v>1.5</v>
      </c>
      <c r="AA10">
        <v>354</v>
      </c>
      <c r="AB10">
        <v>238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3.38</v>
      </c>
      <c r="G11">
        <v>79329</v>
      </c>
      <c r="H11">
        <v>79328.983999999997</v>
      </c>
      <c r="I11" cm="1">
        <f t="array" ref="I11">TREND($X$8:$X$12,$W$8:$W$12,H11)</f>
        <v>5.6446601151681728</v>
      </c>
      <c r="J11">
        <f>I11/(2/0.2)*3</f>
        <v>1.693398034550452</v>
      </c>
      <c r="K11">
        <v>0.14893639850741497</v>
      </c>
      <c r="L11" s="1">
        <f t="shared" si="0"/>
        <v>11.369940803732703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3.31</v>
      </c>
      <c r="V11">
        <v>139564</v>
      </c>
      <c r="W11">
        <v>139564.125</v>
      </c>
      <c r="X11">
        <v>10</v>
      </c>
      <c r="Y11">
        <v>10.285</v>
      </c>
      <c r="Z11">
        <v>2.8</v>
      </c>
      <c r="AA11">
        <v>700</v>
      </c>
      <c r="AB11">
        <v>468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3.39</v>
      </c>
      <c r="G12">
        <v>63200</v>
      </c>
      <c r="H12">
        <v>63199.762000000002</v>
      </c>
      <c r="I12" cm="1">
        <f t="array" ref="I12">TREND($X$8:$X$12,$W$8:$W$12,H12)</f>
        <v>4.3333434897282563</v>
      </c>
      <c r="J12">
        <f>I12/(2/0.2)*3</f>
        <v>1.3000030469184769</v>
      </c>
      <c r="K12">
        <v>4.0262599366812736E-2</v>
      </c>
      <c r="L12" s="1">
        <f t="shared" si="0"/>
        <v>32.288105272955399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3.31</v>
      </c>
      <c r="V12">
        <v>252314</v>
      </c>
      <c r="W12">
        <v>252314.34400000001</v>
      </c>
      <c r="X12">
        <v>20</v>
      </c>
      <c r="Y12">
        <v>19.035</v>
      </c>
      <c r="Z12">
        <v>-4.8</v>
      </c>
      <c r="AA12">
        <v>988</v>
      </c>
      <c r="AB12">
        <v>899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3.38</v>
      </c>
      <c r="G13">
        <v>52296</v>
      </c>
      <c r="H13">
        <v>52295.616999999998</v>
      </c>
      <c r="I13" cm="1">
        <f t="array" ref="I13">TREND($X$8:$X$12,$W$8:$W$12,H13)</f>
        <v>3.4468291479511048</v>
      </c>
      <c r="J13">
        <f>I13/(2/0.2)*3</f>
        <v>1.0340487443853315</v>
      </c>
      <c r="K13">
        <v>0.11351678989862611</v>
      </c>
      <c r="L13" s="1">
        <f t="shared" si="0"/>
        <v>9.1092141110470788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3.31</v>
      </c>
      <c r="V13">
        <v>614363</v>
      </c>
      <c r="W13">
        <v>614363.06299999997</v>
      </c>
      <c r="X13">
        <v>50</v>
      </c>
      <c r="Y13">
        <v>47.488</v>
      </c>
      <c r="Z13">
        <v>-5</v>
      </c>
      <c r="AA13">
        <v>3435</v>
      </c>
      <c r="AB13">
        <v>4701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3.38</v>
      </c>
      <c r="G14">
        <v>37650</v>
      </c>
      <c r="H14">
        <v>37649.699000000001</v>
      </c>
      <c r="I14" cm="1">
        <f t="array" ref="I14">TREND($X$8:$X$12,$W$8:$W$12,H14)</f>
        <v>2.2561061379863503</v>
      </c>
      <c r="J14">
        <f>I14/(2/0.2)*3</f>
        <v>0.67683184139590513</v>
      </c>
      <c r="K14">
        <v>0.10144192332744809</v>
      </c>
      <c r="L14" s="1">
        <f t="shared" si="0"/>
        <v>6.6721116792229473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3.32</v>
      </c>
      <c r="V14">
        <v>1234964</v>
      </c>
      <c r="W14">
        <v>1234963.75</v>
      </c>
      <c r="X14">
        <v>100</v>
      </c>
      <c r="Y14">
        <v>97.602000000000004</v>
      </c>
      <c r="Z14">
        <v>-2.4</v>
      </c>
      <c r="AA14">
        <v>6795</v>
      </c>
      <c r="AB14">
        <v>3670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3.38</v>
      </c>
      <c r="G15">
        <v>28636</v>
      </c>
      <c r="H15">
        <v>28636.447</v>
      </c>
      <c r="I15" cm="1">
        <f t="array" ref="I15">TREND($X$8:$X$12,$W$8:$W$12,H15)</f>
        <v>1.523322672244507</v>
      </c>
      <c r="J15">
        <f>I15/(2/0.2)*3</f>
        <v>0.4569968016733521</v>
      </c>
      <c r="K15">
        <v>8.3732119023053622E-2</v>
      </c>
      <c r="L15" s="1">
        <f t="shared" si="0"/>
        <v>5.4578435014588491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3.32</v>
      </c>
      <c r="V15">
        <v>2531296</v>
      </c>
      <c r="W15">
        <v>2531295.75</v>
      </c>
      <c r="X15">
        <v>200</v>
      </c>
      <c r="Y15">
        <v>208.54300000000001</v>
      </c>
      <c r="Z15">
        <v>4.3</v>
      </c>
      <c r="AA15">
        <v>10916</v>
      </c>
      <c r="AB15">
        <v>7701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3.38</v>
      </c>
      <c r="G16">
        <v>122473</v>
      </c>
      <c r="H16">
        <v>122472.75</v>
      </c>
      <c r="I16" cm="1">
        <f t="array" ref="I16">TREND($X$8:$X$12,$W$8:$W$12,H16)</f>
        <v>9.1522773852317538</v>
      </c>
      <c r="J16">
        <f>I16/(2/0.2)*3</f>
        <v>2.7456832155695263</v>
      </c>
      <c r="K16">
        <v>0.22299558014397355</v>
      </c>
      <c r="L16" s="1">
        <f t="shared" si="0"/>
        <v>12.312724825293934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3.32</v>
      </c>
      <c r="V16">
        <v>5399094</v>
      </c>
      <c r="W16">
        <v>5399094</v>
      </c>
      <c r="X16">
        <v>500</v>
      </c>
      <c r="Y16">
        <v>496.661</v>
      </c>
      <c r="Z16">
        <v>-0.7</v>
      </c>
      <c r="AA16">
        <v>6212</v>
      </c>
      <c r="AB16">
        <v>5493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3.39</v>
      </c>
      <c r="G17">
        <v>163005</v>
      </c>
      <c r="H17">
        <v>163005</v>
      </c>
      <c r="I17" cm="1">
        <f t="array" ref="I17">TREND($X$8:$X$12,$W$8:$W$12,H17)</f>
        <v>12.44757664340348</v>
      </c>
      <c r="J17">
        <f>I17/(2/0.2)*3</f>
        <v>3.7342729930210439</v>
      </c>
      <c r="K17">
        <v>0.1175417454223521</v>
      </c>
      <c r="L17" s="1">
        <f t="shared" si="0"/>
        <v>31.769759582887076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3.38</v>
      </c>
      <c r="G18">
        <v>112274</v>
      </c>
      <c r="H18">
        <v>112273.781</v>
      </c>
      <c r="I18" cm="1">
        <f t="array" ref="I18">TREND($X$8:$X$12,$W$8:$W$12,H18)</f>
        <v>8.3230943277943688</v>
      </c>
      <c r="J18">
        <f>I18/(2/0.2)*3</f>
        <v>2.496928298338311</v>
      </c>
      <c r="K18">
        <v>0.11351678989862611</v>
      </c>
      <c r="L18" s="1">
        <f t="shared" si="0"/>
        <v>21.996114412397873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3.39</v>
      </c>
      <c r="G19">
        <v>85021</v>
      </c>
      <c r="H19">
        <v>85020.687999999995</v>
      </c>
      <c r="I19" cm="1">
        <f t="array" ref="I19">TREND($X$8:$X$12,$W$8:$W$12,H19)</f>
        <v>6.1073994886037219</v>
      </c>
      <c r="J19">
        <f>I19/(2/0.2)*3</f>
        <v>1.8322198465811166</v>
      </c>
      <c r="K19">
        <v>8.4537110127798853E-2</v>
      </c>
      <c r="L19" s="1">
        <f t="shared" si="0"/>
        <v>21.673556664182875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3.38</v>
      </c>
      <c r="G20">
        <v>141896</v>
      </c>
      <c r="H20">
        <v>141896.31299999999</v>
      </c>
      <c r="I20" cm="1">
        <f t="array" ref="I20">TREND($X$8:$X$12,$W$8:$W$12,H20)</f>
        <v>10.731426155530757</v>
      </c>
      <c r="J20">
        <f>I20/(2/0.2)*3</f>
        <v>3.2194278466592268</v>
      </c>
      <c r="K20">
        <v>0.1078818521654097</v>
      </c>
      <c r="L20" s="1">
        <f t="shared" si="0"/>
        <v>29.842163274347975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3.39</v>
      </c>
      <c r="G21">
        <v>117642</v>
      </c>
      <c r="H21">
        <v>117642.461</v>
      </c>
      <c r="I21" cm="1">
        <f t="array" ref="I21">TREND($X$8:$X$12,$W$8:$W$12,H21)</f>
        <v>8.7595716321966997</v>
      </c>
      <c r="J21">
        <f>I21/(2/0.2)*3</f>
        <v>2.6278714896590101</v>
      </c>
      <c r="K21">
        <v>0.14813140740266978</v>
      </c>
      <c r="L21" s="1">
        <f t="shared" si="0"/>
        <v>17.740137191268243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3.38</v>
      </c>
      <c r="G22">
        <v>90842</v>
      </c>
      <c r="H22">
        <v>90842.398000000001</v>
      </c>
      <c r="I22" cm="1">
        <f t="array" ref="I22">TREND($X$8:$X$12,$W$8:$W$12,H22)</f>
        <v>6.5807084375096165</v>
      </c>
      <c r="J22">
        <f>I22/(2/0.2)*3</f>
        <v>1.9742125312528851</v>
      </c>
      <c r="K22">
        <v>6.6022314718659172E-2</v>
      </c>
      <c r="L22" s="1">
        <f t="shared" si="0"/>
        <v>29.902201091639927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3.38</v>
      </c>
      <c r="G23">
        <v>66533</v>
      </c>
      <c r="H23">
        <v>66532.945000000007</v>
      </c>
      <c r="I23" cm="1">
        <f t="array" ref="I23">TREND($X$8:$X$12,$W$8:$W$12,H23)</f>
        <v>4.6043335153806844</v>
      </c>
      <c r="J23">
        <f>I23/(2/0.2)*3</f>
        <v>1.3813000546142051</v>
      </c>
      <c r="K23">
        <v>0.22621554456295434</v>
      </c>
      <c r="L23" s="1">
        <f t="shared" si="0"/>
        <v>6.1061235083683565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3.38</v>
      </c>
      <c r="G24">
        <v>78081</v>
      </c>
      <c r="H24">
        <v>78080.523000000001</v>
      </c>
      <c r="I24" cm="1">
        <f t="array" ref="I24">TREND($X$8:$X$12,$W$8:$W$12,H24)</f>
        <v>5.5431593939608304</v>
      </c>
      <c r="J24">
        <f>I24/(2/0.2)*3</f>
        <v>1.6629478181882491</v>
      </c>
      <c r="K24">
        <v>0.21897062462024752</v>
      </c>
      <c r="L24" s="1">
        <f t="shared" si="0"/>
        <v>7.5943876995932067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3.38</v>
      </c>
      <c r="G25">
        <v>73571</v>
      </c>
      <c r="H25">
        <v>73570.827999999994</v>
      </c>
      <c r="I25" cm="1">
        <f t="array" ref="I25">TREND($X$8:$X$12,$W$8:$W$12,H25)</f>
        <v>5.1765181493203096</v>
      </c>
      <c r="J25">
        <f>I25/(2/0.2)*3</f>
        <v>1.5529554447960927</v>
      </c>
      <c r="K25">
        <v>0.11271179879388092</v>
      </c>
      <c r="L25" s="1">
        <f t="shared" si="0"/>
        <v>13.778108959435771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3.38</v>
      </c>
      <c r="G26">
        <v>109688</v>
      </c>
      <c r="H26">
        <v>109688.336</v>
      </c>
      <c r="I26" cm="1">
        <f t="array" ref="I26">TREND($X$8:$X$12,$W$8:$W$12,H26)</f>
        <v>8.1128959057836543</v>
      </c>
      <c r="J26">
        <f>I26/(2/0.2)*3</f>
        <v>2.4338687717350966</v>
      </c>
      <c r="K26">
        <v>9.1782030070505644E-2</v>
      </c>
      <c r="L26" s="1">
        <f t="shared" si="0"/>
        <v>26.517922624564235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3.38</v>
      </c>
      <c r="G27">
        <v>107819</v>
      </c>
      <c r="H27">
        <v>107818.766</v>
      </c>
      <c r="I27" cm="1">
        <f t="array" ref="I27">TREND($X$8:$X$12,$W$8:$W$12,H27)</f>
        <v>7.9608986040276424</v>
      </c>
      <c r="J27">
        <f>I27/(2/0.2)*3</f>
        <v>2.3882695812082924</v>
      </c>
      <c r="K27">
        <v>0.16584121170706426</v>
      </c>
      <c r="L27" s="1">
        <f t="shared" si="0"/>
        <v>14.400941458549175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3.38</v>
      </c>
      <c r="G28">
        <v>96808</v>
      </c>
      <c r="H28">
        <v>96807.835999999996</v>
      </c>
      <c r="I28" cm="1">
        <f t="array" ref="I28">TREND($X$8:$X$12,$W$8:$W$12,H28)</f>
        <v>7.0657025697393703</v>
      </c>
      <c r="J28">
        <f>I28/(2/0.2)*3</f>
        <v>2.1197107709218113</v>
      </c>
      <c r="K28">
        <v>0.20850574025855992</v>
      </c>
      <c r="L28" s="1">
        <f t="shared" si="0"/>
        <v>10.166198629799064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3.38</v>
      </c>
      <c r="G29">
        <v>116250</v>
      </c>
      <c r="H29">
        <v>116250.148</v>
      </c>
      <c r="I29" cm="1">
        <f t="array" ref="I29">TREND($X$8:$X$12,$W$8:$W$12,H29)</f>
        <v>8.6463756463818768</v>
      </c>
      <c r="J29">
        <f>I29/(2/0.2)*3</f>
        <v>2.5939126939145627</v>
      </c>
      <c r="K29">
        <v>0.15457133624063138</v>
      </c>
      <c r="L29" s="1">
        <f t="shared" si="0"/>
        <v>16.781330594674085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3.38</v>
      </c>
      <c r="G30">
        <v>120951</v>
      </c>
      <c r="H30">
        <v>120951.461</v>
      </c>
      <c r="I30" cm="1">
        <f t="array" ref="I30">TREND($X$8:$X$12,$W$8:$W$12,H30)</f>
        <v>9.0285955636411721</v>
      </c>
      <c r="J30">
        <f>I30/(2/0.2)*3</f>
        <v>2.7085786690923515</v>
      </c>
      <c r="K30">
        <v>0.22863051787718996</v>
      </c>
      <c r="L30" s="1">
        <f t="shared" si="0"/>
        <v>11.846969049631765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3.39</v>
      </c>
      <c r="G31">
        <v>87692</v>
      </c>
      <c r="H31">
        <v>87692.195000000007</v>
      </c>
      <c r="I31" cm="1">
        <f t="array" ref="I31">TREND($X$8:$X$12,$W$8:$W$12,H31)</f>
        <v>6.3245948092508764</v>
      </c>
      <c r="J31">
        <f>I31/(2/0.2)*3</f>
        <v>1.8973784427752629</v>
      </c>
      <c r="K31">
        <v>0.19079593595416544</v>
      </c>
      <c r="L31" s="1">
        <f t="shared" si="0"/>
        <v>9.9445432801622502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3.38</v>
      </c>
      <c r="G32">
        <v>145030</v>
      </c>
      <c r="H32">
        <v>145030.125</v>
      </c>
      <c r="I32" cm="1">
        <f t="array" ref="I32">TREND($X$8:$X$12,$W$8:$W$12,H32)</f>
        <v>10.986207184436125</v>
      </c>
      <c r="J32">
        <f>I32/(2/0.2)*3</f>
        <v>3.2958621553308376</v>
      </c>
      <c r="K32">
        <v>0.13122659420302052</v>
      </c>
      <c r="L32" s="1">
        <f t="shared" si="0"/>
        <v>25.11580960663974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3.38</v>
      </c>
      <c r="G33">
        <v>84450</v>
      </c>
      <c r="H33">
        <v>84450.422000000006</v>
      </c>
      <c r="I33" cm="1">
        <f t="array" ref="I33">TREND($X$8:$X$12,$W$8:$W$12,H33)</f>
        <v>6.0610364782413439</v>
      </c>
      <c r="J33">
        <f>I33/(2/0.2)*3</f>
        <v>1.8183109434724032</v>
      </c>
      <c r="K33">
        <v>0.13927650525047255</v>
      </c>
      <c r="L33" s="1">
        <f t="shared" si="0"/>
        <v>13.055403279988846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3.38</v>
      </c>
      <c r="G34">
        <v>145620</v>
      </c>
      <c r="H34">
        <v>145620.28099999999</v>
      </c>
      <c r="I34" cm="1">
        <f t="array" ref="I34">TREND($X$8:$X$12,$W$8:$W$12,H34)</f>
        <v>11.034187265211449</v>
      </c>
      <c r="J34">
        <f>I34/(2/0.2)*3</f>
        <v>3.3102561795634342</v>
      </c>
      <c r="K34">
        <v>9.7416967803722054E-2</v>
      </c>
      <c r="L34" s="1">
        <f t="shared" si="0"/>
        <v>33.980283457734124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3.38</v>
      </c>
      <c r="G35">
        <v>69173</v>
      </c>
      <c r="H35">
        <v>69172.851999999999</v>
      </c>
      <c r="I35" cm="1">
        <f t="array" ref="I35">TREND($X$8:$X$12,$W$8:$W$12,H35)</f>
        <v>4.8189597347181827</v>
      </c>
      <c r="J35">
        <f>I35/(2/0.2)*3</f>
        <v>1.4456879204154549</v>
      </c>
      <c r="K35">
        <v>7.4877216870856411E-2</v>
      </c>
      <c r="L35" s="1">
        <f t="shared" si="0"/>
        <v>19.307447322847054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3.39</v>
      </c>
      <c r="G36">
        <v>129225</v>
      </c>
      <c r="H36">
        <v>129224.633</v>
      </c>
      <c r="I36" cm="1">
        <f t="array" ref="I36">TREND($X$8:$X$12,$W$8:$W$12,H36)</f>
        <v>9.7012100263055228</v>
      </c>
      <c r="J36">
        <f>I36/(2/0.2)*3</f>
        <v>2.9103630078916565</v>
      </c>
      <c r="K36">
        <v>0.14491144298368897</v>
      </c>
      <c r="L36" s="1">
        <f t="shared" si="0"/>
        <v>20.083734920914718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3.38</v>
      </c>
      <c r="G37">
        <v>117511</v>
      </c>
      <c r="H37">
        <v>117511.43</v>
      </c>
      <c r="I37" cm="1">
        <f t="array" ref="I37">TREND($X$8:$X$12,$W$8:$W$12,H37)</f>
        <v>8.7489187235351391</v>
      </c>
      <c r="J37">
        <f>I37/(2/0.2)*3</f>
        <v>2.6246756170605421</v>
      </c>
      <c r="K37">
        <v>0.14571643408843418</v>
      </c>
      <c r="L37" s="1">
        <f t="shared" si="0"/>
        <v>18.012214157448067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3.38</v>
      </c>
      <c r="G38">
        <v>169083</v>
      </c>
      <c r="H38">
        <v>169082.71900000001</v>
      </c>
      <c r="I38" cm="1">
        <f t="array" ref="I38">TREND($X$8:$X$12,$W$8:$W$12,H38)</f>
        <v>12.941699296650615</v>
      </c>
      <c r="J38">
        <f>I38/(2/0.2)*3</f>
        <v>3.8825097889951845</v>
      </c>
      <c r="K38">
        <v>0.26405012648597881</v>
      </c>
      <c r="L38" s="1">
        <f t="shared" si="0"/>
        <v>14.703684639974401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3.38</v>
      </c>
      <c r="G39">
        <v>139181</v>
      </c>
      <c r="H39">
        <v>139181.20300000001</v>
      </c>
      <c r="I39" cm="1">
        <f t="array" ref="I39">TREND($X$8:$X$12,$W$8:$W$12,H39)</f>
        <v>10.510685881579654</v>
      </c>
      <c r="J39">
        <f>I39/(2/0.2)*3</f>
        <v>3.153205764473896</v>
      </c>
      <c r="K39">
        <v>0.17469611385926145</v>
      </c>
      <c r="L39" s="1">
        <f t="shared" si="0"/>
        <v>18.049661751572671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3.38</v>
      </c>
      <c r="G40">
        <v>82529</v>
      </c>
      <c r="H40">
        <v>82528.906000000003</v>
      </c>
      <c r="I40" cm="1">
        <f t="array" ref="I40">TREND($X$8:$X$12,$W$8:$W$12,H40)</f>
        <v>5.9048159316552278</v>
      </c>
      <c r="J40">
        <f>I40/(2/0.2)*3</f>
        <v>1.7714447794965682</v>
      </c>
      <c r="K40">
        <v>0.1175417454223521</v>
      </c>
      <c r="L40" s="1">
        <f t="shared" si="0"/>
        <v>15.070771436406668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3.38</v>
      </c>
      <c r="G41">
        <v>79205</v>
      </c>
      <c r="H41">
        <v>79205.289000000004</v>
      </c>
      <c r="I41" cm="1">
        <f t="array" ref="I41">TREND($X$8:$X$12,$W$8:$W$12,H41)</f>
        <v>5.6346036282536911</v>
      </c>
      <c r="J41">
        <f>I41/(2/0.2)*3</f>
        <v>1.6903810884761075</v>
      </c>
      <c r="K41">
        <v>0.14813140740266978</v>
      </c>
      <c r="L41" s="1">
        <f t="shared" si="0"/>
        <v>11.411361831465605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3.38</v>
      </c>
      <c r="G42">
        <v>147599</v>
      </c>
      <c r="H42">
        <v>147599.03099999999</v>
      </c>
      <c r="I42" cm="1">
        <f t="array" ref="I42">TREND($X$8:$X$12,$W$8:$W$12,H42)</f>
        <v>11.195060974593664</v>
      </c>
      <c r="J42">
        <f>I42/(2/0.2)*3</f>
        <v>3.3585182923780996</v>
      </c>
      <c r="K42">
        <v>0.11673675431760691</v>
      </c>
      <c r="L42" s="1">
        <f t="shared" si="0"/>
        <v>28.770016024606473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3.38</v>
      </c>
      <c r="G43">
        <v>73327</v>
      </c>
      <c r="H43">
        <v>73327.258000000002</v>
      </c>
      <c r="I43" cm="1">
        <f t="array" ref="I43">TREND($X$8:$X$12,$W$8:$W$12,H43)</f>
        <v>5.1567157440673848</v>
      </c>
      <c r="J43">
        <f>I43/(2/0.2)*3</f>
        <v>1.5470147232202156</v>
      </c>
      <c r="K43">
        <v>8.6147092337289247E-2</v>
      </c>
      <c r="L43" s="1">
        <f t="shared" si="0"/>
        <v>17.957828653847457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3.38</v>
      </c>
      <c r="G44">
        <v>91320</v>
      </c>
      <c r="H44">
        <v>91319.741999999998</v>
      </c>
      <c r="I44" cm="1">
        <f t="array" ref="I44">TREND($X$8:$X$12,$W$8:$W$12,H44)</f>
        <v>6.619516826609475</v>
      </c>
      <c r="J44">
        <f>I44/(2/0.2)*3</f>
        <v>1.9858550479828425</v>
      </c>
      <c r="K44">
        <v>8.9367056756270047E-2</v>
      </c>
      <c r="L44" s="1">
        <f t="shared" si="0"/>
        <v>22.221332111214615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3.38</v>
      </c>
      <c r="G45">
        <v>95049</v>
      </c>
      <c r="H45">
        <v>95048.991999999998</v>
      </c>
      <c r="I45" cm="1">
        <f t="array" ref="I45">TREND($X$8:$X$12,$W$8:$W$12,H45)</f>
        <v>6.9227073664521166</v>
      </c>
      <c r="J45">
        <f>I45/(2/0.2)*3</f>
        <v>2.076812209935635</v>
      </c>
      <c r="K45">
        <v>9.3392012279996037E-2</v>
      </c>
      <c r="L45" s="1">
        <f t="shared" si="0"/>
        <v>22.237578559815169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3.38</v>
      </c>
      <c r="G46">
        <v>101923</v>
      </c>
      <c r="H46">
        <v>101923.148</v>
      </c>
      <c r="I46" cm="1">
        <f t="array" ref="I46">TREND($X$8:$X$12,$W$8:$W$12,H46)</f>
        <v>7.4815808848814349</v>
      </c>
      <c r="J46">
        <f>I46/(2/0.2)*3</f>
        <v>2.2444742654644303</v>
      </c>
      <c r="K46">
        <v>0.18918595374467503</v>
      </c>
      <c r="L46" s="1">
        <f t="shared" si="0"/>
        <v>11.863852580163368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3.38</v>
      </c>
      <c r="G47">
        <v>79405</v>
      </c>
      <c r="H47">
        <v>79405.343999999997</v>
      </c>
      <c r="I47" cm="1">
        <f t="array" ref="I47">TREND($X$8:$X$12,$W$8:$W$12,H47)</f>
        <v>5.650868234662008</v>
      </c>
      <c r="J47">
        <f>I47/(2/0.2)*3</f>
        <v>1.6952604703986023</v>
      </c>
      <c r="K47">
        <v>9.2587021175250833E-2</v>
      </c>
      <c r="L47" s="1">
        <f t="shared" si="0"/>
        <v>18.309914811815517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3.38</v>
      </c>
      <c r="G48">
        <v>101500</v>
      </c>
      <c r="H48">
        <v>101500.30499999999</v>
      </c>
      <c r="I48" cm="1">
        <f t="array" ref="I48">TREND($X$8:$X$12,$W$8:$W$12,H48)</f>
        <v>7.4472034638346596</v>
      </c>
      <c r="J48">
        <f>I48/(2/0.2)*3</f>
        <v>2.2341610391503979</v>
      </c>
      <c r="K48">
        <v>0.14974138961216016</v>
      </c>
      <c r="L48" s="1">
        <f t="shared" si="0"/>
        <v>14.920130265499864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3.38</v>
      </c>
      <c r="G49">
        <v>118820</v>
      </c>
      <c r="H49">
        <v>118820.133</v>
      </c>
      <c r="I49" cm="1">
        <f t="array" ref="I49">TREND($X$8:$X$12,$W$8:$W$12,H49)</f>
        <v>8.8553171599670453</v>
      </c>
      <c r="J49">
        <f>I49/(2/0.2)*3</f>
        <v>2.6565951479901138</v>
      </c>
      <c r="K49">
        <v>0.19965083810636269</v>
      </c>
      <c r="L49" s="1">
        <f t="shared" si="0"/>
        <v>13.30620584009184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3.38</v>
      </c>
      <c r="G50">
        <v>166095</v>
      </c>
      <c r="H50">
        <v>166094.96900000001</v>
      </c>
      <c r="I50" cm="1">
        <f t="array" ref="I50">TREND($X$8:$X$12,$W$8:$W$12,H50)</f>
        <v>12.698793206843053</v>
      </c>
      <c r="J50">
        <f>I50/(2/0.2)*3</f>
        <v>3.8096379620529159</v>
      </c>
      <c r="K50">
        <v>0.22058060682973793</v>
      </c>
      <c r="L50" s="1">
        <f t="shared" si="0"/>
        <v>17.270956031930336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3.39</v>
      </c>
      <c r="G51">
        <v>172780</v>
      </c>
      <c r="H51">
        <v>172779.96900000001</v>
      </c>
      <c r="I51" cm="1">
        <f t="array" ref="I51">TREND($X$8:$X$12,$W$8:$W$12,H51)</f>
        <v>13.242288214913861</v>
      </c>
      <c r="J51">
        <f>I51/(2/0.2)*3</f>
        <v>3.9726864644741586</v>
      </c>
      <c r="K51">
        <v>0.12720163867929454</v>
      </c>
      <c r="L51" s="1">
        <f t="shared" si="0"/>
        <v>31.231409482783803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3.38</v>
      </c>
      <c r="G52">
        <v>85376</v>
      </c>
      <c r="H52">
        <v>85376.125</v>
      </c>
      <c r="I52" cm="1">
        <f t="array" ref="I52">TREND($X$8:$X$12,$W$8:$W$12,H52)</f>
        <v>6.136296756394847</v>
      </c>
      <c r="J52">
        <f>I52/(2/0.2)*3</f>
        <v>1.8408890269184539</v>
      </c>
      <c r="K52">
        <v>0.1594012828691026</v>
      </c>
      <c r="L52" s="1">
        <f t="shared" si="0"/>
        <v>11.548771714906197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3.38</v>
      </c>
      <c r="G53">
        <v>219703</v>
      </c>
      <c r="H53">
        <v>219702.56299999999</v>
      </c>
      <c r="I53" cm="1">
        <f t="array" ref="I53">TREND($X$8:$X$12,$W$8:$W$12,H53)</f>
        <v>17.057126749653307</v>
      </c>
      <c r="J53">
        <f>I53/(2/0.2)*3</f>
        <v>5.1171380248959917</v>
      </c>
      <c r="K53">
        <v>0.14491144298368897</v>
      </c>
      <c r="L53" s="1">
        <f t="shared" si="0"/>
        <v>35.312173556038424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3.38</v>
      </c>
      <c r="G54">
        <v>115272</v>
      </c>
      <c r="H54">
        <v>115271.82</v>
      </c>
      <c r="I54" cm="1">
        <f t="array" ref="I54">TREND($X$8:$X$12,$W$8:$W$12,H54)</f>
        <v>8.566836920240382</v>
      </c>
      <c r="J54">
        <f>I54/(2/0.2)*3</f>
        <v>2.5700510760721142</v>
      </c>
      <c r="K54">
        <v>0.24553533107683917</v>
      </c>
      <c r="L54" s="1">
        <f t="shared" si="0"/>
        <v>10.467133445930958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3.38</v>
      </c>
      <c r="G55">
        <v>147817</v>
      </c>
      <c r="H55">
        <v>147817.391</v>
      </c>
      <c r="I55" cm="1">
        <f t="array" ref="I55">TREND($X$8:$X$12,$W$8:$W$12,H55)</f>
        <v>11.212813789846072</v>
      </c>
      <c r="J55">
        <f>I55/(2/0.2)*3</f>
        <v>3.3638441369538219</v>
      </c>
      <c r="K55">
        <v>0.3002747261995129</v>
      </c>
      <c r="L55" s="1">
        <f t="shared" si="0"/>
        <v>11.202555005307932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3.38</v>
      </c>
      <c r="G56">
        <v>109063</v>
      </c>
      <c r="H56">
        <v>109062.711</v>
      </c>
      <c r="I56" cm="1">
        <f t="array" ref="I56">TREND($X$8:$X$12,$W$8:$W$12,H56)</f>
        <v>8.0620321713895926</v>
      </c>
      <c r="J56">
        <f>I56/(2/0.2)*3</f>
        <v>2.4186096514168778</v>
      </c>
      <c r="K56">
        <v>0.17147614944028067</v>
      </c>
      <c r="L56" s="1">
        <f t="shared" si="0"/>
        <v>14.104641720213094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3.38</v>
      </c>
      <c r="G57">
        <v>104309</v>
      </c>
      <c r="H57">
        <v>104308.969</v>
      </c>
      <c r="I57" cm="1">
        <f t="array" ref="I57">TREND($X$8:$X$12,$W$8:$W$12,H57)</f>
        <v>7.6755497410744784</v>
      </c>
      <c r="J57">
        <f>I57/(2/0.2)*3</f>
        <v>2.3026649223223439</v>
      </c>
      <c r="K57">
        <v>0.18113604269722305</v>
      </c>
      <c r="L57" s="1">
        <f t="shared" si="0"/>
        <v>12.712350827777279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3.38</v>
      </c>
      <c r="G58">
        <v>149499</v>
      </c>
      <c r="H58">
        <v>149498.71900000001</v>
      </c>
      <c r="I58" cm="1">
        <f t="array" ref="I58">TREND($X$8:$X$12,$W$8:$W$12,H58)</f>
        <v>11.349506890059937</v>
      </c>
      <c r="J58">
        <f>I58/(2/0.2)*3</f>
        <v>3.4048520670179814</v>
      </c>
      <c r="K58">
        <v>8.2927127918308433E-2</v>
      </c>
      <c r="L58" s="1">
        <f t="shared" si="0"/>
        <v>41.058362353657095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3.38</v>
      </c>
      <c r="G59">
        <v>147425</v>
      </c>
      <c r="H59">
        <v>147424.70300000001</v>
      </c>
      <c r="I59" cm="1">
        <f t="array" ref="I59">TREND($X$8:$X$12,$W$8:$W$12,H59)</f>
        <v>11.180887990634508</v>
      </c>
      <c r="J59">
        <f>I59/(2/0.2)*3</f>
        <v>3.3542663971903521</v>
      </c>
      <c r="K59">
        <v>0.11593176321286171</v>
      </c>
      <c r="L59" s="1">
        <f t="shared" si="0"/>
        <v>28.933109479509952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3.38</v>
      </c>
      <c r="G60">
        <v>86384</v>
      </c>
      <c r="H60">
        <v>86384.031000000003</v>
      </c>
      <c r="I60" cm="1">
        <f t="array" ref="I60">TREND($X$8:$X$12,$W$8:$W$12,H60)</f>
        <v>6.2182401938824485</v>
      </c>
      <c r="J60">
        <f>I60/(2/0.2)*3</f>
        <v>1.8654720581647344</v>
      </c>
      <c r="K60">
        <v>0.17469611385926145</v>
      </c>
      <c r="L60" s="1">
        <f t="shared" si="0"/>
        <v>10.678383261963083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3.38</v>
      </c>
      <c r="G61">
        <v>163423</v>
      </c>
      <c r="H61">
        <v>163422.96900000001</v>
      </c>
      <c r="I61" cm="1">
        <f t="array" ref="I61">TREND($X$8:$X$12,$W$8:$W$12,H61)</f>
        <v>12.481557804963442</v>
      </c>
      <c r="J61">
        <f>I61/(2/0.2)*3</f>
        <v>3.7444673414890324</v>
      </c>
      <c r="K61">
        <v>0.17952606048773259</v>
      </c>
      <c r="L61" s="1">
        <f t="shared" si="0"/>
        <v>20.857514119767028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3.38</v>
      </c>
      <c r="G62">
        <v>78697</v>
      </c>
      <c r="H62">
        <v>78696.593999999997</v>
      </c>
      <c r="I62" cm="1">
        <f t="array" ref="I62">TREND($X$8:$X$12,$W$8:$W$12,H62)</f>
        <v>5.5932463817120928</v>
      </c>
      <c r="J62">
        <f>I62/(2/0.2)*3</f>
        <v>1.6779739145136277</v>
      </c>
      <c r="K62">
        <v>0.19723586479212707</v>
      </c>
      <c r="L62" s="1">
        <f t="shared" si="0"/>
        <v>8.5074482588757157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3.38</v>
      </c>
      <c r="G63">
        <v>143964</v>
      </c>
      <c r="H63">
        <v>143963.78099999999</v>
      </c>
      <c r="I63" cm="1">
        <f t="array" ref="I63">TREND($X$8:$X$12,$W$8:$W$12,H63)</f>
        <v>10.8995126981405</v>
      </c>
      <c r="J63">
        <f>I63/(2/0.2)*3</f>
        <v>3.2698538094421497</v>
      </c>
      <c r="K63">
        <v>0.28417490410460888</v>
      </c>
      <c r="L63" s="1">
        <f t="shared" si="0"/>
        <v>11.506483374191513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3.38</v>
      </c>
      <c r="G64">
        <v>75656</v>
      </c>
      <c r="H64">
        <v>75656.172000000006</v>
      </c>
      <c r="I64" cm="1">
        <f t="array" ref="I64">TREND($X$8:$X$12,$W$8:$W$12,H64)</f>
        <v>5.3460580227848444</v>
      </c>
      <c r="J64">
        <f>I64/(2/0.2)*3</f>
        <v>1.6038174068354532</v>
      </c>
      <c r="K64">
        <v>0.17872106938298743</v>
      </c>
      <c r="L64" s="1">
        <f t="shared" si="0"/>
        <v>8.9738574885011371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3.38</v>
      </c>
      <c r="G65">
        <v>106384</v>
      </c>
      <c r="H65">
        <v>106383.875</v>
      </c>
      <c r="I65" cm="1">
        <f t="array" ref="I65">TREND($X$8:$X$12,$W$8:$W$12,H65)</f>
        <v>7.8442409981000836</v>
      </c>
      <c r="J65">
        <f>I65/(2/0.2)*3</f>
        <v>2.3532722994300252</v>
      </c>
      <c r="K65">
        <v>0.19884584700161748</v>
      </c>
      <c r="L65" s="1">
        <f t="shared" si="0"/>
        <v>11.834656518679433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3.38</v>
      </c>
      <c r="G66">
        <v>135226</v>
      </c>
      <c r="H66">
        <v>135225.5</v>
      </c>
      <c r="I66" cm="1">
        <f t="array" ref="I66">TREND($X$8:$X$12,$W$8:$W$12,H66)</f>
        <v>10.189084560127039</v>
      </c>
      <c r="J66">
        <f>I66/(2/0.2)*3</f>
        <v>3.0567253680381121</v>
      </c>
      <c r="K66">
        <v>0.17469611385926145</v>
      </c>
      <c r="L66" s="1">
        <f t="shared" si="0"/>
        <v>17.497386178267647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3.38</v>
      </c>
      <c r="G67">
        <v>127543</v>
      </c>
      <c r="H67">
        <v>127543.461</v>
      </c>
      <c r="I67" cm="1">
        <f t="array" ref="I67">TREND($X$8:$X$12,$W$8:$W$12,H67)</f>
        <v>9.5645296089968586</v>
      </c>
      <c r="J67">
        <f>I67/(2/0.2)*3</f>
        <v>2.8693588826990579</v>
      </c>
      <c r="K67">
        <v>0.24875529549582001</v>
      </c>
      <c r="L67" s="1">
        <f t="shared" si="0"/>
        <v>11.534865527103014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3.38</v>
      </c>
      <c r="G68">
        <v>86214</v>
      </c>
      <c r="H68">
        <v>86213.616999999998</v>
      </c>
      <c r="I68" cm="1">
        <f t="array" ref="I68">TREND($X$8:$X$12,$W$8:$W$12,H68)</f>
        <v>6.20438542076272</v>
      </c>
      <c r="J68">
        <f>I68/(2/0.2)*3</f>
        <v>1.8613156262288162</v>
      </c>
      <c r="K68">
        <v>0.18274602490671343</v>
      </c>
      <c r="L68" s="1">
        <f t="shared" si="0"/>
        <v>10.18525917145921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3.38</v>
      </c>
      <c r="G69">
        <v>94830</v>
      </c>
      <c r="H69">
        <v>94830.085999999996</v>
      </c>
      <c r="I69" cm="1">
        <f t="array" ref="I69">TREND($X$8:$X$12,$W$8:$W$12,H69)</f>
        <v>6.9049101610315109</v>
      </c>
      <c r="J69">
        <f>I69/(2/0.2)*3</f>
        <v>2.0714730483094534</v>
      </c>
      <c r="K69">
        <v>0.10063693222270288</v>
      </c>
      <c r="L69" s="1">
        <f t="shared" si="0"/>
        <v>20.583626731838571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3.38</v>
      </c>
      <c r="G70">
        <v>110673</v>
      </c>
      <c r="H70">
        <v>110673.406</v>
      </c>
      <c r="I70" cm="1">
        <f t="array" ref="I70">TREND($X$8:$X$12,$W$8:$W$12,H70)</f>
        <v>8.1929827610716579</v>
      </c>
      <c r="J70">
        <f>I70/(2/0.2)*3</f>
        <v>2.4578948283214972</v>
      </c>
      <c r="K70">
        <v>0.12156670094607813</v>
      </c>
      <c r="L70" s="1">
        <f t="shared" si="0"/>
        <v>20.21848753970642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3.38</v>
      </c>
      <c r="G71">
        <v>86626</v>
      </c>
      <c r="H71">
        <v>86625.773000000001</v>
      </c>
      <c r="I71" cm="1">
        <f t="array" ref="I71">TREND($X$8:$X$12,$W$8:$W$12,H71)</f>
        <v>6.2378939815026504</v>
      </c>
      <c r="J71">
        <f>I71/(2/0.2)*3</f>
        <v>1.8713681944507949</v>
      </c>
      <c r="K71">
        <v>8.8562065651524843E-2</v>
      </c>
      <c r="L71" s="1">
        <f t="shared" si="0"/>
        <v>21.130584304732441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3.38</v>
      </c>
      <c r="G72">
        <v>55348</v>
      </c>
      <c r="H72">
        <v>55347.91</v>
      </c>
      <c r="I72" cm="1">
        <f t="array" ref="I72">TREND($X$8:$X$12,$W$8:$W$12,H72)</f>
        <v>3.6949826271836361</v>
      </c>
      <c r="J72">
        <f>I72/(2/0.2)*3</f>
        <v>1.1084947881550908</v>
      </c>
      <c r="K72">
        <v>0.13766652304098212</v>
      </c>
      <c r="L72" s="1">
        <f t="shared" si="0"/>
        <v>8.0520286535100603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3.38</v>
      </c>
      <c r="G73">
        <v>31622</v>
      </c>
      <c r="H73">
        <v>31622.311000000002</v>
      </c>
      <c r="I73" cm="1">
        <f t="array" ref="I73">TREND($X$8:$X$12,$W$8:$W$12,H73)</f>
        <v>1.7660754289802338</v>
      </c>
      <c r="J73">
        <f>I73/(2/0.2)*3</f>
        <v>0.52982262869407015</v>
      </c>
      <c r="K73">
        <v>8.2122136813563229E-2</v>
      </c>
      <c r="L73" s="1">
        <f t="shared" ref="L73" si="1">J73/K73</f>
        <v>6.4516420206757825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3.34</v>
      </c>
      <c r="G74">
        <v>4020</v>
      </c>
      <c r="H74">
        <v>4019.8020000000001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0DA8-CB25-487F-B118-22B4E18D35D9}">
  <dimension ref="A1:AB73"/>
  <sheetViews>
    <sheetView topLeftCell="B1"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262</v>
      </c>
      <c r="P3" t="s">
        <v>91</v>
      </c>
    </row>
    <row r="5" spans="1:28" x14ac:dyDescent="0.3">
      <c r="A5" t="s">
        <v>263</v>
      </c>
      <c r="P5" t="s">
        <v>92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3.46</v>
      </c>
      <c r="G8">
        <v>134685</v>
      </c>
      <c r="H8">
        <v>134684.84400000001</v>
      </c>
      <c r="I8" cm="1">
        <f t="array" ref="I8">TREND($X$8:$X$13,$W$8:$W$13,H8)</f>
        <v>10.210562476905002</v>
      </c>
      <c r="J8">
        <f>I8/(2/0.2)*3</f>
        <v>3.0631687430715009</v>
      </c>
      <c r="K8">
        <v>0.10224691443219328</v>
      </c>
      <c r="L8" s="1">
        <f>J8/K8</f>
        <v>29.958544569116476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3.31</v>
      </c>
      <c r="V8">
        <v>18813</v>
      </c>
      <c r="W8">
        <v>18812.934000000001</v>
      </c>
      <c r="X8">
        <v>1</v>
      </c>
      <c r="Y8">
        <v>0.97099999999999997</v>
      </c>
      <c r="Z8">
        <v>-2.9</v>
      </c>
      <c r="AA8">
        <v>58</v>
      </c>
      <c r="AB8">
        <v>34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3.46</v>
      </c>
      <c r="G9">
        <v>166674</v>
      </c>
      <c r="H9">
        <v>166674.03099999999</v>
      </c>
      <c r="I9" cm="1">
        <f t="array" ref="I9">TREND($X$8:$X$13,$W$8:$W$13,H9)</f>
        <v>12.857247338838995</v>
      </c>
      <c r="J9">
        <f>I9/(2/0.2)*3</f>
        <v>3.8571742016516986</v>
      </c>
      <c r="K9">
        <v>0.12639664757454935</v>
      </c>
      <c r="L9" s="1">
        <f t="shared" ref="L9:L72" si="0">J9/K9</f>
        <v>30.516428051437984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3.31</v>
      </c>
      <c r="V9">
        <v>34076</v>
      </c>
      <c r="W9">
        <v>34076.468999999997</v>
      </c>
      <c r="X9">
        <v>2</v>
      </c>
      <c r="Y9">
        <v>2.145</v>
      </c>
      <c r="Z9">
        <v>7.2</v>
      </c>
      <c r="AA9">
        <v>115</v>
      </c>
      <c r="AB9">
        <v>197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3.46</v>
      </c>
      <c r="G10">
        <v>118848</v>
      </c>
      <c r="H10">
        <v>118848.211</v>
      </c>
      <c r="I10" cm="1">
        <f t="array" ref="I10">TREND($X$8:$X$13,$W$8:$W$13,H10)</f>
        <v>8.9002892015915531</v>
      </c>
      <c r="J10">
        <f>I10/(2/0.2)*3</f>
        <v>2.6700867604774663</v>
      </c>
      <c r="K10">
        <v>0.15054638071690538</v>
      </c>
      <c r="L10" s="1">
        <f t="shared" si="0"/>
        <v>17.73597444031833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3.31</v>
      </c>
      <c r="V10">
        <v>72131</v>
      </c>
      <c r="W10">
        <v>72130.656000000003</v>
      </c>
      <c r="X10">
        <v>5</v>
      </c>
      <c r="Y10">
        <v>5.0759999999999996</v>
      </c>
      <c r="Z10">
        <v>1.5</v>
      </c>
      <c r="AA10">
        <v>354</v>
      </c>
      <c r="AB10">
        <v>238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3.46</v>
      </c>
      <c r="G11">
        <v>251392</v>
      </c>
      <c r="H11">
        <v>251392.21900000001</v>
      </c>
      <c r="I11" cm="1">
        <f t="array" ref="I11">TREND($X$8:$X$13,$W$8:$W$13,H11)</f>
        <v>19.866564134232334</v>
      </c>
      <c r="J11">
        <f>I11/(2/0.2)*3</f>
        <v>5.9599692402697002</v>
      </c>
      <c r="K11">
        <v>0.14893639850741497</v>
      </c>
      <c r="L11" s="1">
        <f t="shared" si="0"/>
        <v>40.016874988238527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3.31</v>
      </c>
      <c r="V11">
        <v>139564</v>
      </c>
      <c r="W11">
        <v>139564.125</v>
      </c>
      <c r="X11">
        <v>10</v>
      </c>
      <c r="Y11">
        <v>10.285</v>
      </c>
      <c r="Z11">
        <v>2.8</v>
      </c>
      <c r="AA11">
        <v>700</v>
      </c>
      <c r="AB11">
        <v>468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3.46</v>
      </c>
      <c r="G12">
        <v>170893</v>
      </c>
      <c r="H12">
        <v>170892.516</v>
      </c>
      <c r="I12" cm="1">
        <f t="array" ref="I12">TREND($X$8:$X$13,$W$8:$W$13,H12)</f>
        <v>13.206271538478569</v>
      </c>
      <c r="J12">
        <f>I12/(2/0.2)*3</f>
        <v>3.9618814615435705</v>
      </c>
      <c r="K12">
        <v>4.0262599366812736E-2</v>
      </c>
      <c r="L12" s="1">
        <f t="shared" si="0"/>
        <v>98.401035299505068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3.31</v>
      </c>
      <c r="V12">
        <v>252314</v>
      </c>
      <c r="W12">
        <v>252314.34400000001</v>
      </c>
      <c r="X12">
        <v>20</v>
      </c>
      <c r="Y12">
        <v>19.035</v>
      </c>
      <c r="Z12">
        <v>-4.8</v>
      </c>
      <c r="AA12">
        <v>988</v>
      </c>
      <c r="AB12">
        <v>899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3.46</v>
      </c>
      <c r="G13">
        <v>136768</v>
      </c>
      <c r="H13">
        <v>136768.17199999999</v>
      </c>
      <c r="I13" cm="1">
        <f t="array" ref="I13">TREND($X$8:$X$13,$W$8:$W$13,H13)</f>
        <v>10.382930492386082</v>
      </c>
      <c r="J13">
        <f>I13/(2/0.2)*3</f>
        <v>3.1148791477158246</v>
      </c>
      <c r="K13">
        <v>0.11351678989862611</v>
      </c>
      <c r="L13" s="1">
        <f t="shared" si="0"/>
        <v>27.439810009581006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3.31</v>
      </c>
      <c r="V13">
        <v>614363</v>
      </c>
      <c r="W13">
        <v>614363.06299999997</v>
      </c>
      <c r="X13">
        <v>50</v>
      </c>
      <c r="Y13">
        <v>47.488</v>
      </c>
      <c r="Z13">
        <v>-5</v>
      </c>
      <c r="AA13">
        <v>3435</v>
      </c>
      <c r="AB13">
        <v>4701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3.46</v>
      </c>
      <c r="G14">
        <v>113780</v>
      </c>
      <c r="H14">
        <v>113779.891</v>
      </c>
      <c r="I14" cm="1">
        <f t="array" ref="I14">TREND($X$8:$X$13,$W$8:$W$13,H14)</f>
        <v>8.480952323182068</v>
      </c>
      <c r="J14">
        <f>I14/(2/0.2)*3</f>
        <v>2.5442856969546206</v>
      </c>
      <c r="K14">
        <v>0.10144192332744809</v>
      </c>
      <c r="L14" s="1">
        <f t="shared" si="0"/>
        <v>25.081205220664319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3.32</v>
      </c>
      <c r="V14">
        <v>1234964</v>
      </c>
      <c r="W14">
        <v>1234963.75</v>
      </c>
      <c r="X14">
        <v>100</v>
      </c>
      <c r="Y14">
        <v>97.602000000000004</v>
      </c>
      <c r="Z14">
        <v>-2.4</v>
      </c>
      <c r="AA14">
        <v>6795</v>
      </c>
      <c r="AB14">
        <v>3670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3.46</v>
      </c>
      <c r="G15">
        <v>80494</v>
      </c>
      <c r="H15">
        <v>80493.687999999995</v>
      </c>
      <c r="I15" cm="1">
        <f t="array" ref="I15">TREND($X$8:$X$13,$W$8:$W$13,H15)</f>
        <v>5.726956431027574</v>
      </c>
      <c r="J15">
        <f>I15/(2/0.2)*3</f>
        <v>1.7180869293082723</v>
      </c>
      <c r="K15">
        <v>8.3732119023053622E-2</v>
      </c>
      <c r="L15" s="1">
        <f t="shared" si="0"/>
        <v>20.518851658767151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3.32</v>
      </c>
      <c r="V15">
        <v>2531296</v>
      </c>
      <c r="W15">
        <v>2531295.75</v>
      </c>
      <c r="X15">
        <v>200</v>
      </c>
      <c r="Y15">
        <v>208.54300000000001</v>
      </c>
      <c r="Z15">
        <v>4.3</v>
      </c>
      <c r="AA15">
        <v>10916</v>
      </c>
      <c r="AB15">
        <v>7701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3.46</v>
      </c>
      <c r="G16">
        <v>415806</v>
      </c>
      <c r="H16">
        <v>415805.68800000002</v>
      </c>
      <c r="I16" cm="1">
        <f t="array" ref="I16">TREND($X$8:$X$13,$W$8:$W$13,H16)</f>
        <v>33.469618175598072</v>
      </c>
      <c r="J16">
        <f>I16/(2/0.2)*3</f>
        <v>10.040885452679422</v>
      </c>
      <c r="K16">
        <v>0.22299558014397355</v>
      </c>
      <c r="L16" s="1">
        <f t="shared" si="0"/>
        <v>45.027284604460249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3.32</v>
      </c>
      <c r="V16">
        <v>5399094</v>
      </c>
      <c r="W16">
        <v>5399094</v>
      </c>
      <c r="X16">
        <v>500</v>
      </c>
      <c r="Y16">
        <v>496.661</v>
      </c>
      <c r="Z16">
        <v>-0.7</v>
      </c>
      <c r="AA16">
        <v>6212</v>
      </c>
      <c r="AB16">
        <v>5493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3.46</v>
      </c>
      <c r="G17">
        <v>584005</v>
      </c>
      <c r="H17">
        <v>584004.56299999997</v>
      </c>
      <c r="I17" cm="1">
        <f t="array" ref="I17">TREND($X$8:$X$13,$W$8:$W$13,H17)</f>
        <v>47.385864820341752</v>
      </c>
      <c r="J17">
        <f>I17/(2/0.2)*3</f>
        <v>14.215759446102524</v>
      </c>
      <c r="K17">
        <v>0.1175417454223521</v>
      </c>
      <c r="L17" s="1">
        <f t="shared" si="0"/>
        <v>120.94221840098021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3.46</v>
      </c>
      <c r="G18">
        <v>347055</v>
      </c>
      <c r="H18">
        <v>347054.65600000002</v>
      </c>
      <c r="I18" cm="1">
        <f t="array" ref="I18">TREND($X$8:$X$13,$W$8:$W$13,H18)</f>
        <v>27.781373718596402</v>
      </c>
      <c r="J18">
        <f>I18/(2/0.2)*3</f>
        <v>8.334412115578921</v>
      </c>
      <c r="K18">
        <v>0.11351678989862611</v>
      </c>
      <c r="L18" s="1">
        <f t="shared" si="0"/>
        <v>73.420082817896812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3.46</v>
      </c>
      <c r="G19">
        <v>320775</v>
      </c>
      <c r="H19">
        <v>320774.65600000002</v>
      </c>
      <c r="I19" cm="1">
        <f t="array" ref="I19">TREND($X$8:$X$13,$W$8:$W$13,H19)</f>
        <v>25.607049057840712</v>
      </c>
      <c r="J19">
        <f>I19/(2/0.2)*3</f>
        <v>7.6821147173522135</v>
      </c>
      <c r="K19">
        <v>8.4537110127798853E-2</v>
      </c>
      <c r="L19" s="1">
        <f t="shared" si="0"/>
        <v>90.872691362867599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3.46</v>
      </c>
      <c r="G20">
        <v>486856</v>
      </c>
      <c r="H20">
        <v>486855.84399999998</v>
      </c>
      <c r="I20" cm="1">
        <f t="array" ref="I20">TREND($X$8:$X$13,$W$8:$W$13,H20)</f>
        <v>39.34808493135678</v>
      </c>
      <c r="J20">
        <f>I20/(2/0.2)*3</f>
        <v>11.804425479407033</v>
      </c>
      <c r="K20">
        <v>0.1078818521654097</v>
      </c>
      <c r="L20" s="1">
        <f t="shared" si="0"/>
        <v>109.41993711146074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3.46</v>
      </c>
      <c r="G21">
        <v>301121</v>
      </c>
      <c r="H21">
        <v>301121.31300000002</v>
      </c>
      <c r="I21" cm="1">
        <f t="array" ref="I21">TREND($X$8:$X$13,$W$8:$W$13,H21)</f>
        <v>23.980993184507749</v>
      </c>
      <c r="J21">
        <f>I21/(2/0.2)*3</f>
        <v>7.1942979553523241</v>
      </c>
      <c r="K21">
        <v>0.14813140740266978</v>
      </c>
      <c r="L21" s="1">
        <f t="shared" si="0"/>
        <v>48.566999271098943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3.46</v>
      </c>
      <c r="G22">
        <v>249478</v>
      </c>
      <c r="H22">
        <v>249477.75</v>
      </c>
      <c r="I22" cm="1">
        <f t="array" ref="I22">TREND($X$8:$X$13,$W$8:$W$13,H22)</f>
        <v>19.708166982065197</v>
      </c>
      <c r="J22">
        <f>I22/(2/0.2)*3</f>
        <v>5.9124500946195599</v>
      </c>
      <c r="K22">
        <v>6.6022314718659172E-2</v>
      </c>
      <c r="L22" s="1">
        <f t="shared" si="0"/>
        <v>89.552299397776011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3.46</v>
      </c>
      <c r="G23">
        <v>209755</v>
      </c>
      <c r="H23">
        <v>209754.984</v>
      </c>
      <c r="I23" cm="1">
        <f t="array" ref="I23">TREND($X$8:$X$13,$W$8:$W$13,H23)</f>
        <v>16.421630083007827</v>
      </c>
      <c r="J23">
        <f>I23/(2/0.2)*3</f>
        <v>4.9264890249023487</v>
      </c>
      <c r="K23">
        <v>0.22621554456295434</v>
      </c>
      <c r="L23" s="1">
        <f t="shared" si="0"/>
        <v>21.777853659085476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3.46</v>
      </c>
      <c r="G24">
        <v>236082</v>
      </c>
      <c r="H24">
        <v>236081.734</v>
      </c>
      <c r="I24" cm="1">
        <f t="array" ref="I24">TREND($X$8:$X$13,$W$8:$W$13,H24)</f>
        <v>18.599822691932861</v>
      </c>
      <c r="J24">
        <f>I24/(2/0.2)*3</f>
        <v>5.5799468075798586</v>
      </c>
      <c r="K24">
        <v>0.21897062462024752</v>
      </c>
      <c r="L24" s="1">
        <f t="shared" si="0"/>
        <v>25.482627257683305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3.46</v>
      </c>
      <c r="G25">
        <v>227739</v>
      </c>
      <c r="H25">
        <v>227739.125</v>
      </c>
      <c r="I25" cm="1">
        <f t="array" ref="I25">TREND($X$8:$X$13,$W$8:$W$13,H25)</f>
        <v>17.909581425428204</v>
      </c>
      <c r="J25">
        <f>I25/(2/0.2)*3</f>
        <v>5.3728744276284619</v>
      </c>
      <c r="K25">
        <v>0.11271179879388092</v>
      </c>
      <c r="L25" s="1">
        <f t="shared" si="0"/>
        <v>47.669139212780919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3.46</v>
      </c>
      <c r="G26">
        <v>282020</v>
      </c>
      <c r="H26">
        <v>282020.46899999998</v>
      </c>
      <c r="I26" cm="1">
        <f t="array" ref="I26">TREND($X$8:$X$13,$W$8:$W$13,H26)</f>
        <v>22.400649343166521</v>
      </c>
      <c r="J26">
        <f>I26/(2/0.2)*3</f>
        <v>6.7201948029499556</v>
      </c>
      <c r="K26">
        <v>9.1782030070505644E-2</v>
      </c>
      <c r="L26" s="1">
        <f t="shared" si="0"/>
        <v>73.219069111759651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3.46</v>
      </c>
      <c r="G27">
        <v>246934</v>
      </c>
      <c r="H27">
        <v>246933.54699999999</v>
      </c>
      <c r="I27" cm="1">
        <f t="array" ref="I27">TREND($X$8:$X$13,$W$8:$W$13,H27)</f>
        <v>19.497667616583136</v>
      </c>
      <c r="J27">
        <f>I27/(2/0.2)*3</f>
        <v>5.8493002849749409</v>
      </c>
      <c r="K27">
        <v>0.16584121170706426</v>
      </c>
      <c r="L27" s="1">
        <f t="shared" si="0"/>
        <v>35.270486899884254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3.46</v>
      </c>
      <c r="G28">
        <v>295554</v>
      </c>
      <c r="H28">
        <v>295554.375</v>
      </c>
      <c r="I28" cm="1">
        <f t="array" ref="I28">TREND($X$8:$X$13,$W$8:$W$13,H28)</f>
        <v>23.52040221881909</v>
      </c>
      <c r="J28">
        <f>I28/(2/0.2)*3</f>
        <v>7.0561206656457269</v>
      </c>
      <c r="K28">
        <v>0.20850574025855992</v>
      </c>
      <c r="L28" s="1">
        <f t="shared" si="0"/>
        <v>33.841373656647072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3.46</v>
      </c>
      <c r="G29">
        <v>287942</v>
      </c>
      <c r="H29">
        <v>287942.31300000002</v>
      </c>
      <c r="I29" cm="1">
        <f t="array" ref="I29">TREND($X$8:$X$13,$W$8:$W$13,H29)</f>
        <v>22.890604116619652</v>
      </c>
      <c r="J29">
        <f>I29/(2/0.2)*3</f>
        <v>6.8671812349858952</v>
      </c>
      <c r="K29">
        <v>0.15457133624063138</v>
      </c>
      <c r="L29" s="1">
        <f t="shared" si="0"/>
        <v>44.427261884411102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3.46</v>
      </c>
      <c r="G30">
        <v>410512</v>
      </c>
      <c r="H30">
        <v>410512.375</v>
      </c>
      <c r="I30" cm="1">
        <f t="array" ref="I30">TREND($X$8:$X$13,$W$8:$W$13,H30)</f>
        <v>33.031666083018209</v>
      </c>
      <c r="J30">
        <f>I30/(2/0.2)*3</f>
        <v>9.9094998249054633</v>
      </c>
      <c r="K30">
        <v>0.22863051787718996</v>
      </c>
      <c r="L30" s="1">
        <f t="shared" si="0"/>
        <v>43.342856924412871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3.46</v>
      </c>
      <c r="G31">
        <v>221781</v>
      </c>
      <c r="H31">
        <v>221781.125</v>
      </c>
      <c r="I31" cm="1">
        <f t="array" ref="I31">TREND($X$8:$X$13,$W$8:$W$13,H31)</f>
        <v>17.416635218092498</v>
      </c>
      <c r="J31">
        <f>I31/(2/0.2)*3</f>
        <v>5.2249905654277491</v>
      </c>
      <c r="K31">
        <v>0.19079593595416544</v>
      </c>
      <c r="L31" s="1">
        <f t="shared" si="0"/>
        <v>27.385229875561599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3.46</v>
      </c>
      <c r="G32">
        <v>405248</v>
      </c>
      <c r="H32">
        <v>405248.40600000002</v>
      </c>
      <c r="I32" cm="1">
        <f t="array" ref="I32">TREND($X$8:$X$13,$W$8:$W$13,H32)</f>
        <v>32.596141820835811</v>
      </c>
      <c r="J32">
        <f>I32/(2/0.2)*3</f>
        <v>9.7788425462507433</v>
      </c>
      <c r="K32">
        <v>0.13122659420302052</v>
      </c>
      <c r="L32" s="1">
        <f t="shared" si="0"/>
        <v>74.518755939988097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3.46</v>
      </c>
      <c r="G33">
        <v>228324</v>
      </c>
      <c r="H33">
        <v>228323.859</v>
      </c>
      <c r="I33" cm="1">
        <f t="array" ref="I33">TREND($X$8:$X$13,$W$8:$W$13,H33)</f>
        <v>17.957960480077457</v>
      </c>
      <c r="J33">
        <f>I33/(2/0.2)*3</f>
        <v>5.3873881440232374</v>
      </c>
      <c r="K33">
        <v>0.13927650525047255</v>
      </c>
      <c r="L33" s="1">
        <f t="shared" si="0"/>
        <v>38.681241565723148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3.46</v>
      </c>
      <c r="G34">
        <v>365392</v>
      </c>
      <c r="H34">
        <v>365392.43800000002</v>
      </c>
      <c r="I34" cm="1">
        <f t="array" ref="I34">TREND($X$8:$X$13,$W$8:$W$13,H34)</f>
        <v>29.298584206654311</v>
      </c>
      <c r="J34">
        <f>I34/(2/0.2)*3</f>
        <v>8.7895752619962941</v>
      </c>
      <c r="K34">
        <v>9.7416967803722054E-2</v>
      </c>
      <c r="L34" s="1">
        <f t="shared" si="0"/>
        <v>90.226327714343697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3.46</v>
      </c>
      <c r="G35">
        <v>183630</v>
      </c>
      <c r="H35">
        <v>183629.734</v>
      </c>
      <c r="I35" cm="1">
        <f t="array" ref="I35">TREND($X$8:$X$13,$W$8:$W$13,H35)</f>
        <v>14.260108951219104</v>
      </c>
      <c r="J35">
        <f>I35/(2/0.2)*3</f>
        <v>4.2780326853657309</v>
      </c>
      <c r="K35">
        <v>7.4877216870856411E-2</v>
      </c>
      <c r="L35" s="1">
        <f t="shared" si="0"/>
        <v>57.133970306938849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3.46</v>
      </c>
      <c r="G36">
        <v>343568</v>
      </c>
      <c r="H36">
        <v>343567.625</v>
      </c>
      <c r="I36" cm="1">
        <f t="array" ref="I36">TREND($X$8:$X$13,$W$8:$W$13,H36)</f>
        <v>27.492867725593374</v>
      </c>
      <c r="J36">
        <f>I36/(2/0.2)*3</f>
        <v>8.247860317678013</v>
      </c>
      <c r="K36">
        <v>0.14491144298368897</v>
      </c>
      <c r="L36" s="1">
        <f t="shared" si="0"/>
        <v>56.916556400631393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3.46</v>
      </c>
      <c r="G37">
        <v>372898</v>
      </c>
      <c r="H37">
        <v>372898.25</v>
      </c>
      <c r="I37" cm="1">
        <f t="array" ref="I37">TREND($X$8:$X$13,$W$8:$W$13,H37)</f>
        <v>29.919591517559791</v>
      </c>
      <c r="J37">
        <f>I37/(2/0.2)*3</f>
        <v>8.9758774552679377</v>
      </c>
      <c r="K37">
        <v>0.14571643408843418</v>
      </c>
      <c r="L37" s="1">
        <f t="shared" si="0"/>
        <v>61.598250817890225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3.46</v>
      </c>
      <c r="G38">
        <v>471103</v>
      </c>
      <c r="H38">
        <v>471103.25</v>
      </c>
      <c r="I38" cm="1">
        <f t="array" ref="I38">TREND($X$8:$X$13,$W$8:$W$13,H38)</f>
        <v>38.044764778956775</v>
      </c>
      <c r="J38">
        <f>I38/(2/0.2)*3</f>
        <v>11.413429433687032</v>
      </c>
      <c r="K38">
        <v>0.26405012648597881</v>
      </c>
      <c r="L38" s="1">
        <f t="shared" si="0"/>
        <v>43.22448008481863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3.46</v>
      </c>
      <c r="G39">
        <v>362261</v>
      </c>
      <c r="H39">
        <v>362261</v>
      </c>
      <c r="I39" cm="1">
        <f t="array" ref="I39">TREND($X$8:$X$13,$W$8:$W$13,H39)</f>
        <v>29.039498861638045</v>
      </c>
      <c r="J39">
        <f>I39/(2/0.2)*3</f>
        <v>8.7118496584914134</v>
      </c>
      <c r="K39">
        <v>0.17469611385926145</v>
      </c>
      <c r="L39" s="1">
        <f t="shared" si="0"/>
        <v>49.868594475489289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3.46</v>
      </c>
      <c r="G40">
        <v>223216</v>
      </c>
      <c r="H40">
        <v>223216.43799999999</v>
      </c>
      <c r="I40" cm="1">
        <f t="array" ref="I40">TREND($X$8:$X$13,$W$8:$W$13,H40)</f>
        <v>17.535388507734933</v>
      </c>
      <c r="J40">
        <f>I40/(2/0.2)*3</f>
        <v>5.2606165523204798</v>
      </c>
      <c r="K40">
        <v>0.1175417454223521</v>
      </c>
      <c r="L40" s="1">
        <f t="shared" si="0"/>
        <v>44.755304027671045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3.46</v>
      </c>
      <c r="G41">
        <v>200312</v>
      </c>
      <c r="H41">
        <v>200311.90599999999</v>
      </c>
      <c r="I41" cm="1">
        <f t="array" ref="I41">TREND($X$8:$X$13,$W$8:$W$13,H41)</f>
        <v>15.640339467755179</v>
      </c>
      <c r="J41">
        <f>I41/(2/0.2)*3</f>
        <v>4.6921018403265542</v>
      </c>
      <c r="K41">
        <v>0.14813140740266978</v>
      </c>
      <c r="L41" s="1">
        <f t="shared" si="0"/>
        <v>31.675266728357489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3.46</v>
      </c>
      <c r="G42">
        <v>430140</v>
      </c>
      <c r="H42">
        <v>430140.28100000002</v>
      </c>
      <c r="I42" cm="1">
        <f t="array" ref="I42">TREND($X$8:$X$13,$W$8:$W$13,H42)</f>
        <v>34.655617378862758</v>
      </c>
      <c r="J42">
        <f>I42/(2/0.2)*3</f>
        <v>10.396685213658827</v>
      </c>
      <c r="K42">
        <v>0.11673675431760691</v>
      </c>
      <c r="L42" s="1">
        <f t="shared" si="0"/>
        <v>89.060941212845933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3.46</v>
      </c>
      <c r="G43">
        <v>199585</v>
      </c>
      <c r="H43">
        <v>199585.09400000001</v>
      </c>
      <c r="I43" cm="1">
        <f t="array" ref="I43">TREND($X$8:$X$13,$W$8:$W$13,H43)</f>
        <v>15.580205325619218</v>
      </c>
      <c r="J43">
        <f>I43/(2/0.2)*3</f>
        <v>4.6740615976857658</v>
      </c>
      <c r="K43">
        <v>8.6147092337289247E-2</v>
      </c>
      <c r="L43" s="1">
        <f t="shared" si="0"/>
        <v>54.256754010751123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3.46</v>
      </c>
      <c r="G44">
        <v>315008</v>
      </c>
      <c r="H44">
        <v>315007.75</v>
      </c>
      <c r="I44" cm="1">
        <f t="array" ref="I44">TREND($X$8:$X$13,$W$8:$W$13,H44)</f>
        <v>25.12991336788409</v>
      </c>
      <c r="J44">
        <f>I44/(2/0.2)*3</f>
        <v>7.5389740103652274</v>
      </c>
      <c r="K44">
        <v>8.9367056756270047E-2</v>
      </c>
      <c r="L44" s="1">
        <f t="shared" si="0"/>
        <v>84.359654261930118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3.46</v>
      </c>
      <c r="G45">
        <v>291191</v>
      </c>
      <c r="H45">
        <v>291191.15600000002</v>
      </c>
      <c r="I45" cm="1">
        <f t="array" ref="I45">TREND($X$8:$X$13,$W$8:$W$13,H45)</f>
        <v>23.159403182594669</v>
      </c>
      <c r="J45">
        <f>I45/(2/0.2)*3</f>
        <v>6.9478209547784013</v>
      </c>
      <c r="K45">
        <v>9.3392012279996037E-2</v>
      </c>
      <c r="L45" s="1">
        <f t="shared" si="0"/>
        <v>74.394166965246768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3.46</v>
      </c>
      <c r="G46">
        <v>330384</v>
      </c>
      <c r="H46">
        <v>330384.18800000002</v>
      </c>
      <c r="I46" cm="1">
        <f t="array" ref="I46">TREND($X$8:$X$13,$W$8:$W$13,H46)</f>
        <v>26.402111554260841</v>
      </c>
      <c r="J46">
        <f>I46/(2/0.2)*3</f>
        <v>7.9206334662782529</v>
      </c>
      <c r="K46">
        <v>0.18918595374467503</v>
      </c>
      <c r="L46" s="1">
        <f t="shared" si="0"/>
        <v>41.866921457435062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3.46</v>
      </c>
      <c r="G47">
        <v>250939</v>
      </c>
      <c r="H47">
        <v>250938.68799999999</v>
      </c>
      <c r="I47" cm="1">
        <f t="array" ref="I47">TREND($X$8:$X$13,$W$8:$W$13,H47)</f>
        <v>19.829040403725589</v>
      </c>
      <c r="J47">
        <f>I47/(2/0.2)*3</f>
        <v>5.9487121211176763</v>
      </c>
      <c r="K47">
        <v>9.2587021175250833E-2</v>
      </c>
      <c r="L47" s="1">
        <f t="shared" si="0"/>
        <v>64.249956911971694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3.46</v>
      </c>
      <c r="G48">
        <v>274754</v>
      </c>
      <c r="H48">
        <v>274754.18800000002</v>
      </c>
      <c r="I48" cm="1">
        <f t="array" ref="I48">TREND($X$8:$X$13,$W$8:$W$13,H48)</f>
        <v>21.799460074891012</v>
      </c>
      <c r="J48">
        <f>I48/(2/0.2)*3</f>
        <v>6.5398380224673032</v>
      </c>
      <c r="K48">
        <v>0.14974138961216016</v>
      </c>
      <c r="L48" s="1">
        <f t="shared" si="0"/>
        <v>43.674217525334207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3.46</v>
      </c>
      <c r="G49">
        <v>358239</v>
      </c>
      <c r="H49">
        <v>358238.81300000002</v>
      </c>
      <c r="I49" cm="1">
        <f t="array" ref="I49">TREND($X$8:$X$13,$W$8:$W$13,H49)</f>
        <v>28.706715741993033</v>
      </c>
      <c r="J49">
        <f>I49/(2/0.2)*3</f>
        <v>8.6120147225979107</v>
      </c>
      <c r="K49">
        <v>0.19965083810636269</v>
      </c>
      <c r="L49" s="1">
        <f t="shared" si="0"/>
        <v>43.135379767401304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3.46</v>
      </c>
      <c r="G50">
        <v>581060</v>
      </c>
      <c r="H50">
        <v>581059.68799999997</v>
      </c>
      <c r="I50" cm="1">
        <f t="array" ref="I50">TREND($X$8:$X$13,$W$8:$W$13,H50)</f>
        <v>47.14221511199537</v>
      </c>
      <c r="J50">
        <f>I50/(2/0.2)*3</f>
        <v>14.142664533598612</v>
      </c>
      <c r="K50">
        <v>0.22058060682973793</v>
      </c>
      <c r="L50" s="1">
        <f t="shared" si="0"/>
        <v>64.115629822865941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3.46</v>
      </c>
      <c r="G51">
        <v>513228</v>
      </c>
      <c r="H51">
        <v>513227.90600000002</v>
      </c>
      <c r="I51" cm="1">
        <f t="array" ref="I51">TREND($X$8:$X$13,$W$8:$W$13,H51)</f>
        <v>41.53002651284757</v>
      </c>
      <c r="J51">
        <f>I51/(2/0.2)*3</f>
        <v>12.45900795385427</v>
      </c>
      <c r="K51">
        <v>0.12720163867929454</v>
      </c>
      <c r="L51" s="1">
        <f t="shared" si="0"/>
        <v>97.946913917252118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3.46</v>
      </c>
      <c r="G52">
        <v>361232</v>
      </c>
      <c r="H52">
        <v>361232.15600000002</v>
      </c>
      <c r="I52" cm="1">
        <f t="array" ref="I52">TREND($X$8:$X$13,$W$8:$W$13,H52)</f>
        <v>28.954375540432927</v>
      </c>
      <c r="J52">
        <f>I52/(2/0.2)*3</f>
        <v>8.686312662129879</v>
      </c>
      <c r="K52">
        <v>0.1594012828691026</v>
      </c>
      <c r="L52" s="1">
        <f t="shared" si="0"/>
        <v>54.493367341735379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3.46</v>
      </c>
      <c r="G53">
        <v>784634</v>
      </c>
      <c r="H53">
        <v>784633.56299999997</v>
      </c>
      <c r="I53" cm="1">
        <f t="array" ref="I53">TREND($X$8:$X$13,$W$8:$W$13,H53)</f>
        <v>63.985278152257791</v>
      </c>
      <c r="J53">
        <f>I53/(2/0.2)*3</f>
        <v>19.195583445677336</v>
      </c>
      <c r="K53">
        <v>0.14491144298368897</v>
      </c>
      <c r="L53" s="1">
        <f t="shared" si="0"/>
        <v>132.46423505587452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3.46</v>
      </c>
      <c r="G54">
        <v>278864</v>
      </c>
      <c r="H54">
        <v>278864.18800000002</v>
      </c>
      <c r="I54" cm="1">
        <f t="array" ref="I54">TREND($X$8:$X$13,$W$8:$W$13,H54)</f>
        <v>22.139508566356227</v>
      </c>
      <c r="J54">
        <f>I54/(2/0.2)*3</f>
        <v>6.6418525699068676</v>
      </c>
      <c r="K54">
        <v>0.24553533107683917</v>
      </c>
      <c r="L54" s="1">
        <f t="shared" si="0"/>
        <v>27.050496320744692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3.46</v>
      </c>
      <c r="G55">
        <v>400779</v>
      </c>
      <c r="H55">
        <v>400778.84399999998</v>
      </c>
      <c r="I55" cm="1">
        <f t="array" ref="I55">TREND($X$8:$X$13,$W$8:$W$13,H55)</f>
        <v>32.226344298789513</v>
      </c>
      <c r="J55">
        <f>I55/(2/0.2)*3</f>
        <v>9.667903289636854</v>
      </c>
      <c r="K55">
        <v>0.3002747261995129</v>
      </c>
      <c r="L55" s="1">
        <f t="shared" si="0"/>
        <v>32.196859895604952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3.46</v>
      </c>
      <c r="G56">
        <v>308994</v>
      </c>
      <c r="H56">
        <v>308994.06300000002</v>
      </c>
      <c r="I56" cm="1">
        <f t="array" ref="I56">TREND($X$8:$X$13,$W$8:$W$13,H56)</f>
        <v>24.632359793068037</v>
      </c>
      <c r="J56">
        <f>I56/(2/0.2)*3</f>
        <v>7.3897079379204111</v>
      </c>
      <c r="K56">
        <v>0.17147614944028067</v>
      </c>
      <c r="L56" s="1">
        <f t="shared" si="0"/>
        <v>43.094669212256811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3.46</v>
      </c>
      <c r="G57">
        <v>330548</v>
      </c>
      <c r="H57">
        <v>330548.25</v>
      </c>
      <c r="I57" cm="1">
        <f t="array" ref="I57">TREND($X$8:$X$13,$W$8:$W$13,H57)</f>
        <v>26.415685528861026</v>
      </c>
      <c r="J57">
        <f>I57/(2/0.2)*3</f>
        <v>7.9247056586583078</v>
      </c>
      <c r="K57">
        <v>0.18113604269722305</v>
      </c>
      <c r="L57" s="1">
        <f t="shared" si="0"/>
        <v>43.750020927115017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3.45</v>
      </c>
      <c r="G58">
        <v>506365</v>
      </c>
      <c r="H58">
        <v>506365.28100000002</v>
      </c>
      <c r="I58" cm="1">
        <f t="array" ref="I58">TREND($X$8:$X$13,$W$8:$W$13,H58)</f>
        <v>40.962234474224346</v>
      </c>
      <c r="J58">
        <f>I58/(2/0.2)*3</f>
        <v>12.288670342267302</v>
      </c>
      <c r="K58">
        <v>8.2927127918308433E-2</v>
      </c>
      <c r="L58" s="1">
        <f t="shared" si="0"/>
        <v>148.18637339487844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3.46</v>
      </c>
      <c r="G59">
        <v>318824</v>
      </c>
      <c r="H59">
        <v>318824</v>
      </c>
      <c r="I59" cm="1">
        <f t="array" ref="I59">TREND($X$8:$X$13,$W$8:$W$13,H59)</f>
        <v>25.445657906948355</v>
      </c>
      <c r="J59">
        <f>I59/(2/0.2)*3</f>
        <v>7.633697372084506</v>
      </c>
      <c r="K59">
        <v>0.11593176321286171</v>
      </c>
      <c r="L59" s="1">
        <f t="shared" si="0"/>
        <v>65.84647003141248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3.45</v>
      </c>
      <c r="G60">
        <v>214341</v>
      </c>
      <c r="H60">
        <v>214340.78099999999</v>
      </c>
      <c r="I60" cm="1">
        <f t="array" ref="I60">TREND($X$8:$X$13,$W$8:$W$13,H60)</f>
        <v>16.801044523887562</v>
      </c>
      <c r="J60">
        <f>I60/(2/0.2)*3</f>
        <v>5.0403133571662693</v>
      </c>
      <c r="K60">
        <v>0.17469611385926145</v>
      </c>
      <c r="L60" s="1">
        <f t="shared" si="0"/>
        <v>28.851891698213976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3.46</v>
      </c>
      <c r="G61">
        <v>474715</v>
      </c>
      <c r="H61">
        <v>474714.625</v>
      </c>
      <c r="I61" cm="1">
        <f t="array" ref="I61">TREND($X$8:$X$13,$W$8:$W$13,H61)</f>
        <v>38.343558603984803</v>
      </c>
      <c r="J61">
        <f>I61/(2/0.2)*3</f>
        <v>11.503067581195442</v>
      </c>
      <c r="K61">
        <v>0.17952606048773259</v>
      </c>
      <c r="L61" s="1">
        <f t="shared" si="0"/>
        <v>64.074639358453879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3.46</v>
      </c>
      <c r="G62">
        <v>218567</v>
      </c>
      <c r="H62">
        <v>218567.42199999999</v>
      </c>
      <c r="I62" cm="1">
        <f t="array" ref="I62">TREND($X$8:$X$13,$W$8:$W$13,H62)</f>
        <v>17.150743525351075</v>
      </c>
      <c r="J62">
        <f>I62/(2/0.2)*3</f>
        <v>5.1452230576053228</v>
      </c>
      <c r="K62">
        <v>0.19723586479212707</v>
      </c>
      <c r="L62" s="1">
        <f t="shared" si="0"/>
        <v>26.08665043260784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3.46</v>
      </c>
      <c r="G63">
        <v>512877</v>
      </c>
      <c r="H63">
        <v>512876.56300000002</v>
      </c>
      <c r="I63" cm="1">
        <f t="array" ref="I63">TREND($X$8:$X$13,$W$8:$W$13,H63)</f>
        <v>41.500957496512569</v>
      </c>
      <c r="J63">
        <f>I63/(2/0.2)*3</f>
        <v>12.450287248953771</v>
      </c>
      <c r="K63">
        <v>0.28417490410460888</v>
      </c>
      <c r="L63" s="1">
        <f t="shared" si="0"/>
        <v>43.812057536124442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3.46</v>
      </c>
      <c r="G64">
        <v>205338</v>
      </c>
      <c r="H64">
        <v>205338.09400000001</v>
      </c>
      <c r="I64" cm="1">
        <f t="array" ref="I64">TREND($X$8:$X$13,$W$8:$W$13,H64)</f>
        <v>16.056190476811285</v>
      </c>
      <c r="J64">
        <f>I64/(2/0.2)*3</f>
        <v>4.8168571430433857</v>
      </c>
      <c r="K64">
        <v>0.17872106938298743</v>
      </c>
      <c r="L64" s="1">
        <f t="shared" si="0"/>
        <v>26.951814689073842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3.46</v>
      </c>
      <c r="G65">
        <v>315826</v>
      </c>
      <c r="H65">
        <v>315826.18800000002</v>
      </c>
      <c r="I65" cm="1">
        <f t="array" ref="I65">TREND($X$8:$X$13,$W$8:$W$13,H65)</f>
        <v>25.197628357484533</v>
      </c>
      <c r="J65">
        <f>I65/(2/0.2)*3</f>
        <v>7.5592885072453591</v>
      </c>
      <c r="K65">
        <v>0.19884584700161748</v>
      </c>
      <c r="L65" s="1">
        <f t="shared" si="0"/>
        <v>38.015822916250642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3.46</v>
      </c>
      <c r="G66">
        <v>352011</v>
      </c>
      <c r="H66">
        <v>352010.5</v>
      </c>
      <c r="I66" cm="1">
        <f t="array" ref="I66">TREND($X$8:$X$13,$W$8:$W$13,H66)</f>
        <v>28.191404686026317</v>
      </c>
      <c r="J66">
        <f>I66/(2/0.2)*3</f>
        <v>8.4574214058078958</v>
      </c>
      <c r="K66">
        <v>0.17469611385926145</v>
      </c>
      <c r="L66" s="1">
        <f t="shared" si="0"/>
        <v>48.412189710306649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3.46</v>
      </c>
      <c r="G67">
        <v>362292</v>
      </c>
      <c r="H67">
        <v>362292.18800000002</v>
      </c>
      <c r="I67" cm="1">
        <f t="array" ref="I67">TREND($X$8:$X$13,$W$8:$W$13,H67)</f>
        <v>29.042079258803938</v>
      </c>
      <c r="J67">
        <f>I67/(2/0.2)*3</f>
        <v>8.7126237776411806</v>
      </c>
      <c r="K67">
        <v>0.24875529549582001</v>
      </c>
      <c r="L67" s="1">
        <f t="shared" si="0"/>
        <v>35.024877602203986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3.46</v>
      </c>
      <c r="G68">
        <v>213890</v>
      </c>
      <c r="H68">
        <v>213889.57800000001</v>
      </c>
      <c r="I68" cm="1">
        <f t="array" ref="I68">TREND($X$8:$X$13,$W$8:$W$13,H68)</f>
        <v>16.763713404789126</v>
      </c>
      <c r="J68">
        <f>I68/(2/0.2)*3</f>
        <v>5.0291140214367385</v>
      </c>
      <c r="K68">
        <v>0.18274602490671343</v>
      </c>
      <c r="L68" s="1">
        <f t="shared" si="0"/>
        <v>27.519690368115835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3.46</v>
      </c>
      <c r="G69">
        <v>265484</v>
      </c>
      <c r="H69">
        <v>265483.56300000002</v>
      </c>
      <c r="I69" cm="1">
        <f t="array" ref="I69">TREND($X$8:$X$13,$W$8:$W$13,H69)</f>
        <v>21.032437679224412</v>
      </c>
      <c r="J69">
        <f>I69/(2/0.2)*3</f>
        <v>6.3097313037673235</v>
      </c>
      <c r="K69">
        <v>0.10063693222270288</v>
      </c>
      <c r="L69" s="1">
        <f t="shared" si="0"/>
        <v>62.697969467156497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3.46</v>
      </c>
      <c r="G70">
        <v>343262</v>
      </c>
      <c r="H70">
        <v>343261.53100000002</v>
      </c>
      <c r="I70" cm="1">
        <f t="array" ref="I70">TREND($X$8:$X$13,$W$8:$W$13,H70)</f>
        <v>27.467542469402002</v>
      </c>
      <c r="J70">
        <f>I70/(2/0.2)*3</f>
        <v>8.2402627408206008</v>
      </c>
      <c r="K70">
        <v>0.12156670094607813</v>
      </c>
      <c r="L70" s="1">
        <f t="shared" si="0"/>
        <v>67.783880591409925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3.46</v>
      </c>
      <c r="G71">
        <v>241163</v>
      </c>
      <c r="H71">
        <v>241163.141</v>
      </c>
      <c r="I71" cm="1">
        <f t="array" ref="I71">TREND($X$8:$X$13,$W$8:$W$13,H71)</f>
        <v>19.020242347619188</v>
      </c>
      <c r="J71">
        <f>I71/(2/0.2)*3</f>
        <v>5.7060727042857557</v>
      </c>
      <c r="K71">
        <v>8.8562065651524843E-2</v>
      </c>
      <c r="L71" s="1">
        <f t="shared" si="0"/>
        <v>64.430212442628473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3.46</v>
      </c>
      <c r="G72">
        <v>154174</v>
      </c>
      <c r="H72">
        <v>154173.82800000001</v>
      </c>
      <c r="I72" cm="1">
        <f t="array" ref="I72">TREND($X$8:$X$13,$W$8:$W$13,H72)</f>
        <v>11.823019802790585</v>
      </c>
      <c r="J72">
        <f>I72/(2/0.2)*3</f>
        <v>3.546905940837175</v>
      </c>
      <c r="K72">
        <v>0.13766652304098212</v>
      </c>
      <c r="L72" s="1">
        <f t="shared" si="0"/>
        <v>25.764476813155891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3.46</v>
      </c>
      <c r="G73">
        <v>88416</v>
      </c>
      <c r="H73">
        <v>88416.062999999995</v>
      </c>
      <c r="I73" cm="1">
        <f t="array" ref="I73">TREND($X$8:$X$13,$W$8:$W$13,H73)</f>
        <v>6.382428856227512</v>
      </c>
      <c r="J73">
        <f>I73/(2/0.2)*3</f>
        <v>1.9147286568682538</v>
      </c>
      <c r="K73">
        <v>8.2122136813563229E-2</v>
      </c>
      <c r="L73" s="1">
        <f t="shared" ref="L73" si="1">J73/K73</f>
        <v>23.315621477496901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EFB8-136E-4A23-8FF2-F457511A29A1}">
  <dimension ref="A1:AB74"/>
  <sheetViews>
    <sheetView topLeftCell="A2" workbookViewId="0">
      <selection activeCell="L2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264</v>
      </c>
      <c r="P3" t="s">
        <v>91</v>
      </c>
    </row>
    <row r="5" spans="1:28" x14ac:dyDescent="0.3">
      <c r="A5" t="s">
        <v>265</v>
      </c>
      <c r="P5" t="s">
        <v>92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3.59</v>
      </c>
      <c r="G8">
        <v>32224</v>
      </c>
      <c r="H8">
        <v>32224.205000000002</v>
      </c>
      <c r="I8" cm="1">
        <f t="array" ref="I8">TREND($X$8:$X$12,$W$8:$W$12,H8)</f>
        <v>1.8150098170711497</v>
      </c>
      <c r="J8">
        <f>I8/(2/0.2)*3</f>
        <v>0.54450294512134501</v>
      </c>
      <c r="K8">
        <v>0.10224691443219328</v>
      </c>
      <c r="L8" s="1">
        <f>J8/K8</f>
        <v>5.3253728794177073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3.31</v>
      </c>
      <c r="V8">
        <v>18813</v>
      </c>
      <c r="W8">
        <v>18812.934000000001</v>
      </c>
      <c r="X8">
        <v>1</v>
      </c>
      <c r="Y8">
        <v>0.97099999999999997</v>
      </c>
      <c r="Z8">
        <v>-2.9</v>
      </c>
      <c r="AA8">
        <v>58</v>
      </c>
      <c r="AB8">
        <v>34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3.59</v>
      </c>
      <c r="G9">
        <v>53338</v>
      </c>
      <c r="H9">
        <v>53338.09</v>
      </c>
      <c r="I9" cm="1">
        <f t="array" ref="I9">TREND($X$8:$X$12,$W$8:$W$12,H9)</f>
        <v>3.5315829058491746</v>
      </c>
      <c r="J9">
        <f>I9/(2/0.2)*3</f>
        <v>1.0594748717547522</v>
      </c>
      <c r="K9">
        <v>0.12639664757454935</v>
      </c>
      <c r="L9" s="1">
        <f t="shared" ref="L9:L72" si="0">J9/K9</f>
        <v>8.3821437679339468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3.31</v>
      </c>
      <c r="V9">
        <v>34076</v>
      </c>
      <c r="W9">
        <v>34076.468999999997</v>
      </c>
      <c r="X9">
        <v>2</v>
      </c>
      <c r="Y9">
        <v>2.145</v>
      </c>
      <c r="Z9">
        <v>7.2</v>
      </c>
      <c r="AA9">
        <v>115</v>
      </c>
      <c r="AB9">
        <v>197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3.59</v>
      </c>
      <c r="G10">
        <v>25637</v>
      </c>
      <c r="H10">
        <v>25636.732</v>
      </c>
      <c r="I10" cm="1">
        <f t="array" ref="I10">TREND($X$8:$X$12,$W$8:$W$12,H10)</f>
        <v>1.2794438198682734</v>
      </c>
      <c r="J10">
        <f>I10/(2/0.2)*3</f>
        <v>0.38383314596048201</v>
      </c>
      <c r="K10">
        <v>0.15054638071690538</v>
      </c>
      <c r="L10" s="1">
        <f t="shared" si="0"/>
        <v>2.5496006222976577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3.31</v>
      </c>
      <c r="V10">
        <v>72131</v>
      </c>
      <c r="W10">
        <v>72130.656000000003</v>
      </c>
      <c r="X10">
        <v>5</v>
      </c>
      <c r="Y10">
        <v>5.0759999999999996</v>
      </c>
      <c r="Z10">
        <v>1.5</v>
      </c>
      <c r="AA10">
        <v>354</v>
      </c>
      <c r="AB10">
        <v>238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3.59</v>
      </c>
      <c r="G11">
        <v>69846</v>
      </c>
      <c r="H11">
        <v>69845.797000000006</v>
      </c>
      <c r="I11" cm="1">
        <f t="array" ref="I11">TREND($X$8:$X$12,$W$8:$W$12,H11)</f>
        <v>4.8736706170227775</v>
      </c>
      <c r="J11">
        <f>I11/(2/0.2)*3</f>
        <v>1.4621011851068331</v>
      </c>
      <c r="K11">
        <v>0.14893639850741497</v>
      </c>
      <c r="L11" s="1">
        <f t="shared" si="0"/>
        <v>9.8169500522334747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3.31</v>
      </c>
      <c r="V11">
        <v>139564</v>
      </c>
      <c r="W11">
        <v>139564.125</v>
      </c>
      <c r="X11">
        <v>10</v>
      </c>
      <c r="Y11">
        <v>10.285</v>
      </c>
      <c r="Z11">
        <v>2.8</v>
      </c>
      <c r="AA11">
        <v>700</v>
      </c>
      <c r="AB11">
        <v>468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3.59</v>
      </c>
      <c r="G12">
        <v>38926</v>
      </c>
      <c r="H12">
        <v>38925.839999999997</v>
      </c>
      <c r="I12" cm="1">
        <f t="array" ref="I12">TREND($X$8:$X$12,$W$8:$W$12,H12)</f>
        <v>2.359857261859871</v>
      </c>
      <c r="J12">
        <f>I12/(2/0.2)*3</f>
        <v>0.70795717855796125</v>
      </c>
      <c r="K12">
        <v>4.0262599366812736E-2</v>
      </c>
      <c r="L12" s="1">
        <f t="shared" si="0"/>
        <v>17.583494103500662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3.31</v>
      </c>
      <c r="V12">
        <v>252314</v>
      </c>
      <c r="W12">
        <v>252314.34400000001</v>
      </c>
      <c r="X12">
        <v>20</v>
      </c>
      <c r="Y12">
        <v>19.035</v>
      </c>
      <c r="Z12">
        <v>-4.8</v>
      </c>
      <c r="AA12">
        <v>988</v>
      </c>
      <c r="AB12">
        <v>899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3.59</v>
      </c>
      <c r="G13">
        <v>29688</v>
      </c>
      <c r="H13">
        <v>29688.141</v>
      </c>
      <c r="I13" cm="1">
        <f t="array" ref="I13">TREND($X$8:$X$12,$W$8:$W$12,H13)</f>
        <v>1.6088261036608151</v>
      </c>
      <c r="J13">
        <f>I13/(2/0.2)*3</f>
        <v>0.4826478310982445</v>
      </c>
      <c r="K13">
        <v>0.11351678989862611</v>
      </c>
      <c r="L13" s="1">
        <f t="shared" si="0"/>
        <v>4.2517748390283359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3.31</v>
      </c>
      <c r="V13">
        <v>614363</v>
      </c>
      <c r="W13">
        <v>614363.06299999997</v>
      </c>
      <c r="X13">
        <v>50</v>
      </c>
      <c r="Y13">
        <v>47.488</v>
      </c>
      <c r="Z13">
        <v>-5</v>
      </c>
      <c r="AA13">
        <v>3435</v>
      </c>
      <c r="AB13">
        <v>4701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3.59</v>
      </c>
      <c r="G14">
        <v>29325</v>
      </c>
      <c r="H14">
        <v>29325.428</v>
      </c>
      <c r="I14" cm="1">
        <f t="array" ref="I14">TREND($X$8:$X$12,$W$8:$W$12,H14)</f>
        <v>1.5793372921630762</v>
      </c>
      <c r="J14">
        <f>I14/(2/0.2)*3</f>
        <v>0.47380118764892282</v>
      </c>
      <c r="K14">
        <v>0.10144192332744809</v>
      </c>
      <c r="L14" s="1">
        <f t="shared" si="0"/>
        <v>4.6706644758649016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3.32</v>
      </c>
      <c r="V14">
        <v>1234964</v>
      </c>
      <c r="W14">
        <v>1234963.75</v>
      </c>
      <c r="X14">
        <v>100</v>
      </c>
      <c r="Y14">
        <v>97.602000000000004</v>
      </c>
      <c r="Z14">
        <v>-2.4</v>
      </c>
      <c r="AA14">
        <v>6795</v>
      </c>
      <c r="AB14">
        <v>3670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3.59</v>
      </c>
      <c r="G15">
        <v>15531</v>
      </c>
      <c r="H15">
        <v>15531.376</v>
      </c>
      <c r="I15" cm="1">
        <f t="array" ref="I15">TREND($X$8:$X$12,$W$8:$W$12,H15)</f>
        <v>0.45787156245939031</v>
      </c>
      <c r="J15">
        <f>I15/(2/0.2)*3</f>
        <v>0.13736146873781707</v>
      </c>
      <c r="K15">
        <v>8.3732119023053622E-2</v>
      </c>
      <c r="L15" s="1">
        <f t="shared" si="0"/>
        <v>1.6404871910622243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3.32</v>
      </c>
      <c r="V15">
        <v>2531296</v>
      </c>
      <c r="W15">
        <v>2531295.75</v>
      </c>
      <c r="X15">
        <v>200</v>
      </c>
      <c r="Y15">
        <v>208.54300000000001</v>
      </c>
      <c r="Z15">
        <v>4.3</v>
      </c>
      <c r="AA15">
        <v>10916</v>
      </c>
      <c r="AB15">
        <v>7701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3.59</v>
      </c>
      <c r="G16">
        <v>114256</v>
      </c>
      <c r="H16">
        <v>114256.227</v>
      </c>
      <c r="I16" cm="1">
        <f t="array" ref="I16">TREND($X$8:$X$12,$W$8:$W$12,H16)</f>
        <v>8.4842685244690053</v>
      </c>
      <c r="J16">
        <f>I16/(2/0.2)*3</f>
        <v>2.5452805573407016</v>
      </c>
      <c r="K16">
        <v>0.22299558014397355</v>
      </c>
      <c r="L16" s="1">
        <f t="shared" si="0"/>
        <v>11.414040384555522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3.32</v>
      </c>
      <c r="V16">
        <v>5399094</v>
      </c>
      <c r="W16">
        <v>5399094</v>
      </c>
      <c r="X16">
        <v>500</v>
      </c>
      <c r="Y16">
        <v>496.661</v>
      </c>
      <c r="Z16">
        <v>-0.7</v>
      </c>
      <c r="AA16">
        <v>6212</v>
      </c>
      <c r="AB16">
        <v>5493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3.59</v>
      </c>
      <c r="G17">
        <v>179240</v>
      </c>
      <c r="H17">
        <v>179240.43799999999</v>
      </c>
      <c r="I17" cm="1">
        <f t="array" ref="I17">TREND($X$8:$X$12,$W$8:$W$12,H17)</f>
        <v>13.767528701270807</v>
      </c>
      <c r="J17">
        <f>I17/(2/0.2)*3</f>
        <v>4.130258610381242</v>
      </c>
      <c r="K17">
        <v>0.1175417454223521</v>
      </c>
      <c r="L17" s="1">
        <f t="shared" si="0"/>
        <v>35.138653042290279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3.59</v>
      </c>
      <c r="G18">
        <v>91409</v>
      </c>
      <c r="H18">
        <v>91408.843999999997</v>
      </c>
      <c r="I18" cm="1">
        <f t="array" ref="I18">TREND($X$8:$X$12,$W$8:$W$12,H18)</f>
        <v>6.6267608792959551</v>
      </c>
      <c r="J18">
        <f>I18/(2/0.2)*3</f>
        <v>1.9880282637887867</v>
      </c>
      <c r="K18">
        <v>0.11351678989862611</v>
      </c>
      <c r="L18" s="1">
        <f t="shared" si="0"/>
        <v>17.513076837040188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3.59</v>
      </c>
      <c r="G19">
        <v>103358</v>
      </c>
      <c r="H19">
        <v>103358.125</v>
      </c>
      <c r="I19" cm="1">
        <f t="array" ref="I19">TREND($X$8:$X$12,$W$8:$W$12,H19)</f>
        <v>7.5982454826669876</v>
      </c>
      <c r="J19">
        <f>I19/(2/0.2)*3</f>
        <v>2.2794736448000963</v>
      </c>
      <c r="K19">
        <v>8.4537110127798853E-2</v>
      </c>
      <c r="L19" s="1">
        <f t="shared" si="0"/>
        <v>26.964177523387129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3.59</v>
      </c>
      <c r="G20">
        <v>126793</v>
      </c>
      <c r="H20">
        <v>126793.18</v>
      </c>
      <c r="I20" cm="1">
        <f t="array" ref="I20">TREND($X$8:$X$12,$W$8:$W$12,H20)</f>
        <v>9.5035312577402582</v>
      </c>
      <c r="J20">
        <f>I20/(2/0.2)*3</f>
        <v>2.8510593773220778</v>
      </c>
      <c r="K20">
        <v>0.1078818521654097</v>
      </c>
      <c r="L20" s="1">
        <f t="shared" si="0"/>
        <v>26.427608722834076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3.59</v>
      </c>
      <c r="G21">
        <v>67411</v>
      </c>
      <c r="H21">
        <v>67410.797000000006</v>
      </c>
      <c r="I21" cm="1">
        <f t="array" ref="I21">TREND($X$8:$X$12,$W$8:$W$12,H21)</f>
        <v>4.6757034749655721</v>
      </c>
      <c r="J21">
        <f>I21/(2/0.2)*3</f>
        <v>1.4027110424896718</v>
      </c>
      <c r="K21">
        <v>0.14813140740266978</v>
      </c>
      <c r="L21" s="1">
        <f t="shared" si="0"/>
        <v>9.4693695758701786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3.59</v>
      </c>
      <c r="G22">
        <v>76804</v>
      </c>
      <c r="H22">
        <v>76803.827999999994</v>
      </c>
      <c r="I22" cm="1">
        <f t="array" ref="I22">TREND($X$8:$X$12,$W$8:$W$12,H22)</f>
        <v>5.4393632295137158</v>
      </c>
      <c r="J22">
        <f>I22/(2/0.2)*3</f>
        <v>1.6318089688541149</v>
      </c>
      <c r="K22">
        <v>6.6022314718659172E-2</v>
      </c>
      <c r="L22" s="1">
        <f t="shared" si="0"/>
        <v>24.716021784569971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3.59</v>
      </c>
      <c r="G23">
        <v>58819</v>
      </c>
      <c r="H23">
        <v>58819.222999999998</v>
      </c>
      <c r="I23" cm="1">
        <f t="array" ref="I23">TREND($X$8:$X$12,$W$8:$W$12,H23)</f>
        <v>3.9772027149848777</v>
      </c>
      <c r="J23">
        <f>I23/(2/0.2)*3</f>
        <v>1.1931608144954633</v>
      </c>
      <c r="K23">
        <v>0.22621554456295434</v>
      </c>
      <c r="L23" s="1">
        <f t="shared" si="0"/>
        <v>5.2744421998083082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3.59</v>
      </c>
      <c r="G24">
        <v>70955</v>
      </c>
      <c r="H24">
        <v>70954.914000000004</v>
      </c>
      <c r="I24" cm="1">
        <f t="array" ref="I24">TREND($X$8:$X$12,$W$8:$W$12,H24)</f>
        <v>4.9638425770626382</v>
      </c>
      <c r="J24">
        <f>I24/(2/0.2)*3</f>
        <v>1.4891527731187915</v>
      </c>
      <c r="K24">
        <v>0.21897062462024752</v>
      </c>
      <c r="L24" s="1">
        <f t="shared" si="0"/>
        <v>6.8006965578208165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3.59</v>
      </c>
      <c r="G25">
        <v>70636</v>
      </c>
      <c r="H25">
        <v>70636.391000000003</v>
      </c>
      <c r="I25" cm="1">
        <f t="array" ref="I25">TREND($X$8:$X$12,$W$8:$W$12,H25)</f>
        <v>4.9379464423646962</v>
      </c>
      <c r="J25">
        <f>I25/(2/0.2)*3</f>
        <v>1.4813839327094089</v>
      </c>
      <c r="K25">
        <v>0.11271179879388092</v>
      </c>
      <c r="L25" s="1">
        <f t="shared" si="0"/>
        <v>13.143113219392898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3.59</v>
      </c>
      <c r="G26">
        <v>71092</v>
      </c>
      <c r="H26">
        <v>71092.093999999997</v>
      </c>
      <c r="I26" cm="1">
        <f t="array" ref="I26">TREND($X$8:$X$12,$W$8:$W$12,H26)</f>
        <v>4.974995403570813</v>
      </c>
      <c r="J26">
        <f>I26/(2/0.2)*3</f>
        <v>1.4924986210712441</v>
      </c>
      <c r="K26">
        <v>9.1782030070505644E-2</v>
      </c>
      <c r="L26" s="1">
        <f t="shared" si="0"/>
        <v>16.261338084641711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3.59</v>
      </c>
      <c r="G27">
        <v>59224</v>
      </c>
      <c r="H27">
        <v>59224.468999999997</v>
      </c>
      <c r="I27" cm="1">
        <f t="array" ref="I27">TREND($X$8:$X$12,$W$8:$W$12,H27)</f>
        <v>4.0101494880650064</v>
      </c>
      <c r="J27">
        <f>I27/(2/0.2)*3</f>
        <v>1.2030448464195018</v>
      </c>
      <c r="K27">
        <v>0.16584121170706426</v>
      </c>
      <c r="L27" s="1">
        <f t="shared" si="0"/>
        <v>7.2541971566423156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3.59</v>
      </c>
      <c r="G28">
        <v>80770</v>
      </c>
      <c r="H28">
        <v>80769.866999999998</v>
      </c>
      <c r="I28" cm="1">
        <f t="array" ref="I28">TREND($X$8:$X$12,$W$8:$W$12,H28)</f>
        <v>5.7618048747364741</v>
      </c>
      <c r="J28">
        <f>I28/(2/0.2)*3</f>
        <v>1.7285414624209421</v>
      </c>
      <c r="K28">
        <v>0.20850574025855992</v>
      </c>
      <c r="L28" s="1">
        <f t="shared" si="0"/>
        <v>8.2901384886451783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3.59</v>
      </c>
      <c r="G29">
        <v>75784</v>
      </c>
      <c r="H29">
        <v>75783.820000000007</v>
      </c>
      <c r="I29" cm="1">
        <f t="array" ref="I29">TREND($X$8:$X$12,$W$8:$W$12,H29)</f>
        <v>5.3564358912650567</v>
      </c>
      <c r="J29">
        <f>I29/(2/0.2)*3</f>
        <v>1.606930767379517</v>
      </c>
      <c r="K29">
        <v>0.15457133624063138</v>
      </c>
      <c r="L29" s="1">
        <f t="shared" si="0"/>
        <v>10.396046294624135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3.59</v>
      </c>
      <c r="G30">
        <v>87664</v>
      </c>
      <c r="H30">
        <v>87663.664000000004</v>
      </c>
      <c r="I30" cm="1">
        <f t="array" ref="I30">TREND($X$8:$X$12,$W$8:$W$12,H30)</f>
        <v>6.3222752197108214</v>
      </c>
      <c r="J30">
        <f>I30/(2/0.2)*3</f>
        <v>1.8966825659132462</v>
      </c>
      <c r="K30">
        <v>0.22863051787718996</v>
      </c>
      <c r="L30" s="1">
        <f t="shared" si="0"/>
        <v>8.2958416204614416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3.59</v>
      </c>
      <c r="G31">
        <v>71487</v>
      </c>
      <c r="H31">
        <v>71486.726999999999</v>
      </c>
      <c r="I31" cm="1">
        <f t="array" ref="I31">TREND($X$8:$X$12,$W$8:$W$12,H31)</f>
        <v>5.0070793325940004</v>
      </c>
      <c r="J31">
        <f>I31/(2/0.2)*3</f>
        <v>1.5021237997782</v>
      </c>
      <c r="K31">
        <v>0.19079593595416544</v>
      </c>
      <c r="L31" s="1">
        <f t="shared" si="0"/>
        <v>7.8729339399506522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3.59</v>
      </c>
      <c r="G32">
        <v>104404</v>
      </c>
      <c r="H32">
        <v>104403.70299999999</v>
      </c>
      <c r="I32" cm="1">
        <f t="array" ref="I32">TREND($X$8:$X$12,$W$8:$W$12,H32)</f>
        <v>7.6832516791589338</v>
      </c>
      <c r="J32">
        <f>I32/(2/0.2)*3</f>
        <v>2.3049755037476798</v>
      </c>
      <c r="K32">
        <v>0.13122659420302052</v>
      </c>
      <c r="L32" s="1">
        <f t="shared" si="0"/>
        <v>17.564850461497574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3.59</v>
      </c>
      <c r="G33">
        <v>62001</v>
      </c>
      <c r="H33">
        <v>62000.675999999999</v>
      </c>
      <c r="I33" cm="1">
        <f t="array" ref="I33">TREND($X$8:$X$12,$W$8:$W$12,H33)</f>
        <v>4.2358569893172477</v>
      </c>
      <c r="J33">
        <f>I33/(2/0.2)*3</f>
        <v>1.2707570967951742</v>
      </c>
      <c r="K33">
        <v>0.13927650525047255</v>
      </c>
      <c r="L33" s="1">
        <f t="shared" si="0"/>
        <v>9.1239875276154141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3.59</v>
      </c>
      <c r="G34">
        <v>121828</v>
      </c>
      <c r="H34">
        <v>121827.859</v>
      </c>
      <c r="I34" cm="1">
        <f t="array" ref="I34">TREND($X$8:$X$12,$W$8:$W$12,H34)</f>
        <v>9.0998473120455472</v>
      </c>
      <c r="J34">
        <f>I34/(2/0.2)*3</f>
        <v>2.729954193613664</v>
      </c>
      <c r="K34">
        <v>9.7416967803722054E-2</v>
      </c>
      <c r="L34" s="1">
        <f t="shared" si="0"/>
        <v>28.023395258144745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3.59</v>
      </c>
      <c r="G35">
        <v>50648</v>
      </c>
      <c r="H35">
        <v>50648.171999999999</v>
      </c>
      <c r="I35" cm="1">
        <f t="array" ref="I35">TREND($X$8:$X$12,$W$8:$W$12,H35)</f>
        <v>3.3128907584864509</v>
      </c>
      <c r="J35">
        <f>I35/(2/0.2)*3</f>
        <v>0.99386722754593526</v>
      </c>
      <c r="K35">
        <v>7.4877216870856411E-2</v>
      </c>
      <c r="L35" s="1">
        <f t="shared" si="0"/>
        <v>13.273292853019576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3.6</v>
      </c>
      <c r="G36">
        <v>80272</v>
      </c>
      <c r="H36">
        <v>80272.210999999996</v>
      </c>
      <c r="I36" cm="1">
        <f t="array" ref="I36">TREND($X$8:$X$12,$W$8:$W$12,H36)</f>
        <v>5.7213451063390934</v>
      </c>
      <c r="J36">
        <f>I36/(2/0.2)*3</f>
        <v>1.7164035319017279</v>
      </c>
      <c r="K36">
        <v>0.14491144298368897</v>
      </c>
      <c r="L36" s="1">
        <f t="shared" si="0"/>
        <v>11.844499623780049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3.59</v>
      </c>
      <c r="G37">
        <v>98749</v>
      </c>
      <c r="H37">
        <v>98748.616999999998</v>
      </c>
      <c r="I37" cm="1">
        <f t="array" ref="I37">TREND($X$8:$X$12,$W$8:$W$12,H37)</f>
        <v>7.2234893738169568</v>
      </c>
      <c r="J37">
        <f>I37/(2/0.2)*3</f>
        <v>2.1670468121450872</v>
      </c>
      <c r="K37">
        <v>0.14571643408843418</v>
      </c>
      <c r="L37" s="1">
        <f t="shared" si="0"/>
        <v>14.871670623163364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3.59</v>
      </c>
      <c r="G38">
        <v>135853</v>
      </c>
      <c r="H38">
        <v>135852.53099999999</v>
      </c>
      <c r="I38" cm="1">
        <f t="array" ref="I38">TREND($X$8:$X$12,$W$8:$W$12,H38)</f>
        <v>10.240062603269244</v>
      </c>
      <c r="J38">
        <f>I38/(2/0.2)*3</f>
        <v>3.0720187809807733</v>
      </c>
      <c r="K38">
        <v>0.26405012648597881</v>
      </c>
      <c r="L38" s="1">
        <f t="shared" si="0"/>
        <v>11.63422575048037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3.59</v>
      </c>
      <c r="G39">
        <v>95352</v>
      </c>
      <c r="H39">
        <v>95351.858999999997</v>
      </c>
      <c r="I39" cm="1">
        <f t="array" ref="I39">TREND($X$8:$X$12,$W$8:$W$12,H39)</f>
        <v>6.9473306577923379</v>
      </c>
      <c r="J39">
        <f>I39/(2/0.2)*3</f>
        <v>2.0841991973377012</v>
      </c>
      <c r="K39">
        <v>0.17469611385926145</v>
      </c>
      <c r="L39" s="1">
        <f t="shared" si="0"/>
        <v>11.9304267925317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3.59</v>
      </c>
      <c r="G40">
        <v>75287</v>
      </c>
      <c r="H40">
        <v>75286.648000000001</v>
      </c>
      <c r="I40" cm="1">
        <f t="array" ref="I40">TREND($X$8:$X$12,$W$8:$W$12,H40)</f>
        <v>5.3160154723940654</v>
      </c>
      <c r="J40">
        <f>I40/(2/0.2)*3</f>
        <v>1.5948046417182198</v>
      </c>
      <c r="K40">
        <v>0.1175417454223521</v>
      </c>
      <c r="L40" s="1">
        <f t="shared" si="0"/>
        <v>13.567985025130882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3.59</v>
      </c>
      <c r="G41">
        <v>49164</v>
      </c>
      <c r="H41">
        <v>49163.805</v>
      </c>
      <c r="I41" cm="1">
        <f t="array" ref="I41">TREND($X$8:$X$12,$W$8:$W$12,H41)</f>
        <v>3.1922107203944483</v>
      </c>
      <c r="J41">
        <f>I41/(2/0.2)*3</f>
        <v>0.95766321611833449</v>
      </c>
      <c r="K41">
        <v>0.14813140740266978</v>
      </c>
      <c r="L41" s="1">
        <f t="shared" si="0"/>
        <v>6.464957249174657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3.59</v>
      </c>
      <c r="G42">
        <v>124014</v>
      </c>
      <c r="H42">
        <v>124014.289</v>
      </c>
      <c r="I42" cm="1">
        <f t="array" ref="I42">TREND($X$8:$X$12,$W$8:$W$12,H42)</f>
        <v>9.2776055454780462</v>
      </c>
      <c r="J42">
        <f>I42/(2/0.2)*3</f>
        <v>2.7832816636434137</v>
      </c>
      <c r="K42">
        <v>0.11673675431760691</v>
      </c>
      <c r="L42" s="1">
        <f t="shared" si="0"/>
        <v>23.842376635476004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3.59</v>
      </c>
      <c r="G43">
        <v>57842</v>
      </c>
      <c r="H43">
        <v>57842.461000000003</v>
      </c>
      <c r="I43" cm="1">
        <f t="array" ref="I43">TREND($X$8:$X$12,$W$8:$W$12,H43)</f>
        <v>3.8977913056994238</v>
      </c>
      <c r="J43">
        <f>I43/(2/0.2)*3</f>
        <v>1.1693373917098273</v>
      </c>
      <c r="K43">
        <v>8.6147092337289247E-2</v>
      </c>
      <c r="L43" s="1">
        <f t="shared" si="0"/>
        <v>13.573730232606739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3.59</v>
      </c>
      <c r="G44">
        <v>96766</v>
      </c>
      <c r="H44">
        <v>96765.516000000003</v>
      </c>
      <c r="I44" cm="1">
        <f t="array" ref="I44">TREND($X$8:$X$12,$W$8:$W$12,H44)</f>
        <v>7.0622619252006187</v>
      </c>
      <c r="J44">
        <f>I44/(2/0.2)*3</f>
        <v>2.1186785775601855</v>
      </c>
      <c r="K44">
        <v>8.9367056756270047E-2</v>
      </c>
      <c r="L44" s="1">
        <f t="shared" si="0"/>
        <v>23.70760159796286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3.59</v>
      </c>
      <c r="G45">
        <v>100874</v>
      </c>
      <c r="H45">
        <v>100874.43</v>
      </c>
      <c r="I45" cm="1">
        <f t="array" ref="I45">TREND($X$8:$X$12,$W$8:$W$12,H45)</f>
        <v>7.3963194042720097</v>
      </c>
      <c r="J45">
        <f>I45/(2/0.2)*3</f>
        <v>2.2188958212816026</v>
      </c>
      <c r="K45">
        <v>9.3392012279996037E-2</v>
      </c>
      <c r="L45" s="1">
        <f t="shared" si="0"/>
        <v>23.758946478518865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3.59</v>
      </c>
      <c r="G46">
        <v>90968</v>
      </c>
      <c r="H46">
        <v>90968.233999999997</v>
      </c>
      <c r="I46" cm="1">
        <f t="array" ref="I46">TREND($X$8:$X$12,$W$8:$W$12,H46)</f>
        <v>6.5909389891678956</v>
      </c>
      <c r="J46">
        <f>I46/(2/0.2)*3</f>
        <v>1.9772816967503688</v>
      </c>
      <c r="K46">
        <v>0.18918595374467503</v>
      </c>
      <c r="L46" s="1">
        <f t="shared" si="0"/>
        <v>10.451524849560998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3.59</v>
      </c>
      <c r="G47">
        <v>74600</v>
      </c>
      <c r="H47">
        <v>74600.070000000007</v>
      </c>
      <c r="I47" cm="1">
        <f t="array" ref="I47">TREND($X$8:$X$12,$W$8:$W$12,H47)</f>
        <v>5.2601962179959747</v>
      </c>
      <c r="J47">
        <f>I47/(2/0.2)*3</f>
        <v>1.5780588653987926</v>
      </c>
      <c r="K47">
        <v>9.2587021175250833E-2</v>
      </c>
      <c r="L47" s="1">
        <f t="shared" si="0"/>
        <v>17.044061309757517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3.59</v>
      </c>
      <c r="G48">
        <v>89283</v>
      </c>
      <c r="H48">
        <v>89283.077999999994</v>
      </c>
      <c r="I48" cm="1">
        <f t="array" ref="I48">TREND($X$8:$X$12,$W$8:$W$12,H48)</f>
        <v>6.4539346699725977</v>
      </c>
      <c r="J48">
        <f>I48/(2/0.2)*3</f>
        <v>1.9361804009917791</v>
      </c>
      <c r="K48">
        <v>0.14974138961216016</v>
      </c>
      <c r="L48" s="1">
        <f t="shared" si="0"/>
        <v>12.930161834390686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3.59</v>
      </c>
      <c r="G49">
        <v>108508</v>
      </c>
      <c r="H49">
        <v>108507.67200000001</v>
      </c>
      <c r="I49" cm="1">
        <f t="array" ref="I49">TREND($X$8:$X$12,$W$8:$W$12,H49)</f>
        <v>8.0169071263956351</v>
      </c>
      <c r="J49">
        <f>I49/(2/0.2)*3</f>
        <v>2.4050721379186903</v>
      </c>
      <c r="K49">
        <v>0.19965083810636269</v>
      </c>
      <c r="L49" s="1">
        <f t="shared" si="0"/>
        <v>12.046391393746134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3.59</v>
      </c>
      <c r="G50">
        <v>175272</v>
      </c>
      <c r="H50">
        <v>175271.516</v>
      </c>
      <c r="I50" cm="1">
        <f t="array" ref="I50">TREND($X$8:$X$12,$W$8:$W$12,H50)</f>
        <v>13.444852666203882</v>
      </c>
      <c r="J50">
        <f>I50/(2/0.2)*3</f>
        <v>4.033455799861164</v>
      </c>
      <c r="K50">
        <v>0.22058060682973793</v>
      </c>
      <c r="L50" s="1">
        <f t="shared" si="0"/>
        <v>18.285631986562233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3.59</v>
      </c>
      <c r="G51">
        <v>119563</v>
      </c>
      <c r="H51">
        <v>119563.086</v>
      </c>
      <c r="I51" cm="1">
        <f t="array" ref="I51">TREND($X$8:$X$12,$W$8:$W$12,H51)</f>
        <v>8.9157197398819648</v>
      </c>
      <c r="J51">
        <f>I51/(2/0.2)*3</f>
        <v>2.6747159219645891</v>
      </c>
      <c r="K51">
        <v>0.12720163867929454</v>
      </c>
      <c r="L51" s="1">
        <f t="shared" si="0"/>
        <v>21.027370006672488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3.59</v>
      </c>
      <c r="G52">
        <v>114834</v>
      </c>
      <c r="H52">
        <v>114834.125</v>
      </c>
      <c r="I52" cm="1">
        <f t="array" ref="I52">TREND($X$8:$X$12,$W$8:$W$12,H52)</f>
        <v>8.5312520215780694</v>
      </c>
      <c r="J52">
        <f>I52/(2/0.2)*3</f>
        <v>2.559375606473421</v>
      </c>
      <c r="K52">
        <v>0.1594012828691026</v>
      </c>
      <c r="L52" s="1">
        <f t="shared" si="0"/>
        <v>16.056179476140937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3.59</v>
      </c>
      <c r="G53">
        <v>158865</v>
      </c>
      <c r="H53">
        <v>158865.20300000001</v>
      </c>
      <c r="I53" cm="1">
        <f t="array" ref="I53">TREND($X$8:$X$12,$W$8:$W$12,H53)</f>
        <v>12.111008355605948</v>
      </c>
      <c r="J53">
        <f>I53/(2/0.2)*3</f>
        <v>3.6333025066817841</v>
      </c>
      <c r="K53">
        <v>0.14491144298368897</v>
      </c>
      <c r="L53" s="1">
        <f t="shared" si="0"/>
        <v>25.072571439998313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3.59</v>
      </c>
      <c r="G54">
        <v>59205</v>
      </c>
      <c r="H54">
        <v>59204.785000000003</v>
      </c>
      <c r="I54" cm="1">
        <f t="array" ref="I54">TREND($X$8:$X$12,$W$8:$W$12,H54)</f>
        <v>4.0085491655909804</v>
      </c>
      <c r="J54">
        <f>I54/(2/0.2)*3</f>
        <v>1.2025647496772942</v>
      </c>
      <c r="K54">
        <v>0.24553533107683917</v>
      </c>
      <c r="L54" s="1">
        <f t="shared" si="0"/>
        <v>4.8977258971376179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3.59</v>
      </c>
      <c r="G55">
        <v>113324</v>
      </c>
      <c r="H55">
        <v>113323.609</v>
      </c>
      <c r="I55" cm="1">
        <f t="array" ref="I55">TREND($X$8:$X$12,$W$8:$W$12,H55)</f>
        <v>8.4084460521523283</v>
      </c>
      <c r="J55">
        <f>I55/(2/0.2)*3</f>
        <v>2.5225338156456987</v>
      </c>
      <c r="K55">
        <v>0.3002747261995129</v>
      </c>
      <c r="L55" s="1">
        <f t="shared" si="0"/>
        <v>8.4007530289766716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3.59</v>
      </c>
      <c r="G56">
        <v>59896</v>
      </c>
      <c r="H56">
        <v>59896.417999999998</v>
      </c>
      <c r="I56" cm="1">
        <f t="array" ref="I56">TREND($X$8:$X$12,$W$8:$W$12,H56)</f>
        <v>4.0647793948979416</v>
      </c>
      <c r="J56">
        <f>I56/(2/0.2)*3</f>
        <v>1.2194338184693825</v>
      </c>
      <c r="K56">
        <v>0.17147614944028067</v>
      </c>
      <c r="L56" s="1">
        <f t="shared" si="0"/>
        <v>7.1113902571859997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3.59</v>
      </c>
      <c r="G57">
        <v>87670</v>
      </c>
      <c r="H57">
        <v>87669.866999999998</v>
      </c>
      <c r="I57" cm="1">
        <f t="array" ref="I57">TREND($X$8:$X$12,$W$8:$W$12,H57)</f>
        <v>6.3227795277938519</v>
      </c>
      <c r="J57">
        <f>I57/(2/0.2)*3</f>
        <v>1.8968338583381554</v>
      </c>
      <c r="K57">
        <v>0.18113604269722305</v>
      </c>
      <c r="L57" s="1">
        <f t="shared" si="0"/>
        <v>10.471874233825444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3.59</v>
      </c>
      <c r="G58">
        <v>121336</v>
      </c>
      <c r="H58">
        <v>121335.70299999999</v>
      </c>
      <c r="I58" cm="1">
        <f t="array" ref="I58">TREND($X$8:$X$12,$W$8:$W$12,H58)</f>
        <v>9.0598346973571253</v>
      </c>
      <c r="J58">
        <f>I58/(2/0.2)*3</f>
        <v>2.7179504092071376</v>
      </c>
      <c r="K58">
        <v>8.2927127918308433E-2</v>
      </c>
      <c r="L58" s="1">
        <f t="shared" si="0"/>
        <v>32.775166310891564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3.59</v>
      </c>
      <c r="G59">
        <v>62935</v>
      </c>
      <c r="H59">
        <v>62934.516000000003</v>
      </c>
      <c r="I59" cm="1">
        <f t="array" ref="I59">TREND($X$8:$X$12,$W$8:$W$12,H59)</f>
        <v>4.3117788110579873</v>
      </c>
      <c r="J59">
        <f>I59/(2/0.2)*3</f>
        <v>1.2935336433173963</v>
      </c>
      <c r="K59">
        <v>0.11593176321286171</v>
      </c>
      <c r="L59" s="1">
        <f t="shared" si="0"/>
        <v>11.157715603292825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3.59</v>
      </c>
      <c r="G60">
        <v>51735</v>
      </c>
      <c r="H60">
        <v>51734.93</v>
      </c>
      <c r="I60" cm="1">
        <f t="array" ref="I60">TREND($X$8:$X$12,$W$8:$W$12,H60)</f>
        <v>3.4012449167483831</v>
      </c>
      <c r="J60">
        <f>I60/(2/0.2)*3</f>
        <v>1.020373475024515</v>
      </c>
      <c r="K60">
        <v>0.17469611385926145</v>
      </c>
      <c r="L60" s="1">
        <f t="shared" si="0"/>
        <v>5.8408481590297283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3.59</v>
      </c>
      <c r="G61">
        <v>121913</v>
      </c>
      <c r="H61">
        <v>121913.234</v>
      </c>
      <c r="I61" cm="1">
        <f t="array" ref="I61">TREND($X$8:$X$12,$W$8:$W$12,H61)</f>
        <v>9.1067883571187025</v>
      </c>
      <c r="J61">
        <f>I61/(2/0.2)*3</f>
        <v>2.7320365071356107</v>
      </c>
      <c r="K61">
        <v>0.17952606048773259</v>
      </c>
      <c r="L61" s="1">
        <f t="shared" si="0"/>
        <v>15.218049678766814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3.59</v>
      </c>
      <c r="G62">
        <v>66492</v>
      </c>
      <c r="H62">
        <v>66492.398000000001</v>
      </c>
      <c r="I62" cm="1">
        <f t="array" ref="I62">TREND($X$8:$X$12,$W$8:$W$12,H62)</f>
        <v>4.6010370169375658</v>
      </c>
      <c r="J62">
        <f>I62/(2/0.2)*3</f>
        <v>1.3803111050812698</v>
      </c>
      <c r="K62">
        <v>0.19723586479212707</v>
      </c>
      <c r="L62" s="1">
        <f t="shared" si="0"/>
        <v>6.998276436874308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3.59</v>
      </c>
      <c r="G63">
        <v>126101</v>
      </c>
      <c r="H63">
        <v>126101.492</v>
      </c>
      <c r="I63" cm="1">
        <f t="array" ref="I63">TREND($X$8:$X$12,$W$8:$W$12,H63)</f>
        <v>9.4472965568962071</v>
      </c>
      <c r="J63">
        <f>I63/(2/0.2)*3</f>
        <v>2.8341889670688625</v>
      </c>
      <c r="K63">
        <v>0.28417490410460888</v>
      </c>
      <c r="L63" s="1">
        <f t="shared" si="0"/>
        <v>9.9733964052841078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3.59</v>
      </c>
      <c r="G64">
        <v>61685</v>
      </c>
      <c r="H64">
        <v>61684.945</v>
      </c>
      <c r="I64" cm="1">
        <f t="array" ref="I64">TREND($X$8:$X$12,$W$8:$W$12,H64)</f>
        <v>4.2101878461021087</v>
      </c>
      <c r="J64">
        <f>I64/(2/0.2)*3</f>
        <v>1.2630563538306325</v>
      </c>
      <c r="K64">
        <v>0.17872106938298743</v>
      </c>
      <c r="L64" s="1">
        <f t="shared" si="0"/>
        <v>7.067193354377185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3.59</v>
      </c>
      <c r="G65">
        <v>94462</v>
      </c>
      <c r="H65">
        <v>94461.523000000001</v>
      </c>
      <c r="I65" cm="1">
        <f t="array" ref="I65">TREND($X$8:$X$12,$W$8:$W$12,H65)</f>
        <v>6.8749457405887879</v>
      </c>
      <c r="J65">
        <f>I65/(2/0.2)*3</f>
        <v>2.0624837221766366</v>
      </c>
      <c r="K65">
        <v>0.19884584700161748</v>
      </c>
      <c r="L65" s="1">
        <f t="shared" si="0"/>
        <v>10.372274569857421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3.59</v>
      </c>
      <c r="G66">
        <v>82098</v>
      </c>
      <c r="H66">
        <v>82098.172000000006</v>
      </c>
      <c r="I66" cm="1">
        <f t="array" ref="I66">TREND($X$8:$X$12,$W$8:$W$12,H66)</f>
        <v>5.8697969669871091</v>
      </c>
      <c r="J66">
        <f>I66/(2/0.2)*3</f>
        <v>1.7609390900961326</v>
      </c>
      <c r="K66">
        <v>0.17469611385926145</v>
      </c>
      <c r="L66" s="1">
        <f t="shared" si="0"/>
        <v>10.080012950458526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3.59</v>
      </c>
      <c r="G67">
        <v>119039</v>
      </c>
      <c r="H67">
        <v>119039.05499999999</v>
      </c>
      <c r="I67" cm="1">
        <f t="array" ref="I67">TREND($X$8:$X$12,$W$8:$W$12,H67)</f>
        <v>8.8731156661984407</v>
      </c>
      <c r="J67">
        <f>I67/(2/0.2)*3</f>
        <v>2.6619346998595326</v>
      </c>
      <c r="K67">
        <v>0.24875529549582001</v>
      </c>
      <c r="L67" s="1">
        <f t="shared" si="0"/>
        <v>10.701017216754137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3.59</v>
      </c>
      <c r="G68">
        <v>60100</v>
      </c>
      <c r="H68">
        <v>60100.41</v>
      </c>
      <c r="I68" cm="1">
        <f t="array" ref="I68">TREND($X$8:$X$12,$W$8:$W$12,H68)</f>
        <v>4.0813640820612003</v>
      </c>
      <c r="J68">
        <f>I68/(2/0.2)*3</f>
        <v>1.22440922461836</v>
      </c>
      <c r="K68">
        <v>0.18274602490671343</v>
      </c>
      <c r="L68" s="1">
        <f t="shared" si="0"/>
        <v>6.700059414388825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3.59</v>
      </c>
      <c r="G69">
        <v>58951</v>
      </c>
      <c r="H69">
        <v>58951.309000000001</v>
      </c>
      <c r="I69" cm="1">
        <f t="array" ref="I69">TREND($X$8:$X$12,$W$8:$W$12,H69)</f>
        <v>3.9879413958578827</v>
      </c>
      <c r="J69">
        <f>I69/(2/0.2)*3</f>
        <v>1.1963824187573646</v>
      </c>
      <c r="K69">
        <v>0.10063693222270288</v>
      </c>
      <c r="L69" s="1">
        <f t="shared" si="0"/>
        <v>11.888105016057617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3.59</v>
      </c>
      <c r="G70">
        <v>95192</v>
      </c>
      <c r="H70">
        <v>95192.351999999999</v>
      </c>
      <c r="I70" cm="1">
        <f t="array" ref="I70">TREND($X$8:$X$12,$W$8:$W$12,H70)</f>
        <v>6.9343626311278133</v>
      </c>
      <c r="J70">
        <f>I70/(2/0.2)*3</f>
        <v>2.0803087893383436</v>
      </c>
      <c r="K70">
        <v>0.12156670094607813</v>
      </c>
      <c r="L70" s="1">
        <f t="shared" si="0"/>
        <v>17.112488643259976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3.59</v>
      </c>
      <c r="G71">
        <v>75983</v>
      </c>
      <c r="H71">
        <v>75982.710999999996</v>
      </c>
      <c r="I71" cm="1">
        <f t="array" ref="I71">TREND($X$8:$X$12,$W$8:$W$12,H71)</f>
        <v>5.372605863688424</v>
      </c>
      <c r="J71">
        <f>I71/(2/0.2)*3</f>
        <v>1.6117817591065273</v>
      </c>
      <c r="K71">
        <v>8.8562065651524843E-2</v>
      </c>
      <c r="L71" s="1">
        <f t="shared" si="0"/>
        <v>18.199459861839571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3.59</v>
      </c>
      <c r="G72">
        <v>55801</v>
      </c>
      <c r="H72">
        <v>55800.667999999998</v>
      </c>
      <c r="I72" cm="1">
        <f t="array" ref="I72">TREND($X$8:$X$12,$W$8:$W$12,H72)</f>
        <v>3.7317921579037741</v>
      </c>
      <c r="J72">
        <f>I72/(2/0.2)*3</f>
        <v>1.119537647371132</v>
      </c>
      <c r="K72">
        <v>0.13766652304098212</v>
      </c>
      <c r="L72" s="1">
        <f t="shared" si="0"/>
        <v>8.1322432109210414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3.59</v>
      </c>
      <c r="G73">
        <v>30828</v>
      </c>
      <c r="H73">
        <v>30827.844000000001</v>
      </c>
      <c r="I73" cm="1">
        <f t="array" ref="I73">TREND($X$8:$X$12,$W$8:$W$12,H73)</f>
        <v>1.7014847261265333</v>
      </c>
      <c r="J73">
        <f>I73/(2/0.2)*3</f>
        <v>0.51044541783796005</v>
      </c>
      <c r="K73">
        <v>8.2122136813563229E-2</v>
      </c>
      <c r="L73" s="1">
        <f t="shared" ref="L73" si="1">J73/K73</f>
        <v>6.2156860213804768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3.59</v>
      </c>
      <c r="G74">
        <v>2425</v>
      </c>
      <c r="H74">
        <v>2424.5520000000001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7190-4412-4816-AE21-FD3C1AD1E87D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266</v>
      </c>
      <c r="P3" t="s">
        <v>93</v>
      </c>
    </row>
    <row r="5" spans="1:28" x14ac:dyDescent="0.3">
      <c r="A5" t="s">
        <v>267</v>
      </c>
      <c r="P5" t="s">
        <v>57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2.39</v>
      </c>
      <c r="G8">
        <v>41289</v>
      </c>
      <c r="H8">
        <v>41288.612999999998</v>
      </c>
      <c r="I8" cm="1">
        <f t="array" ref="I8">TREND($X$8:$X$12,$W$8:$W$12,H8)</f>
        <v>2.9173872413216042</v>
      </c>
      <c r="J8">
        <f>I8/(2/0.2)*3</f>
        <v>0.8752161723964812</v>
      </c>
      <c r="K8">
        <v>0.10224691443219328</v>
      </c>
      <c r="L8" s="1">
        <f>J8/K8</f>
        <v>8.5598296756123151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2.83</v>
      </c>
      <c r="V8">
        <v>16191</v>
      </c>
      <c r="W8">
        <v>16190.504999999999</v>
      </c>
      <c r="X8">
        <v>1</v>
      </c>
      <c r="Y8">
        <v>1.0980000000000001</v>
      </c>
      <c r="Z8">
        <v>9.8000000000000007</v>
      </c>
      <c r="AA8">
        <v>120</v>
      </c>
      <c r="AB8">
        <v>153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2.4</v>
      </c>
      <c r="G9">
        <v>49612</v>
      </c>
      <c r="H9">
        <v>49612.120999999999</v>
      </c>
      <c r="I9" cm="1">
        <f t="array" ref="I9">TREND($X$8:$X$12,$W$8:$W$12,H9)</f>
        <v>3.5130480073648882</v>
      </c>
      <c r="J9">
        <f>I9/(2/0.2)*3</f>
        <v>1.0539144022094664</v>
      </c>
      <c r="K9">
        <v>0.12639664757454935</v>
      </c>
      <c r="L9" s="1">
        <f t="shared" ref="L9:L72" si="0">J9/K9</f>
        <v>8.3381515446275003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2.83</v>
      </c>
      <c r="V9">
        <v>26671</v>
      </c>
      <c r="W9">
        <v>26670.511999999999</v>
      </c>
      <c r="X9">
        <v>2</v>
      </c>
      <c r="Y9">
        <v>1.859</v>
      </c>
      <c r="Z9">
        <v>-7</v>
      </c>
      <c r="AA9">
        <v>257</v>
      </c>
      <c r="AB9">
        <v>311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2.4</v>
      </c>
      <c r="G10">
        <v>25462</v>
      </c>
      <c r="H10">
        <v>25461.868999999999</v>
      </c>
      <c r="I10" cm="1">
        <f t="array" ref="I10">TREND($X$8:$X$12,$W$8:$W$12,H10)</f>
        <v>1.7847673826020658</v>
      </c>
      <c r="J10">
        <f>I10/(2/0.2)*3</f>
        <v>0.5354302147806197</v>
      </c>
      <c r="K10">
        <v>0.15054638071690538</v>
      </c>
      <c r="L10" s="1">
        <f t="shared" si="0"/>
        <v>3.5565797877762888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2.83</v>
      </c>
      <c r="V10">
        <v>67623</v>
      </c>
      <c r="W10">
        <v>67622.812999999995</v>
      </c>
      <c r="X10">
        <v>5</v>
      </c>
      <c r="Y10">
        <v>4.8369999999999997</v>
      </c>
      <c r="Z10">
        <v>-3.3</v>
      </c>
      <c r="AA10">
        <v>526</v>
      </c>
      <c r="AB10">
        <v>423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2.39</v>
      </c>
      <c r="G11">
        <v>33949</v>
      </c>
      <c r="H11">
        <v>33948.648000000001</v>
      </c>
      <c r="I11" cm="1">
        <f t="array" ref="I11">TREND($X$8:$X$12,$W$8:$W$12,H11)</f>
        <v>2.3921124203409683</v>
      </c>
      <c r="J11">
        <f>I11/(2/0.2)*3</f>
        <v>0.71763372610229048</v>
      </c>
      <c r="K11">
        <v>0.14893639850741497</v>
      </c>
      <c r="L11" s="1">
        <f t="shared" si="0"/>
        <v>4.8183904894582383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2.83</v>
      </c>
      <c r="V11">
        <v>144683</v>
      </c>
      <c r="W11">
        <v>144683.18799999999</v>
      </c>
      <c r="X11">
        <v>10</v>
      </c>
      <c r="Y11">
        <v>10.46</v>
      </c>
      <c r="Z11">
        <v>4.5999999999999996</v>
      </c>
      <c r="AA11">
        <v>1735</v>
      </c>
      <c r="AB11">
        <v>674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2.39</v>
      </c>
      <c r="G12">
        <v>25505</v>
      </c>
      <c r="H12">
        <v>25505.326000000001</v>
      </c>
      <c r="I12" cm="1">
        <f t="array" ref="I12">TREND($X$8:$X$12,$W$8:$W$12,H12)</f>
        <v>1.7878773249376705</v>
      </c>
      <c r="J12">
        <f>I12/(2/0.2)*3</f>
        <v>0.53636319748130123</v>
      </c>
      <c r="K12">
        <v>4.0262599366812736E-2</v>
      </c>
      <c r="L12" s="1">
        <f t="shared" si="0"/>
        <v>13.321623688395277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2.83</v>
      </c>
      <c r="V12">
        <v>278440</v>
      </c>
      <c r="W12">
        <v>278440.15600000002</v>
      </c>
      <c r="X12">
        <v>20</v>
      </c>
      <c r="Y12">
        <v>20.277000000000001</v>
      </c>
      <c r="Z12">
        <v>1.4</v>
      </c>
      <c r="AA12">
        <v>2782</v>
      </c>
      <c r="AB12">
        <v>1109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2.39</v>
      </c>
      <c r="G13">
        <v>26507</v>
      </c>
      <c r="H13">
        <v>26507.401999999998</v>
      </c>
      <c r="I13" cm="1">
        <f t="array" ref="I13">TREND($X$8:$X$12,$W$8:$W$12,H13)</f>
        <v>1.8595895594658991</v>
      </c>
      <c r="J13">
        <f>I13/(2/0.2)*3</f>
        <v>0.55787686783976964</v>
      </c>
      <c r="K13">
        <v>0.11351678989862611</v>
      </c>
      <c r="L13" s="1">
        <f t="shared" si="0"/>
        <v>4.914487701228782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2.83</v>
      </c>
      <c r="V13">
        <v>648686</v>
      </c>
      <c r="W13">
        <v>648685.625</v>
      </c>
      <c r="X13">
        <v>50</v>
      </c>
      <c r="Y13">
        <v>47.848999999999997</v>
      </c>
      <c r="Z13">
        <v>-4.3</v>
      </c>
      <c r="AA13">
        <v>5133</v>
      </c>
      <c r="AB13">
        <v>5700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2.39</v>
      </c>
      <c r="G14">
        <v>25169</v>
      </c>
      <c r="H14">
        <v>25169.355</v>
      </c>
      <c r="I14" cm="1">
        <f t="array" ref="I14">TREND($X$8:$X$12,$W$8:$W$12,H14)</f>
        <v>1.7638340077175356</v>
      </c>
      <c r="J14">
        <f>I14/(2/0.2)*3</f>
        <v>0.52915020231526078</v>
      </c>
      <c r="K14">
        <v>0.10144192332744809</v>
      </c>
      <c r="L14" s="1">
        <f t="shared" si="0"/>
        <v>5.2162871617407873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2.83</v>
      </c>
      <c r="V14">
        <v>1246635</v>
      </c>
      <c r="W14">
        <v>1246634.75</v>
      </c>
      <c r="X14">
        <v>100</v>
      </c>
      <c r="Y14">
        <v>93.694000000000003</v>
      </c>
      <c r="Z14">
        <v>-6.3</v>
      </c>
      <c r="AA14">
        <v>9586</v>
      </c>
      <c r="AB14">
        <v>4437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2.39</v>
      </c>
      <c r="G15">
        <v>22553</v>
      </c>
      <c r="H15">
        <v>22552.532999999999</v>
      </c>
      <c r="I15" cm="1">
        <f t="array" ref="I15">TREND($X$8:$X$12,$W$8:$W$12,H15)</f>
        <v>1.5765646259714114</v>
      </c>
      <c r="J15">
        <f>I15/(2/0.2)*3</f>
        <v>0.47296938779142339</v>
      </c>
      <c r="K15">
        <v>8.3732119023053622E-2</v>
      </c>
      <c r="L15" s="1">
        <f t="shared" si="0"/>
        <v>5.6486016753165256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2.83</v>
      </c>
      <c r="V15">
        <v>2686688</v>
      </c>
      <c r="W15">
        <v>2686687.5</v>
      </c>
      <c r="X15">
        <v>200</v>
      </c>
      <c r="Y15">
        <v>211.92</v>
      </c>
      <c r="Z15">
        <v>6</v>
      </c>
      <c r="AA15">
        <v>10115</v>
      </c>
      <c r="AB15">
        <v>9491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2.4</v>
      </c>
      <c r="G16">
        <v>27553</v>
      </c>
      <c r="H16">
        <v>27553.440999999999</v>
      </c>
      <c r="I16" cm="1">
        <f t="array" ref="I16">TREND($X$8:$X$12,$W$8:$W$12,H16)</f>
        <v>1.9344479475459191</v>
      </c>
      <c r="J16">
        <f>I16/(2/0.2)*3</f>
        <v>0.58033438426377582</v>
      </c>
      <c r="K16">
        <v>0.22299558014397355</v>
      </c>
      <c r="L16" s="1">
        <f t="shared" si="0"/>
        <v>2.6024479224614772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2.83</v>
      </c>
      <c r="V16">
        <v>5543936</v>
      </c>
      <c r="W16">
        <v>5543935.5</v>
      </c>
      <c r="X16">
        <v>500</v>
      </c>
      <c r="Y16">
        <v>495.709</v>
      </c>
      <c r="Z16">
        <v>-0.9</v>
      </c>
      <c r="AA16">
        <v>22978</v>
      </c>
      <c r="AB16">
        <v>12761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2.39</v>
      </c>
      <c r="G17">
        <v>49334</v>
      </c>
      <c r="H17">
        <v>49333.563000000002</v>
      </c>
      <c r="I17" cm="1">
        <f t="array" ref="I17">TREND($X$8:$X$12,$W$8:$W$12,H17)</f>
        <v>3.4931133750358891</v>
      </c>
      <c r="J17">
        <f>I17/(2/0.2)*3</f>
        <v>1.0479340125107668</v>
      </c>
      <c r="K17">
        <v>0.1175417454223521</v>
      </c>
      <c r="L17" s="1">
        <f t="shared" si="0"/>
        <v>8.9154198684503143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2.39</v>
      </c>
      <c r="G18">
        <v>40509</v>
      </c>
      <c r="H18">
        <v>40508.792999999998</v>
      </c>
      <c r="I18" cm="1">
        <f t="array" ref="I18">TREND($X$8:$X$12,$W$8:$W$12,H18)</f>
        <v>2.861580461466779</v>
      </c>
      <c r="J18">
        <f>I18/(2/0.2)*3</f>
        <v>0.85847413844003362</v>
      </c>
      <c r="K18">
        <v>0.11351678989862611</v>
      </c>
      <c r="L18" s="1">
        <f t="shared" si="0"/>
        <v>7.5625300821726613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2.4</v>
      </c>
      <c r="G19">
        <v>27947</v>
      </c>
      <c r="H19">
        <v>27947.039000000001</v>
      </c>
      <c r="I19" cm="1">
        <f t="array" ref="I19">TREND($X$8:$X$12,$W$8:$W$12,H19)</f>
        <v>1.9626152642822166</v>
      </c>
      <c r="J19">
        <f>I19/(2/0.2)*3</f>
        <v>0.58878457928466488</v>
      </c>
      <c r="K19">
        <v>8.4537110127798853E-2</v>
      </c>
      <c r="L19" s="1">
        <f t="shared" si="0"/>
        <v>6.9648060880549458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2.39</v>
      </c>
      <c r="G20">
        <v>28952</v>
      </c>
      <c r="H20">
        <v>28952.324000000001</v>
      </c>
      <c r="I20" cm="1">
        <f t="array" ref="I20">TREND($X$8:$X$12,$W$8:$W$12,H20)</f>
        <v>2.0345571466221894</v>
      </c>
      <c r="J20">
        <f>I20/(2/0.2)*3</f>
        <v>0.61036714398665692</v>
      </c>
      <c r="K20">
        <v>0.1078818521654097</v>
      </c>
      <c r="L20" s="1">
        <f t="shared" si="0"/>
        <v>5.657736975546289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2.39</v>
      </c>
      <c r="G21">
        <v>31466</v>
      </c>
      <c r="H21">
        <v>31466.300999999999</v>
      </c>
      <c r="I21" cm="1">
        <f t="array" ref="I21">TREND($X$8:$X$12,$W$8:$W$12,H21)</f>
        <v>2.2144665628965772</v>
      </c>
      <c r="J21">
        <f>I21/(2/0.2)*3</f>
        <v>0.66433996886897306</v>
      </c>
      <c r="K21">
        <v>0.14813140740266978</v>
      </c>
      <c r="L21" s="1">
        <f t="shared" si="0"/>
        <v>4.4848015725866901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2.39</v>
      </c>
      <c r="G22">
        <v>40440</v>
      </c>
      <c r="H22">
        <v>40440.160000000003</v>
      </c>
      <c r="I22" cm="1">
        <f t="array" ref="I22">TREND($X$8:$X$12,$W$8:$W$12,H22)</f>
        <v>2.8566688322167266</v>
      </c>
      <c r="J22">
        <f>I22/(2/0.2)*3</f>
        <v>0.85700064966501799</v>
      </c>
      <c r="K22">
        <v>6.6022314718659172E-2</v>
      </c>
      <c r="L22" s="1">
        <f t="shared" si="0"/>
        <v>12.980469608146185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2.39</v>
      </c>
      <c r="G23">
        <v>25558</v>
      </c>
      <c r="H23">
        <v>25557.594000000001</v>
      </c>
      <c r="I23" cm="1">
        <f t="array" ref="I23">TREND($X$8:$X$12,$W$8:$W$12,H23)</f>
        <v>1.7916178147551307</v>
      </c>
      <c r="J23">
        <f>I23/(2/0.2)*3</f>
        <v>0.53748534442653917</v>
      </c>
      <c r="K23">
        <v>0.22621554456295434</v>
      </c>
      <c r="L23" s="1">
        <f t="shared" si="0"/>
        <v>2.3759876690390764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2.4</v>
      </c>
      <c r="G24">
        <v>25756</v>
      </c>
      <c r="H24">
        <v>25755.771000000001</v>
      </c>
      <c r="I24" cm="1">
        <f t="array" ref="I24">TREND($X$8:$X$12,$W$8:$W$12,H24)</f>
        <v>1.8058000878582694</v>
      </c>
      <c r="J24">
        <f>I24/(2/0.2)*3</f>
        <v>0.54174002635748086</v>
      </c>
      <c r="K24">
        <v>0.21897062462024752</v>
      </c>
      <c r="L24" s="1">
        <f t="shared" si="0"/>
        <v>2.4740306024929146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2.4</v>
      </c>
      <c r="G25">
        <v>24618</v>
      </c>
      <c r="H25">
        <v>24618.018</v>
      </c>
      <c r="I25" cm="1">
        <f t="array" ref="I25">TREND($X$8:$X$12,$W$8:$W$12,H25)</f>
        <v>1.7243783094989473</v>
      </c>
      <c r="J25">
        <f>I25/(2/0.2)*3</f>
        <v>0.5173134928496842</v>
      </c>
      <c r="K25">
        <v>0.11271179879388092</v>
      </c>
      <c r="L25" s="1">
        <f t="shared" si="0"/>
        <v>4.589701330166057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2.39</v>
      </c>
      <c r="G26">
        <v>28076</v>
      </c>
      <c r="H26">
        <v>28075.697</v>
      </c>
      <c r="I26" cm="1">
        <f t="array" ref="I26">TREND($X$8:$X$12,$W$8:$W$12,H26)</f>
        <v>1.9718225027251419</v>
      </c>
      <c r="J26">
        <f>I26/(2/0.2)*3</f>
        <v>0.59154675081754249</v>
      </c>
      <c r="K26">
        <v>9.1782030070505644E-2</v>
      </c>
      <c r="L26" s="1">
        <f t="shared" si="0"/>
        <v>6.44512602699161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2.4</v>
      </c>
      <c r="G27">
        <v>34284</v>
      </c>
      <c r="H27">
        <v>34284.222999999998</v>
      </c>
      <c r="I27" cm="1">
        <f t="array" ref="I27">TREND($X$8:$X$12,$W$8:$W$12,H27)</f>
        <v>2.416127398348435</v>
      </c>
      <c r="J27">
        <f>I27/(2/0.2)*3</f>
        <v>0.72483821950453042</v>
      </c>
      <c r="K27">
        <v>0.16584121170706426</v>
      </c>
      <c r="L27" s="1">
        <f t="shared" si="0"/>
        <v>4.3706760945817118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2.39</v>
      </c>
      <c r="G28">
        <v>26664</v>
      </c>
      <c r="H28">
        <v>26663.721000000001</v>
      </c>
      <c r="I28" cm="1">
        <f t="array" ref="I28">TREND($X$8:$X$12,$W$8:$W$12,H28)</f>
        <v>1.8707763205391295</v>
      </c>
      <c r="J28">
        <f>I28/(2/0.2)*3</f>
        <v>0.56123289616173888</v>
      </c>
      <c r="K28">
        <v>0.20850574025855992</v>
      </c>
      <c r="L28" s="1">
        <f t="shared" si="0"/>
        <v>2.6916903844746702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2.39</v>
      </c>
      <c r="G29">
        <v>40739</v>
      </c>
      <c r="H29">
        <v>40739.008000000002</v>
      </c>
      <c r="I29" cm="1">
        <f t="array" ref="I29">TREND($X$8:$X$12,$W$8:$W$12,H29)</f>
        <v>2.8780554913766028</v>
      </c>
      <c r="J29">
        <f>I29/(2/0.2)*3</f>
        <v>0.86341664741298074</v>
      </c>
      <c r="K29">
        <v>0.15457133624063138</v>
      </c>
      <c r="L29" s="1">
        <f t="shared" si="0"/>
        <v>5.5858781350563156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2.39</v>
      </c>
      <c r="G30">
        <v>28341</v>
      </c>
      <c r="H30">
        <v>28341.342000000001</v>
      </c>
      <c r="I30" cm="1">
        <f t="array" ref="I30">TREND($X$8:$X$12,$W$8:$W$12,H30)</f>
        <v>1.9908330334047024</v>
      </c>
      <c r="J30">
        <f>I30/(2/0.2)*3</f>
        <v>0.59724991002141081</v>
      </c>
      <c r="K30">
        <v>0.22863051787718996</v>
      </c>
      <c r="L30" s="1">
        <f t="shared" si="0"/>
        <v>2.6122930375472735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2.39</v>
      </c>
      <c r="G31">
        <v>24376</v>
      </c>
      <c r="H31">
        <v>24375.68</v>
      </c>
      <c r="I31" cm="1">
        <f t="array" ref="I31">TREND($X$8:$X$12,$W$8:$W$12,H31)</f>
        <v>1.7070357132376839</v>
      </c>
      <c r="J31">
        <f>I31/(2/0.2)*3</f>
        <v>0.51211071397130525</v>
      </c>
      <c r="K31">
        <v>0.19079593595416544</v>
      </c>
      <c r="L31" s="1">
        <f t="shared" si="0"/>
        <v>2.6840755879324845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2.39</v>
      </c>
      <c r="G32">
        <v>27664</v>
      </c>
      <c r="H32">
        <v>27663.934000000001</v>
      </c>
      <c r="I32" cm="1">
        <f t="array" ref="I32">TREND($X$8:$X$12,$W$8:$W$12,H32)</f>
        <v>1.9423552319532174</v>
      </c>
      <c r="J32">
        <f>I32/(2/0.2)*3</f>
        <v>0.58270656958596523</v>
      </c>
      <c r="K32">
        <v>0.13122659420302052</v>
      </c>
      <c r="L32" s="1">
        <f t="shared" si="0"/>
        <v>4.4404609684867733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2.39</v>
      </c>
      <c r="G33">
        <v>23660</v>
      </c>
      <c r="H33">
        <v>23660.048999999999</v>
      </c>
      <c r="I33" cm="1">
        <f t="array" ref="I33">TREND($X$8:$X$12,$W$8:$W$12,H33)</f>
        <v>1.6558225336907522</v>
      </c>
      <c r="J33">
        <f>I33/(2/0.2)*3</f>
        <v>0.49674676010722568</v>
      </c>
      <c r="K33">
        <v>0.13927650525047255</v>
      </c>
      <c r="L33" s="1">
        <f t="shared" si="0"/>
        <v>3.5666228070117394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2.39</v>
      </c>
      <c r="G34">
        <v>21558</v>
      </c>
      <c r="H34">
        <v>21558.351999999999</v>
      </c>
      <c r="I34" cm="1">
        <f t="array" ref="I34">TREND($X$8:$X$12,$W$8:$W$12,H34)</f>
        <v>1.5054173866048273</v>
      </c>
      <c r="J34">
        <f>I34/(2/0.2)*3</f>
        <v>0.45162521598144822</v>
      </c>
      <c r="K34">
        <v>9.7416967803722054E-2</v>
      </c>
      <c r="L34" s="1">
        <f t="shared" si="0"/>
        <v>4.6360015730667481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2.39</v>
      </c>
      <c r="G35">
        <v>19447</v>
      </c>
      <c r="H35">
        <v>19446.511999999999</v>
      </c>
      <c r="I35" cm="1">
        <f t="array" ref="I35">TREND($X$8:$X$12,$W$8:$W$12,H35)</f>
        <v>1.3542863692308007</v>
      </c>
      <c r="J35">
        <f>I35/(2/0.2)*3</f>
        <v>0.40628591076924025</v>
      </c>
      <c r="K35">
        <v>7.4877216870856411E-2</v>
      </c>
      <c r="L35" s="1">
        <f t="shared" si="0"/>
        <v>5.4260284736541031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2.39</v>
      </c>
      <c r="G36">
        <v>35103</v>
      </c>
      <c r="H36">
        <v>35103.222999999998</v>
      </c>
      <c r="I36" cm="1">
        <f t="array" ref="I36">TREND($X$8:$X$12,$W$8:$W$12,H36)</f>
        <v>2.4747380427293195</v>
      </c>
      <c r="J36">
        <f>I36/(2/0.2)*3</f>
        <v>0.74242141281879581</v>
      </c>
      <c r="K36">
        <v>0.14491144298368897</v>
      </c>
      <c r="L36" s="1">
        <f t="shared" si="0"/>
        <v>5.123276654572833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2.39</v>
      </c>
      <c r="G37">
        <v>31564</v>
      </c>
      <c r="H37">
        <v>31563.877</v>
      </c>
      <c r="I37" cm="1">
        <f t="array" ref="I37">TREND($X$8:$X$12,$W$8:$W$12,H37)</f>
        <v>2.2214494593997629</v>
      </c>
      <c r="J37">
        <f>I37/(2/0.2)*3</f>
        <v>0.66643483781992896</v>
      </c>
      <c r="K37">
        <v>0.14571643408843418</v>
      </c>
      <c r="L37" s="1">
        <f t="shared" si="0"/>
        <v>4.5735049858238694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2.39</v>
      </c>
      <c r="G38">
        <v>25464</v>
      </c>
      <c r="H38">
        <v>25464.092000000001</v>
      </c>
      <c r="I38" cm="1">
        <f t="array" ref="I38">TREND($X$8:$X$12,$W$8:$W$12,H38)</f>
        <v>1.784926468636814</v>
      </c>
      <c r="J38">
        <f>I38/(2/0.2)*3</f>
        <v>0.53547794059104425</v>
      </c>
      <c r="K38">
        <v>0.26405012648597881</v>
      </c>
      <c r="L38" s="1">
        <f t="shared" si="0"/>
        <v>2.0279404812914503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2.39</v>
      </c>
      <c r="G39">
        <v>24900</v>
      </c>
      <c r="H39">
        <v>24899.585999999999</v>
      </c>
      <c r="I39" cm="1">
        <f t="array" ref="I39">TREND($X$8:$X$12,$W$8:$W$12,H39)</f>
        <v>1.7445283484696885</v>
      </c>
      <c r="J39">
        <f>I39/(2/0.2)*3</f>
        <v>0.5233585045409066</v>
      </c>
      <c r="K39">
        <v>0.17469611385926145</v>
      </c>
      <c r="L39" s="1">
        <f t="shared" si="0"/>
        <v>2.9958222480125358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2.4</v>
      </c>
      <c r="G40">
        <v>27775</v>
      </c>
      <c r="H40">
        <v>27775.125</v>
      </c>
      <c r="I40" cm="1">
        <f t="array" ref="I40">TREND($X$8:$X$12,$W$8:$W$12,H40)</f>
        <v>1.9503124678010255</v>
      </c>
      <c r="J40">
        <f>I40/(2/0.2)*3</f>
        <v>0.5850937403403077</v>
      </c>
      <c r="K40">
        <v>0.1175417454223521</v>
      </c>
      <c r="L40" s="1">
        <f t="shared" si="0"/>
        <v>4.977752697460323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2.39</v>
      </c>
      <c r="G41">
        <v>37330</v>
      </c>
      <c r="H41">
        <v>37330.012000000002</v>
      </c>
      <c r="I41" cm="1">
        <f t="array" ref="I41">TREND($X$8:$X$12,$W$8:$W$12,H41)</f>
        <v>2.6340952322168243</v>
      </c>
      <c r="J41">
        <f>I41/(2/0.2)*3</f>
        <v>0.79022856966504729</v>
      </c>
      <c r="K41">
        <v>0.14813140740266978</v>
      </c>
      <c r="L41" s="1">
        <f t="shared" si="0"/>
        <v>5.3346456603692873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2.39</v>
      </c>
      <c r="G42">
        <v>44870</v>
      </c>
      <c r="H42">
        <v>44869.684000000001</v>
      </c>
      <c r="I42" cm="1">
        <f t="array" ref="I42">TREND($X$8:$X$12,$W$8:$W$12,H42)</f>
        <v>3.1736618187131787</v>
      </c>
      <c r="J42">
        <f>I42/(2/0.2)*3</f>
        <v>0.95209854561395368</v>
      </c>
      <c r="K42">
        <v>0.11673675431760691</v>
      </c>
      <c r="L42" s="1">
        <f t="shared" si="0"/>
        <v>8.1559449821910341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2.39</v>
      </c>
      <c r="G43">
        <v>32206</v>
      </c>
      <c r="H43">
        <v>32206.07</v>
      </c>
      <c r="I43" cm="1">
        <f t="array" ref="I43">TREND($X$8:$X$12,$W$8:$W$12,H43)</f>
        <v>2.267407146270207</v>
      </c>
      <c r="J43">
        <f>I43/(2/0.2)*3</f>
        <v>0.68022214388106206</v>
      </c>
      <c r="K43">
        <v>8.6147092337289247E-2</v>
      </c>
      <c r="L43" s="1">
        <f t="shared" si="0"/>
        <v>7.896054590186373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2.39</v>
      </c>
      <c r="G44">
        <v>23408</v>
      </c>
      <c r="H44">
        <v>23407.965</v>
      </c>
      <c r="I44" cm="1">
        <f t="array" ref="I44">TREND($X$8:$X$12,$W$8:$W$12,H44)</f>
        <v>1.637782477917723</v>
      </c>
      <c r="J44">
        <f>I44/(2/0.2)*3</f>
        <v>0.49133474337531691</v>
      </c>
      <c r="K44">
        <v>8.9367056756270047E-2</v>
      </c>
      <c r="L44" s="1">
        <f t="shared" si="0"/>
        <v>5.4979403060719525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2.4</v>
      </c>
      <c r="G45">
        <v>31362</v>
      </c>
      <c r="H45">
        <v>31362.493999999999</v>
      </c>
      <c r="I45" cm="1">
        <f t="array" ref="I45">TREND($X$8:$X$12,$W$8:$W$12,H45)</f>
        <v>2.2070377531758854</v>
      </c>
      <c r="J45">
        <f>I45/(2/0.2)*3</f>
        <v>0.66211132595276556</v>
      </c>
      <c r="K45">
        <v>9.3392012279996037E-2</v>
      </c>
      <c r="L45" s="1">
        <f t="shared" si="0"/>
        <v>7.0895926727406593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2.39</v>
      </c>
      <c r="G46">
        <v>26185</v>
      </c>
      <c r="H46">
        <v>26185.407999999999</v>
      </c>
      <c r="I46" cm="1">
        <f t="array" ref="I46">TREND($X$8:$X$12,$W$8:$W$12,H46)</f>
        <v>1.8365464876383306</v>
      </c>
      <c r="J46">
        <f>I46/(2/0.2)*3</f>
        <v>0.55096394629149914</v>
      </c>
      <c r="K46">
        <v>0.18918595374467503</v>
      </c>
      <c r="L46" s="1">
        <f t="shared" si="0"/>
        <v>2.9122878067104225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2.39</v>
      </c>
      <c r="G47">
        <v>22316</v>
      </c>
      <c r="H47">
        <v>22315.923999999999</v>
      </c>
      <c r="I47" cm="1">
        <f t="array" ref="I47">TREND($X$8:$X$12,$W$8:$W$12,H47)</f>
        <v>1.5596320179661407</v>
      </c>
      <c r="J47">
        <f>I47/(2/0.2)*3</f>
        <v>0.46788960538984226</v>
      </c>
      <c r="K47">
        <v>9.2587021175250833E-2</v>
      </c>
      <c r="L47" s="1">
        <f t="shared" si="0"/>
        <v>5.0535118146225928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2.39</v>
      </c>
      <c r="G48">
        <v>9840</v>
      </c>
      <c r="H48">
        <v>9840.4169999999995</v>
      </c>
      <c r="I48" cm="1">
        <f t="array" ref="I48">TREND($X$8:$X$12,$W$8:$W$12,H48)</f>
        <v>0.66683897248599566</v>
      </c>
      <c r="J48">
        <f>I48/(2/0.2)*3</f>
        <v>0.20005169174579868</v>
      </c>
      <c r="K48">
        <v>0.14974138961216016</v>
      </c>
      <c r="L48" s="1">
        <f t="shared" si="0"/>
        <v>1.3359812691998214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2.39</v>
      </c>
      <c r="G49">
        <v>27955</v>
      </c>
      <c r="H49">
        <v>27954.636999999999</v>
      </c>
      <c r="I49" cm="1">
        <f t="array" ref="I49">TREND($X$8:$X$12,$W$8:$W$12,H49)</f>
        <v>1.9631590050343606</v>
      </c>
      <c r="J49">
        <f>I49/(2/0.2)*3</f>
        <v>0.58894770151030817</v>
      </c>
      <c r="K49">
        <v>0.19965083810636269</v>
      </c>
      <c r="L49" s="1">
        <f t="shared" si="0"/>
        <v>2.9498884507389351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2.39</v>
      </c>
      <c r="G50">
        <v>34891</v>
      </c>
      <c r="H50">
        <v>34890.546999999999</v>
      </c>
      <c r="I50" cm="1">
        <f t="array" ref="I50">TREND($X$8:$X$12,$W$8:$W$12,H50)</f>
        <v>2.459518167998735</v>
      </c>
      <c r="J50">
        <f>I50/(2/0.2)*3</f>
        <v>0.73785545039962042</v>
      </c>
      <c r="K50">
        <v>0.22058060682973793</v>
      </c>
      <c r="L50" s="1">
        <f t="shared" si="0"/>
        <v>3.3450603886005141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2.39</v>
      </c>
      <c r="G51">
        <v>26439</v>
      </c>
      <c r="H51">
        <v>26438.620999999999</v>
      </c>
      <c r="I51" cm="1">
        <f t="array" ref="I51">TREND($X$8:$X$12,$W$8:$W$12,H51)</f>
        <v>1.8546673387929302</v>
      </c>
      <c r="J51">
        <f>I51/(2/0.2)*3</f>
        <v>0.55640020163787907</v>
      </c>
      <c r="K51">
        <v>0.12720163867929454</v>
      </c>
      <c r="L51" s="1">
        <f t="shared" si="0"/>
        <v>4.374159070707381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2.39</v>
      </c>
      <c r="G52">
        <v>25175</v>
      </c>
      <c r="H52">
        <v>25174.923999999999</v>
      </c>
      <c r="I52" cm="1">
        <f t="array" ref="I52">TREND($X$8:$X$12,$W$8:$W$12,H52)</f>
        <v>1.7642325457865919</v>
      </c>
      <c r="J52">
        <f>I52/(2/0.2)*3</f>
        <v>0.52926976373597756</v>
      </c>
      <c r="K52">
        <v>0.1594012828691026</v>
      </c>
      <c r="L52" s="1">
        <f t="shared" si="0"/>
        <v>3.3203607537500446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2.39</v>
      </c>
      <c r="G53">
        <v>24008</v>
      </c>
      <c r="H53">
        <v>24008.157999999999</v>
      </c>
      <c r="I53" cm="1">
        <f t="array" ref="I53">TREND($X$8:$X$12,$W$8:$W$12,H53)</f>
        <v>1.6807344907173523</v>
      </c>
      <c r="J53">
        <f>I53/(2/0.2)*3</f>
        <v>0.50422034721520559</v>
      </c>
      <c r="K53">
        <v>0.14491144298368897</v>
      </c>
      <c r="L53" s="1">
        <f t="shared" si="0"/>
        <v>3.4795067720908688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2.39</v>
      </c>
      <c r="G54">
        <v>27563</v>
      </c>
      <c r="H54">
        <v>27563.006000000001</v>
      </c>
      <c r="I54" cm="1">
        <f t="array" ref="I54">TREND($X$8:$X$12,$W$8:$W$12,H54)</f>
        <v>1.9351324540337131</v>
      </c>
      <c r="J54">
        <f>I54/(2/0.2)*3</f>
        <v>0.5805397362101139</v>
      </c>
      <c r="K54">
        <v>0.24553533107683917</v>
      </c>
      <c r="L54" s="1">
        <f t="shared" si="0"/>
        <v>2.3643837066708606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2.39</v>
      </c>
      <c r="G55">
        <v>25978</v>
      </c>
      <c r="H55">
        <v>25978.168000000001</v>
      </c>
      <c r="I55" cm="1">
        <f t="array" ref="I55">TREND($X$8:$X$12,$W$8:$W$12,H55)</f>
        <v>1.8217156330089113</v>
      </c>
      <c r="J55">
        <f>I55/(2/0.2)*3</f>
        <v>0.54651468990267338</v>
      </c>
      <c r="K55">
        <v>0.3002747261995129</v>
      </c>
      <c r="L55" s="1">
        <f t="shared" si="0"/>
        <v>1.8200489159369015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2.39</v>
      </c>
      <c r="G56">
        <v>22110</v>
      </c>
      <c r="H56">
        <v>22109.891</v>
      </c>
      <c r="I56" cm="1">
        <f t="array" ref="I56">TREND($X$8:$X$12,$W$8:$W$12,H56)</f>
        <v>1.5448875406844229</v>
      </c>
      <c r="J56">
        <f>I56/(2/0.2)*3</f>
        <v>0.46346626220532683</v>
      </c>
      <c r="K56">
        <v>0.17147614944028067</v>
      </c>
      <c r="L56" s="1">
        <f t="shared" si="0"/>
        <v>2.7028030645552628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2.39</v>
      </c>
      <c r="G57">
        <v>26599</v>
      </c>
      <c r="H57">
        <v>26599.456999999999</v>
      </c>
      <c r="I57" cm="1">
        <f t="array" ref="I57">TREND($X$8:$X$12,$W$8:$W$12,H57)</f>
        <v>1.8661773529561096</v>
      </c>
      <c r="J57">
        <f>I57/(2/0.2)*3</f>
        <v>0.55985320588683285</v>
      </c>
      <c r="K57">
        <v>0.18113604269722305</v>
      </c>
      <c r="L57" s="1">
        <f t="shared" si="0"/>
        <v>3.090788545174592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2.39</v>
      </c>
      <c r="G58">
        <v>31436</v>
      </c>
      <c r="H58">
        <v>31436.168000000001</v>
      </c>
      <c r="I58" cm="1">
        <f t="array" ref="I58">TREND($X$8:$X$12,$W$8:$W$12,H58)</f>
        <v>2.2123101348781047</v>
      </c>
      <c r="J58">
        <f>I58/(2/0.2)*3</f>
        <v>0.66369304046343136</v>
      </c>
      <c r="K58">
        <v>8.2927127918308433E-2</v>
      </c>
      <c r="L58" s="1">
        <f t="shared" si="0"/>
        <v>8.0033284297176657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2.39</v>
      </c>
      <c r="G59">
        <v>31021</v>
      </c>
      <c r="H59">
        <v>31020.93</v>
      </c>
      <c r="I59" cm="1">
        <f t="array" ref="I59">TREND($X$8:$X$12,$W$8:$W$12,H59)</f>
        <v>2.1825941803586542</v>
      </c>
      <c r="J59">
        <f>I59/(2/0.2)*3</f>
        <v>0.65477825410759616</v>
      </c>
      <c r="K59">
        <v>0.11593176321286171</v>
      </c>
      <c r="L59" s="1">
        <f t="shared" si="0"/>
        <v>5.6479625252085679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2.39</v>
      </c>
      <c r="G60">
        <v>30701</v>
      </c>
      <c r="H60">
        <v>30701.048999999999</v>
      </c>
      <c r="I60" cm="1">
        <f t="array" ref="I60">TREND($X$8:$X$12,$W$8:$W$12,H60)</f>
        <v>2.1597023225623149</v>
      </c>
      <c r="J60">
        <f>I60/(2/0.2)*3</f>
        <v>0.64791069676869451</v>
      </c>
      <c r="K60">
        <v>0.17469611385926145</v>
      </c>
      <c r="L60" s="1">
        <f t="shared" si="0"/>
        <v>3.70878711870296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2.39</v>
      </c>
      <c r="G61">
        <v>30285</v>
      </c>
      <c r="H61">
        <v>30285.171999999999</v>
      </c>
      <c r="I61" cm="1">
        <f t="array" ref="I61">TREND($X$8:$X$12,$W$8:$W$12,H61)</f>
        <v>2.1299406388587871</v>
      </c>
      <c r="J61">
        <f>I61/(2/0.2)*3</f>
        <v>0.63898219165763614</v>
      </c>
      <c r="K61">
        <v>0.17952606048773259</v>
      </c>
      <c r="L61" s="1">
        <f t="shared" si="0"/>
        <v>3.5592726199286213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2.39</v>
      </c>
      <c r="G62">
        <v>29094</v>
      </c>
      <c r="H62">
        <v>29093.859</v>
      </c>
      <c r="I62" cm="1">
        <f t="array" ref="I62">TREND($X$8:$X$12,$W$8:$W$12,H62)</f>
        <v>2.0446859104224928</v>
      </c>
      <c r="J62">
        <f>I62/(2/0.2)*3</f>
        <v>0.61340577312674793</v>
      </c>
      <c r="K62">
        <v>0.19723586479212707</v>
      </c>
      <c r="L62" s="1">
        <f t="shared" si="0"/>
        <v>3.110011324630209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2.39</v>
      </c>
      <c r="G63">
        <v>25804</v>
      </c>
      <c r="H63">
        <v>25803.805</v>
      </c>
      <c r="I63" cm="1">
        <f t="array" ref="I63">TREND($X$8:$X$12,$W$8:$W$12,H63)</f>
        <v>1.8092375771039244</v>
      </c>
      <c r="J63">
        <f>I63/(2/0.2)*3</f>
        <v>0.54277127313117735</v>
      </c>
      <c r="K63">
        <v>0.28417490410460888</v>
      </c>
      <c r="L63" s="1">
        <f t="shared" si="0"/>
        <v>1.9099901690522798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2.39</v>
      </c>
      <c r="G64">
        <v>24240</v>
      </c>
      <c r="H64">
        <v>24240.076000000001</v>
      </c>
      <c r="I64" cm="1">
        <f t="array" ref="I64">TREND($X$8:$X$12,$W$8:$W$12,H64)</f>
        <v>1.6973313935543803</v>
      </c>
      <c r="J64">
        <f>I64/(2/0.2)*3</f>
        <v>0.50919941806631419</v>
      </c>
      <c r="K64">
        <v>0.17872106938298743</v>
      </c>
      <c r="L64" s="1">
        <f t="shared" si="0"/>
        <v>2.8491292035363416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2.39</v>
      </c>
      <c r="G65">
        <v>24547</v>
      </c>
      <c r="H65">
        <v>24547.280999999999</v>
      </c>
      <c r="I65" cm="1">
        <f t="array" ref="I65">TREND($X$8:$X$12,$W$8:$W$12,H65)</f>
        <v>1.7193161102906802</v>
      </c>
      <c r="J65">
        <f>I65/(2/0.2)*3</f>
        <v>0.51579483308720397</v>
      </c>
      <c r="K65">
        <v>0.19884584700161748</v>
      </c>
      <c r="L65" s="1">
        <f t="shared" si="0"/>
        <v>2.5939432020574626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2.39</v>
      </c>
      <c r="G66">
        <v>24411</v>
      </c>
      <c r="H66">
        <v>24411.131000000001</v>
      </c>
      <c r="I66" cm="1">
        <f t="array" ref="I66">TREND($X$8:$X$12,$W$8:$W$12,H66)</f>
        <v>1.7095727168444566</v>
      </c>
      <c r="J66">
        <f>I66/(2/0.2)*3</f>
        <v>0.51287181505333701</v>
      </c>
      <c r="K66">
        <v>0.17469611385926145</v>
      </c>
      <c r="L66" s="1">
        <f t="shared" si="0"/>
        <v>2.9357940696180362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2.39</v>
      </c>
      <c r="G67">
        <v>21137</v>
      </c>
      <c r="H67">
        <v>21137.133000000002</v>
      </c>
      <c r="I67" cm="1">
        <f t="array" ref="I67">TREND($X$8:$X$12,$W$8:$W$12,H67)</f>
        <v>1.4752734097849596</v>
      </c>
      <c r="J67">
        <f>I67/(2/0.2)*3</f>
        <v>0.44258202293548787</v>
      </c>
      <c r="K67">
        <v>0.24875529549582001</v>
      </c>
      <c r="L67" s="1">
        <f t="shared" si="0"/>
        <v>1.7791863367303666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2.4</v>
      </c>
      <c r="G68">
        <v>22843</v>
      </c>
      <c r="H68">
        <v>22842.951000000001</v>
      </c>
      <c r="I68" cm="1">
        <f t="array" ref="I68">TREND($X$8:$X$12,$W$8:$W$12,H68)</f>
        <v>1.5973480034070744</v>
      </c>
      <c r="J68">
        <f>I68/(2/0.2)*3</f>
        <v>0.47920440102212236</v>
      </c>
      <c r="K68">
        <v>0.18274602490671343</v>
      </c>
      <c r="L68" s="1">
        <f t="shared" si="0"/>
        <v>2.6222425427132676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2.39</v>
      </c>
      <c r="G69">
        <v>25668</v>
      </c>
      <c r="H69">
        <v>25667.828000000001</v>
      </c>
      <c r="I69" cm="1">
        <f t="array" ref="I69">TREND($X$8:$X$12,$W$8:$W$12,H69)</f>
        <v>1.7995065641723256</v>
      </c>
      <c r="J69">
        <f>I69/(2/0.2)*3</f>
        <v>0.53985196925169765</v>
      </c>
      <c r="K69">
        <v>0.10063693222270288</v>
      </c>
      <c r="L69" s="1">
        <f t="shared" si="0"/>
        <v>5.3643524035196233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2.39</v>
      </c>
      <c r="G70">
        <v>25228</v>
      </c>
      <c r="H70">
        <v>25227.513999999999</v>
      </c>
      <c r="I70" cm="1">
        <f t="array" ref="I70">TREND($X$8:$X$12,$W$8:$W$12,H70)</f>
        <v>1.767996079105262</v>
      </c>
      <c r="J70">
        <f>I70/(2/0.2)*3</f>
        <v>0.53039882373157865</v>
      </c>
      <c r="K70">
        <v>0.12156670094607813</v>
      </c>
      <c r="L70" s="1">
        <f t="shared" si="0"/>
        <v>4.3630272073175798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2.39</v>
      </c>
      <c r="G71">
        <v>20490</v>
      </c>
      <c r="H71">
        <v>20490.373</v>
      </c>
      <c r="I71" cm="1">
        <f t="array" ref="I71">TREND($X$8:$X$12,$W$8:$W$12,H71)</f>
        <v>1.4289888916411486</v>
      </c>
      <c r="J71">
        <f>I71/(2/0.2)*3</f>
        <v>0.42869666749234459</v>
      </c>
      <c r="K71">
        <v>8.8562065651524843E-2</v>
      </c>
      <c r="L71" s="1">
        <f t="shared" si="0"/>
        <v>4.8406353706697152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2.39</v>
      </c>
      <c r="G72">
        <v>20262</v>
      </c>
      <c r="H72">
        <v>20261.596000000001</v>
      </c>
      <c r="I72" cm="1">
        <f t="array" ref="I72">TREND($X$8:$X$12,$W$8:$W$12,H72)</f>
        <v>1.4126167702864165</v>
      </c>
      <c r="J72">
        <f>I72/(2/0.2)*3</f>
        <v>0.42378503108592491</v>
      </c>
      <c r="K72">
        <v>0.13766652304098212</v>
      </c>
      <c r="L72" s="1">
        <f t="shared" si="0"/>
        <v>3.0783448417577004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2.39</v>
      </c>
      <c r="G73">
        <v>17651</v>
      </c>
      <c r="H73">
        <v>17650.766</v>
      </c>
      <c r="I73" cm="1">
        <f t="array" ref="I73">TREND($X$8:$X$12,$W$8:$W$12,H73)</f>
        <v>1.2257761980410617</v>
      </c>
      <c r="J73">
        <f>I73/(2/0.2)*3</f>
        <v>0.36773285941231848</v>
      </c>
      <c r="K73">
        <v>8.2122136813563229E-2</v>
      </c>
      <c r="L73" s="1">
        <f t="shared" ref="L73" si="1">J73/K73</f>
        <v>4.4778773870334074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88F0-A2E3-4656-BF1C-3DF1BCFD1543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268</v>
      </c>
      <c r="P3" t="s">
        <v>93</v>
      </c>
    </row>
    <row r="5" spans="1:28" x14ac:dyDescent="0.3">
      <c r="A5" t="s">
        <v>269</v>
      </c>
      <c r="P5" t="s">
        <v>57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2.69</v>
      </c>
      <c r="G8">
        <v>20866</v>
      </c>
      <c r="H8">
        <v>20866.32</v>
      </c>
      <c r="I8">
        <f>$X$8*H8/$V$8</f>
        <v>1.2887604224569205</v>
      </c>
      <c r="J8">
        <f>I8/(2/0.2)*3</f>
        <v>0.38662812673707614</v>
      </c>
      <c r="K8">
        <v>0.10224691443219328</v>
      </c>
      <c r="L8" s="1">
        <f>J8/K8</f>
        <v>3.7813182811836827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2.83</v>
      </c>
      <c r="V8">
        <v>16191</v>
      </c>
      <c r="W8">
        <v>16190.504999999999</v>
      </c>
      <c r="X8">
        <v>1</v>
      </c>
      <c r="Y8">
        <v>1.0980000000000001</v>
      </c>
      <c r="Z8">
        <v>9.8000000000000007</v>
      </c>
      <c r="AA8">
        <v>120</v>
      </c>
      <c r="AB8">
        <v>153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2.69</v>
      </c>
      <c r="G9">
        <v>27401</v>
      </c>
      <c r="H9">
        <v>27401.463</v>
      </c>
      <c r="I9">
        <f>$X$8*H9/$V$8</f>
        <v>1.6923885491939967</v>
      </c>
      <c r="J9">
        <f>I9/(2/0.2)*3</f>
        <v>0.50771656475819893</v>
      </c>
      <c r="K9">
        <v>0.12639664757454935</v>
      </c>
      <c r="L9" s="1">
        <f t="shared" ref="L9:L72" si="0">J9/K9</f>
        <v>4.0168515107075544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2.83</v>
      </c>
      <c r="V9">
        <v>26671</v>
      </c>
      <c r="W9">
        <v>26670.511999999999</v>
      </c>
      <c r="X9">
        <v>2</v>
      </c>
      <c r="Y9">
        <v>1.859</v>
      </c>
      <c r="Z9">
        <v>-7</v>
      </c>
      <c r="AA9">
        <v>257</v>
      </c>
      <c r="AB9">
        <v>311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2.69</v>
      </c>
      <c r="G10">
        <v>16363</v>
      </c>
      <c r="H10">
        <v>16362.669</v>
      </c>
      <c r="I10">
        <f>$X$8*H10/$V$8</f>
        <v>1.0106027422642208</v>
      </c>
      <c r="J10">
        <f>I10/(2/0.2)*3</f>
        <v>0.30318082267926627</v>
      </c>
      <c r="K10">
        <v>0.15054638071690538</v>
      </c>
      <c r="L10" s="1">
        <f t="shared" si="0"/>
        <v>2.0138698867120692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2.83</v>
      </c>
      <c r="V10">
        <v>67623</v>
      </c>
      <c r="W10">
        <v>67622.812999999995</v>
      </c>
      <c r="X10">
        <v>5</v>
      </c>
      <c r="Y10">
        <v>4.8369999999999997</v>
      </c>
      <c r="Z10">
        <v>-3.3</v>
      </c>
      <c r="AA10">
        <v>526</v>
      </c>
      <c r="AB10">
        <v>423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2.68</v>
      </c>
      <c r="G11">
        <v>20116</v>
      </c>
      <c r="H11">
        <v>20116.184000000001</v>
      </c>
      <c r="I11">
        <f>$X$8*H11/$V$8</f>
        <v>1.2424299919708481</v>
      </c>
      <c r="J11">
        <f>I11/(2/0.2)*3</f>
        <v>0.37272899759125444</v>
      </c>
      <c r="K11">
        <v>0.14893639850741497</v>
      </c>
      <c r="L11" s="1">
        <f t="shared" si="0"/>
        <v>2.5026051477449798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2.83</v>
      </c>
      <c r="V11">
        <v>144683</v>
      </c>
      <c r="W11">
        <v>144683.18799999999</v>
      </c>
      <c r="X11">
        <v>10</v>
      </c>
      <c r="Y11">
        <v>10.46</v>
      </c>
      <c r="Z11">
        <v>4.5999999999999996</v>
      </c>
      <c r="AA11">
        <v>1735</v>
      </c>
      <c r="AB11">
        <v>674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2.69</v>
      </c>
      <c r="G12">
        <v>12909</v>
      </c>
      <c r="H12">
        <v>12909.456</v>
      </c>
      <c r="I12">
        <f>$X$8*H12/$V$8</f>
        <v>0.79732295719844359</v>
      </c>
      <c r="J12">
        <f>I12/(2/0.2)*3</f>
        <v>0.23919688715953308</v>
      </c>
      <c r="K12">
        <v>4.0262599366812736E-2</v>
      </c>
      <c r="L12" s="1">
        <f t="shared" si="0"/>
        <v>5.9409201323622431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2.83</v>
      </c>
      <c r="V12">
        <v>278440</v>
      </c>
      <c r="W12">
        <v>278440.15600000002</v>
      </c>
      <c r="X12">
        <v>20</v>
      </c>
      <c r="Y12">
        <v>20.277000000000001</v>
      </c>
      <c r="Z12">
        <v>1.4</v>
      </c>
      <c r="AA12">
        <v>2782</v>
      </c>
      <c r="AB12">
        <v>1109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2.68</v>
      </c>
      <c r="G13">
        <v>12728</v>
      </c>
      <c r="H13">
        <v>12727.800999999999</v>
      </c>
      <c r="I13">
        <f>$X$8*H13/$V$8</f>
        <v>0.78610345253535907</v>
      </c>
      <c r="J13">
        <f>I13/(2/0.2)*3</f>
        <v>0.23583103576060774</v>
      </c>
      <c r="K13">
        <v>0.11351678989862611</v>
      </c>
      <c r="L13" s="1">
        <f t="shared" si="0"/>
        <v>2.0774991608837063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2.83</v>
      </c>
      <c r="V13">
        <v>648686</v>
      </c>
      <c r="W13">
        <v>648685.625</v>
      </c>
      <c r="X13">
        <v>50</v>
      </c>
      <c r="Y13">
        <v>47.848999999999997</v>
      </c>
      <c r="Z13">
        <v>-4.3</v>
      </c>
      <c r="AA13">
        <v>5133</v>
      </c>
      <c r="AB13">
        <v>5700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2.68</v>
      </c>
      <c r="G14">
        <v>18491</v>
      </c>
      <c r="H14">
        <v>18491.021000000001</v>
      </c>
      <c r="I14">
        <f>$X$8*H14/$V$8</f>
        <v>1.1420555246742017</v>
      </c>
      <c r="J14">
        <f>I14/(2/0.2)*3</f>
        <v>0.34261665740226055</v>
      </c>
      <c r="K14">
        <v>0.10144192332744809</v>
      </c>
      <c r="L14" s="1">
        <f t="shared" si="0"/>
        <v>3.3774661024152288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2.83</v>
      </c>
      <c r="V14">
        <v>1246635</v>
      </c>
      <c r="W14">
        <v>1246634.75</v>
      </c>
      <c r="X14">
        <v>100</v>
      </c>
      <c r="Y14">
        <v>93.694000000000003</v>
      </c>
      <c r="Z14">
        <v>-6.3</v>
      </c>
      <c r="AA14">
        <v>9586</v>
      </c>
      <c r="AB14">
        <v>4437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2.69</v>
      </c>
      <c r="G15">
        <v>9733</v>
      </c>
      <c r="H15">
        <v>9733.34</v>
      </c>
      <c r="I15">
        <f>$X$8*H15/$V$8</f>
        <v>0.60115743314186898</v>
      </c>
      <c r="J15">
        <f>I15/(2/0.2)*3</f>
        <v>0.18034722994256069</v>
      </c>
      <c r="K15">
        <v>8.3732119023053622E-2</v>
      </c>
      <c r="L15" s="1">
        <f t="shared" si="0"/>
        <v>2.1538596185880166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2.83</v>
      </c>
      <c r="V15">
        <v>2686688</v>
      </c>
      <c r="W15">
        <v>2686687.5</v>
      </c>
      <c r="X15">
        <v>200</v>
      </c>
      <c r="Y15">
        <v>211.92</v>
      </c>
      <c r="Z15">
        <v>6</v>
      </c>
      <c r="AA15">
        <v>10115</v>
      </c>
      <c r="AB15">
        <v>9491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2.68</v>
      </c>
      <c r="G16">
        <v>19090</v>
      </c>
      <c r="H16">
        <v>19089.883000000002</v>
      </c>
      <c r="I16">
        <f>$X$8*H16/$V$8</f>
        <v>1.1790428633191281</v>
      </c>
      <c r="J16">
        <f>I16/(2/0.2)*3</f>
        <v>0.35371285899573846</v>
      </c>
      <c r="K16">
        <v>0.22299558014397355</v>
      </c>
      <c r="L16" s="1">
        <f t="shared" si="0"/>
        <v>1.5861877565796119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2.83</v>
      </c>
      <c r="V16">
        <v>5543936</v>
      </c>
      <c r="W16">
        <v>5543935.5</v>
      </c>
      <c r="X16">
        <v>500</v>
      </c>
      <c r="Y16">
        <v>495.709</v>
      </c>
      <c r="Z16">
        <v>-0.9</v>
      </c>
      <c r="AA16">
        <v>22978</v>
      </c>
      <c r="AB16">
        <v>12761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2.69</v>
      </c>
      <c r="G17">
        <v>29213</v>
      </c>
      <c r="H17">
        <v>29213.030999999999</v>
      </c>
      <c r="I17">
        <f>$X$8*H17/$V$8</f>
        <v>1.8042758940151935</v>
      </c>
      <c r="J17">
        <f>I17/(2/0.2)*3</f>
        <v>0.54128276820455801</v>
      </c>
      <c r="K17">
        <v>0.1175417454223521</v>
      </c>
      <c r="L17" s="1">
        <f t="shared" si="0"/>
        <v>4.6050257826240006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2.69</v>
      </c>
      <c r="G18">
        <v>20229</v>
      </c>
      <c r="H18">
        <v>20229.203000000001</v>
      </c>
      <c r="I18">
        <f>$X$8*H18/$V$8</f>
        <v>1.2494103514298067</v>
      </c>
      <c r="J18">
        <f>I18/(2/0.2)*3</f>
        <v>0.37482310542894204</v>
      </c>
      <c r="K18">
        <v>0.11351678989862611</v>
      </c>
      <c r="L18" s="1">
        <f t="shared" si="0"/>
        <v>3.3019177670868802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2.69</v>
      </c>
      <c r="G19">
        <v>19664</v>
      </c>
      <c r="H19">
        <v>19663.576000000001</v>
      </c>
      <c r="I19">
        <f>$X$8*H19/$V$8</f>
        <v>1.2144756963745291</v>
      </c>
      <c r="J19">
        <f>I19/(2/0.2)*3</f>
        <v>0.36434270891235876</v>
      </c>
      <c r="K19">
        <v>8.4537110127798853E-2</v>
      </c>
      <c r="L19" s="1">
        <f t="shared" si="0"/>
        <v>4.3098552619265575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2.69</v>
      </c>
      <c r="G20">
        <v>18582</v>
      </c>
      <c r="H20">
        <v>18581.732</v>
      </c>
      <c r="I20">
        <f>$X$8*H20/$V$8</f>
        <v>1.1476580816502995</v>
      </c>
      <c r="J20">
        <f>I20/(2/0.2)*3</f>
        <v>0.34429742449508982</v>
      </c>
      <c r="K20">
        <v>0.1078818521654097</v>
      </c>
      <c r="L20" s="1">
        <f t="shared" si="0"/>
        <v>3.1914304174829726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2.69</v>
      </c>
      <c r="G21">
        <v>19447</v>
      </c>
      <c r="H21">
        <v>19447.418000000001</v>
      </c>
      <c r="I21">
        <f>$X$8*H21/$V$8</f>
        <v>1.2011251930084617</v>
      </c>
      <c r="J21">
        <f>I21/(2/0.2)*3</f>
        <v>0.36033755790253852</v>
      </c>
      <c r="K21">
        <v>0.14813140740266978</v>
      </c>
      <c r="L21" s="1">
        <f t="shared" si="0"/>
        <v>2.4325533944534987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2.68</v>
      </c>
      <c r="G22">
        <v>26962</v>
      </c>
      <c r="H22">
        <v>26962.187999999998</v>
      </c>
      <c r="I22">
        <f>$X$8*H22/$V$8</f>
        <v>1.6652577357791365</v>
      </c>
      <c r="J22">
        <f>I22/(2/0.2)*3</f>
        <v>0.49957732073374095</v>
      </c>
      <c r="K22">
        <v>6.6022314718659172E-2</v>
      </c>
      <c r="L22" s="1">
        <f t="shared" si="0"/>
        <v>7.5667949974578947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2.69</v>
      </c>
      <c r="G23">
        <v>14911</v>
      </c>
      <c r="H23">
        <v>14910.669</v>
      </c>
      <c r="I23">
        <f>$X$8*H23/$V$8</f>
        <v>0.92092329071706502</v>
      </c>
      <c r="J23">
        <f>I23/(2/0.2)*3</f>
        <v>0.27627698721511951</v>
      </c>
      <c r="K23">
        <v>0.22621554456295434</v>
      </c>
      <c r="L23" s="1">
        <f t="shared" si="0"/>
        <v>1.2212997464382178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2.69</v>
      </c>
      <c r="G24">
        <v>17564</v>
      </c>
      <c r="H24">
        <v>17564.238000000001</v>
      </c>
      <c r="I24">
        <f>$X$8*H24/$V$8</f>
        <v>1.0848148971650917</v>
      </c>
      <c r="J24">
        <f>I24/(2/0.2)*3</f>
        <v>0.32544446914952752</v>
      </c>
      <c r="K24">
        <v>0.21897062462024752</v>
      </c>
      <c r="L24" s="1">
        <f t="shared" si="0"/>
        <v>1.4862471608414762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2.68</v>
      </c>
      <c r="G25">
        <v>17675</v>
      </c>
      <c r="H25">
        <v>17674.830000000002</v>
      </c>
      <c r="I25">
        <f>$X$8*H25/$V$8</f>
        <v>1.0916453585325181</v>
      </c>
      <c r="J25">
        <f>I25/(2/0.2)*3</f>
        <v>0.32749360755975543</v>
      </c>
      <c r="K25">
        <v>0.11271179879388092</v>
      </c>
      <c r="L25" s="1">
        <f t="shared" si="0"/>
        <v>2.9055840742871273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2.69</v>
      </c>
      <c r="G26">
        <v>15942</v>
      </c>
      <c r="H26">
        <v>15942.296</v>
      </c>
      <c r="I26">
        <f>$X$8*H26/$V$8</f>
        <v>0.98463936754987336</v>
      </c>
      <c r="J26">
        <f>I26/(2/0.2)*3</f>
        <v>0.29539181026496203</v>
      </c>
      <c r="K26">
        <v>9.1782030070505644E-2</v>
      </c>
      <c r="L26" s="1">
        <f t="shared" si="0"/>
        <v>3.2184057166533173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2.69</v>
      </c>
      <c r="G27">
        <v>22951</v>
      </c>
      <c r="H27">
        <v>22950.993999999999</v>
      </c>
      <c r="I27">
        <f>$X$8*H27/$V$8</f>
        <v>1.4175155333209808</v>
      </c>
      <c r="J27">
        <f>I27/(2/0.2)*3</f>
        <v>0.42525465999629419</v>
      </c>
      <c r="K27">
        <v>0.16584121170706426</v>
      </c>
      <c r="L27" s="1">
        <f t="shared" si="0"/>
        <v>2.5642278877426934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2.69</v>
      </c>
      <c r="G28">
        <v>14544</v>
      </c>
      <c r="H28">
        <v>14544.232</v>
      </c>
      <c r="I28">
        <f>$X$8*H28/$V$8</f>
        <v>0.89829114940398991</v>
      </c>
      <c r="J28">
        <f>I28/(2/0.2)*3</f>
        <v>0.26948734482119696</v>
      </c>
      <c r="K28">
        <v>0.20850574025855992</v>
      </c>
      <c r="L28" s="1">
        <f t="shared" si="0"/>
        <v>1.29246966767925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2.69</v>
      </c>
      <c r="G29">
        <v>26370</v>
      </c>
      <c r="H29">
        <v>26370.278999999999</v>
      </c>
      <c r="I29">
        <f>$X$8*H29/$V$8</f>
        <v>1.6286998332406892</v>
      </c>
      <c r="J29">
        <f>I29/(2/0.2)*3</f>
        <v>0.4886099499722068</v>
      </c>
      <c r="K29">
        <v>0.15457133624063138</v>
      </c>
      <c r="L29" s="1">
        <f t="shared" si="0"/>
        <v>3.1610644111373634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2.68</v>
      </c>
      <c r="G30">
        <v>16584</v>
      </c>
      <c r="H30">
        <v>16583.581999999999</v>
      </c>
      <c r="I30">
        <f>$X$8*H30/$V$8</f>
        <v>1.024246927305293</v>
      </c>
      <c r="J30">
        <f>I30/(2/0.2)*3</f>
        <v>0.30727407819158792</v>
      </c>
      <c r="K30">
        <v>0.22863051787718996</v>
      </c>
      <c r="L30" s="1">
        <f t="shared" si="0"/>
        <v>1.343976653005885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2.68</v>
      </c>
      <c r="G31">
        <v>16723</v>
      </c>
      <c r="H31">
        <v>16723.400000000001</v>
      </c>
      <c r="I31">
        <f>$X$8*H31/$V$8</f>
        <v>1.0328824655672906</v>
      </c>
      <c r="J31">
        <f>I31/(2/0.2)*3</f>
        <v>0.30986473967018713</v>
      </c>
      <c r="K31">
        <v>0.19079593595416544</v>
      </c>
      <c r="L31" s="1">
        <f t="shared" si="0"/>
        <v>1.6240636265157418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2.68</v>
      </c>
      <c r="G32">
        <v>18961</v>
      </c>
      <c r="H32">
        <v>18961.16</v>
      </c>
      <c r="I32">
        <f>$X$8*H32/$V$8</f>
        <v>1.1710925822988079</v>
      </c>
      <c r="J32">
        <f>I32/(2/0.2)*3</f>
        <v>0.35132777468964238</v>
      </c>
      <c r="K32">
        <v>0.13122659420302052</v>
      </c>
      <c r="L32" s="1">
        <f t="shared" si="0"/>
        <v>2.6772604807993687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2.69</v>
      </c>
      <c r="G33">
        <v>15173</v>
      </c>
      <c r="H33">
        <v>15172.853999999999</v>
      </c>
      <c r="I33">
        <f>$X$8*H33/$V$8</f>
        <v>0.93711654622938667</v>
      </c>
      <c r="J33">
        <f>I33/(2/0.2)*3</f>
        <v>0.28113496386881598</v>
      </c>
      <c r="K33">
        <v>0.13927650525047255</v>
      </c>
      <c r="L33" s="1">
        <f t="shared" si="0"/>
        <v>2.0185383267854657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2.68</v>
      </c>
      <c r="G34">
        <v>13121</v>
      </c>
      <c r="H34">
        <v>13120.916999999999</v>
      </c>
      <c r="I34">
        <f>$X$8*H34/$V$8</f>
        <v>0.81038336112655174</v>
      </c>
      <c r="J34">
        <f>I34/(2/0.2)*3</f>
        <v>0.24311500833796554</v>
      </c>
      <c r="K34">
        <v>9.7416967803722054E-2</v>
      </c>
      <c r="L34" s="1">
        <f t="shared" si="0"/>
        <v>2.4956125592802194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2.69</v>
      </c>
      <c r="G35">
        <v>11926</v>
      </c>
      <c r="H35">
        <v>11926.344999999999</v>
      </c>
      <c r="I35">
        <f>$X$8*H35/$V$8</f>
        <v>0.73660335989129755</v>
      </c>
      <c r="J35">
        <f>I35/(2/0.2)*3</f>
        <v>0.22098100796738929</v>
      </c>
      <c r="K35">
        <v>7.4877216870856411E-2</v>
      </c>
      <c r="L35" s="1">
        <f t="shared" si="0"/>
        <v>2.9512449474253786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2.69</v>
      </c>
      <c r="G36">
        <v>21473</v>
      </c>
      <c r="H36">
        <v>21473.391</v>
      </c>
      <c r="I36">
        <f>$X$8*H36/$V$8</f>
        <v>1.3262547711691681</v>
      </c>
      <c r="J36">
        <f>I36/(2/0.2)*3</f>
        <v>0.3978764313507504</v>
      </c>
      <c r="K36">
        <v>0.14491144298368897</v>
      </c>
      <c r="L36" s="1">
        <f t="shared" si="0"/>
        <v>2.7456522629171172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2.69</v>
      </c>
      <c r="G37">
        <v>19602</v>
      </c>
      <c r="H37">
        <v>19602.471000000001</v>
      </c>
      <c r="I37">
        <f>$X$8*H37/$V$8</f>
        <v>1.2107016861219198</v>
      </c>
      <c r="J37">
        <f>I37/(2/0.2)*3</f>
        <v>0.36321050583657588</v>
      </c>
      <c r="K37">
        <v>0.14571643408843418</v>
      </c>
      <c r="L37" s="1">
        <f t="shared" si="0"/>
        <v>2.492584368460089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2.69</v>
      </c>
      <c r="G38">
        <v>15778</v>
      </c>
      <c r="H38">
        <v>15777.668</v>
      </c>
      <c r="I38">
        <f>$X$8*H38/$V$8</f>
        <v>0.97447149651040699</v>
      </c>
      <c r="J38">
        <f>I38/(2/0.2)*3</f>
        <v>0.29234144895312209</v>
      </c>
      <c r="K38">
        <v>0.26405012648597881</v>
      </c>
      <c r="L38" s="1">
        <f t="shared" si="0"/>
        <v>1.1071437565421713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2.68</v>
      </c>
      <c r="G39">
        <v>14828</v>
      </c>
      <c r="H39">
        <v>14827.986999999999</v>
      </c>
      <c r="I39">
        <f>$X$8*H39/$V$8</f>
        <v>0.91581662652090667</v>
      </c>
      <c r="J39">
        <f>I39/(2/0.2)*3</f>
        <v>0.274744987956272</v>
      </c>
      <c r="K39">
        <v>0.17469611385926145</v>
      </c>
      <c r="L39" s="1">
        <f t="shared" si="0"/>
        <v>1.5727023451569841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2.68</v>
      </c>
      <c r="G40">
        <v>18241</v>
      </c>
      <c r="H40">
        <v>18241.311000000002</v>
      </c>
      <c r="I40">
        <f>$X$8*H40/$V$8</f>
        <v>1.1266327589401521</v>
      </c>
      <c r="J40">
        <f>I40/(2/0.2)*3</f>
        <v>0.33798982768204566</v>
      </c>
      <c r="K40">
        <v>0.1175417454223521</v>
      </c>
      <c r="L40" s="1">
        <f t="shared" si="0"/>
        <v>2.8754875679919287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2.69</v>
      </c>
      <c r="G41">
        <v>20171</v>
      </c>
      <c r="H41">
        <v>20170.901999999998</v>
      </c>
      <c r="I41">
        <f>$X$8*H41/$V$8</f>
        <v>1.2458095238095237</v>
      </c>
      <c r="J41">
        <f>I41/(2/0.2)*3</f>
        <v>0.37374285714285715</v>
      </c>
      <c r="K41">
        <v>0.14813140740266978</v>
      </c>
      <c r="L41" s="1">
        <f t="shared" si="0"/>
        <v>2.5230493903760829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2.69</v>
      </c>
      <c r="G42">
        <v>23112</v>
      </c>
      <c r="H42">
        <v>23112.190999999999</v>
      </c>
      <c r="I42">
        <f>$X$8*H42/$V$8</f>
        <v>1.4274714965104069</v>
      </c>
      <c r="J42">
        <f>I42/(2/0.2)*3</f>
        <v>0.42824144895312205</v>
      </c>
      <c r="K42">
        <v>0.11673675431760691</v>
      </c>
      <c r="L42" s="1">
        <f t="shared" si="0"/>
        <v>3.6684371726491647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2.69</v>
      </c>
      <c r="G43">
        <v>19223</v>
      </c>
      <c r="H43">
        <v>19223.388999999999</v>
      </c>
      <c r="I43">
        <f>$X$8*H43/$V$8</f>
        <v>1.1872885553702675</v>
      </c>
      <c r="J43">
        <f>I43/(2/0.2)*3</f>
        <v>0.35618656661108028</v>
      </c>
      <c r="K43">
        <v>8.6147092337289247E-2</v>
      </c>
      <c r="L43" s="1">
        <f t="shared" si="0"/>
        <v>4.1346324866835111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2.69</v>
      </c>
      <c r="G44">
        <v>15119</v>
      </c>
      <c r="H44">
        <v>15118.526</v>
      </c>
      <c r="I44">
        <f>$X$8*H44/$V$8</f>
        <v>0.93376110184670491</v>
      </c>
      <c r="J44">
        <f>I44/(2/0.2)*3</f>
        <v>0.28012833055401143</v>
      </c>
      <c r="K44">
        <v>8.9367056756270047E-2</v>
      </c>
      <c r="L44" s="1">
        <f t="shared" si="0"/>
        <v>3.1345815865683351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2.68</v>
      </c>
      <c r="G45">
        <v>16281</v>
      </c>
      <c r="H45">
        <v>16281.29</v>
      </c>
      <c r="I45">
        <f>$X$8*H45/$V$8</f>
        <v>1.0055765548761659</v>
      </c>
      <c r="J45">
        <f>I45/(2/0.2)*3</f>
        <v>0.3016729664628498</v>
      </c>
      <c r="K45">
        <v>9.3392012279996037E-2</v>
      </c>
      <c r="L45" s="1">
        <f t="shared" si="0"/>
        <v>3.2301795313973143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2.69</v>
      </c>
      <c r="G46">
        <v>15049</v>
      </c>
      <c r="H46">
        <v>15048.553</v>
      </c>
      <c r="I46">
        <f>$X$8*H46/$V$8</f>
        <v>0.92943937990241488</v>
      </c>
      <c r="J46">
        <f>I46/(2/0.2)*3</f>
        <v>0.27883181397072448</v>
      </c>
      <c r="K46">
        <v>0.18918595374467503</v>
      </c>
      <c r="L46" s="1">
        <f t="shared" si="0"/>
        <v>1.4738505076705395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2.69</v>
      </c>
      <c r="G47">
        <v>9896</v>
      </c>
      <c r="H47">
        <v>9896.0580000000009</v>
      </c>
      <c r="I47">
        <f>$X$8*H47/$V$8</f>
        <v>0.61120733740967215</v>
      </c>
      <c r="J47">
        <f>I47/(2/0.2)*3</f>
        <v>0.18336220122290164</v>
      </c>
      <c r="K47">
        <v>9.2587021175250833E-2</v>
      </c>
      <c r="L47" s="1">
        <f t="shared" si="0"/>
        <v>1.9804309383258965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2.68</v>
      </c>
      <c r="G48">
        <v>5028</v>
      </c>
      <c r="H48">
        <v>5027.55</v>
      </c>
      <c r="I48">
        <f>$X$8*H48/$V$8</f>
        <v>0.31051510098202706</v>
      </c>
      <c r="J48">
        <f>I48/(2/0.2)*3</f>
        <v>9.3154530294608129E-2</v>
      </c>
      <c r="K48">
        <v>0.14974138961216016</v>
      </c>
      <c r="L48" s="1">
        <f t="shared" si="0"/>
        <v>0.62210275018740213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2.68</v>
      </c>
      <c r="G49">
        <v>18390</v>
      </c>
      <c r="H49">
        <v>18389.719000000001</v>
      </c>
      <c r="I49">
        <f>$X$8*H49/$V$8</f>
        <v>1.1357988388610958</v>
      </c>
      <c r="J49">
        <f>I49/(2/0.2)*3</f>
        <v>0.34073965165832876</v>
      </c>
      <c r="K49">
        <v>0.19965083810636269</v>
      </c>
      <c r="L49" s="1">
        <f t="shared" si="0"/>
        <v>1.7066777925410055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2.69</v>
      </c>
      <c r="G50">
        <v>23687</v>
      </c>
      <c r="H50">
        <v>23687.248</v>
      </c>
      <c r="I50">
        <f>$X$8*H50/$V$8</f>
        <v>1.4629885738990798</v>
      </c>
      <c r="J50">
        <f>I50/(2/0.2)*3</f>
        <v>0.43889657216972389</v>
      </c>
      <c r="K50">
        <v>0.22058060682973793</v>
      </c>
      <c r="L50" s="1">
        <f t="shared" si="0"/>
        <v>1.9897332701985899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2.69</v>
      </c>
      <c r="G51">
        <v>18573</v>
      </c>
      <c r="H51">
        <v>18573.478999999999</v>
      </c>
      <c r="I51">
        <f>$X$8*H51/$V$8</f>
        <v>1.1471483540238403</v>
      </c>
      <c r="J51">
        <f>I51/(2/0.2)*3</f>
        <v>0.34414450620715209</v>
      </c>
      <c r="K51">
        <v>0.12720163867929454</v>
      </c>
      <c r="L51" s="1">
        <f t="shared" si="0"/>
        <v>2.7055037166213078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2.68</v>
      </c>
      <c r="G52">
        <v>13321</v>
      </c>
      <c r="H52">
        <v>13321.038</v>
      </c>
      <c r="I52">
        <f>$X$8*H52/$V$8</f>
        <v>0.82274337594960167</v>
      </c>
      <c r="J52">
        <f>I52/(2/0.2)*3</f>
        <v>0.2468230127848805</v>
      </c>
      <c r="K52">
        <v>0.1594012828691026</v>
      </c>
      <c r="L52" s="1">
        <f t="shared" si="0"/>
        <v>1.5484380573496828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2.69</v>
      </c>
      <c r="G53">
        <v>14805</v>
      </c>
      <c r="H53">
        <v>14805.39</v>
      </c>
      <c r="I53">
        <f>$X$8*H53/$V$8</f>
        <v>0.91442097461552707</v>
      </c>
      <c r="J53">
        <f>I53/(2/0.2)*3</f>
        <v>0.27432629238465811</v>
      </c>
      <c r="K53">
        <v>0.14491144298368897</v>
      </c>
      <c r="L53" s="1">
        <f t="shared" si="0"/>
        <v>1.8930616294776383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2.69</v>
      </c>
      <c r="G54">
        <v>16644</v>
      </c>
      <c r="H54">
        <v>16644.107</v>
      </c>
      <c r="I54">
        <f>$X$8*H54/$V$8</f>
        <v>1.0279851151874497</v>
      </c>
      <c r="J54">
        <f>I54/(2/0.2)*3</f>
        <v>0.30839553455623492</v>
      </c>
      <c r="K54">
        <v>0.24553533107683917</v>
      </c>
      <c r="L54" s="1">
        <f t="shared" si="0"/>
        <v>1.2560128646403395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2.68</v>
      </c>
      <c r="G55">
        <v>14816</v>
      </c>
      <c r="H55">
        <v>14815.958000000001</v>
      </c>
      <c r="I55">
        <f>$X$8*H55/$V$8</f>
        <v>0.91507368291025881</v>
      </c>
      <c r="J55">
        <f>I55/(2/0.2)*3</f>
        <v>0.2745221048730776</v>
      </c>
      <c r="K55">
        <v>0.3002747261995129</v>
      </c>
      <c r="L55" s="1">
        <f t="shared" si="0"/>
        <v>0.91423646720994967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2.69</v>
      </c>
      <c r="G56">
        <v>11225</v>
      </c>
      <c r="H56">
        <v>11225.31</v>
      </c>
      <c r="I56">
        <f>$X$8*H56/$V$8</f>
        <v>0.69330554011487866</v>
      </c>
      <c r="J56">
        <f>I56/(2/0.2)*3</f>
        <v>0.20799166203446362</v>
      </c>
      <c r="K56">
        <v>0.17147614944028067</v>
      </c>
      <c r="L56" s="1">
        <f t="shared" si="0"/>
        <v>1.2129480555364351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2.68</v>
      </c>
      <c r="G57">
        <v>15915</v>
      </c>
      <c r="H57">
        <v>15915.06</v>
      </c>
      <c r="I57">
        <f>$X$8*H57/$V$8</f>
        <v>0.98295719844357976</v>
      </c>
      <c r="J57">
        <f>I57/(2/0.2)*3</f>
        <v>0.29488715953307393</v>
      </c>
      <c r="K57">
        <v>0.18113604269722305</v>
      </c>
      <c r="L57" s="1">
        <f t="shared" si="0"/>
        <v>1.6279872031100455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2.69</v>
      </c>
      <c r="G58">
        <v>15192</v>
      </c>
      <c r="H58">
        <v>15191.773999999999</v>
      </c>
      <c r="I58">
        <f>$X$8*H58/$V$8</f>
        <v>0.93828509665863746</v>
      </c>
      <c r="J58">
        <f>I58/(2/0.2)*3</f>
        <v>0.28148552899759122</v>
      </c>
      <c r="K58">
        <v>8.2927127918308433E-2</v>
      </c>
      <c r="L58" s="1">
        <f t="shared" si="0"/>
        <v>3.3943720958825776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2.69</v>
      </c>
      <c r="G59">
        <v>17277</v>
      </c>
      <c r="H59">
        <v>17276.518</v>
      </c>
      <c r="I59">
        <f>$X$8*H59/$V$8</f>
        <v>1.0670445309122352</v>
      </c>
      <c r="J59">
        <f>I59/(2/0.2)*3</f>
        <v>0.32011335927367057</v>
      </c>
      <c r="K59">
        <v>0.11593176321286171</v>
      </c>
      <c r="L59" s="1">
        <f t="shared" si="0"/>
        <v>2.761222208670389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2.68</v>
      </c>
      <c r="G60">
        <v>19138</v>
      </c>
      <c r="H60">
        <v>19138.482</v>
      </c>
      <c r="I60">
        <f>$X$8*H60/$V$8</f>
        <v>1.1820444691495275</v>
      </c>
      <c r="J60">
        <f>I60/(2/0.2)*3</f>
        <v>0.35461334074485829</v>
      </c>
      <c r="K60">
        <v>0.17469611385926145</v>
      </c>
      <c r="L60" s="1">
        <f t="shared" si="0"/>
        <v>2.0298868298269164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2.69</v>
      </c>
      <c r="G61">
        <v>17557</v>
      </c>
      <c r="H61">
        <v>17557.418000000001</v>
      </c>
      <c r="I61">
        <f>$X$8*H61/$V$8</f>
        <v>1.084393675498734</v>
      </c>
      <c r="J61">
        <f>I61/(2/0.2)*3</f>
        <v>0.32531810264962024</v>
      </c>
      <c r="K61">
        <v>0.17952606048773259</v>
      </c>
      <c r="L61" s="1">
        <f t="shared" si="0"/>
        <v>1.8120940311718696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2.69</v>
      </c>
      <c r="G62">
        <v>20744</v>
      </c>
      <c r="H62">
        <v>20744.317999999999</v>
      </c>
      <c r="I62">
        <f>$X$8*H62/$V$8</f>
        <v>1.2812252485948983</v>
      </c>
      <c r="J62">
        <f>I62/(2/0.2)*3</f>
        <v>0.38436757457846948</v>
      </c>
      <c r="K62">
        <v>0.19723586479212707</v>
      </c>
      <c r="L62" s="1">
        <f t="shared" si="0"/>
        <v>1.9487712084390243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2.69</v>
      </c>
      <c r="G63">
        <v>15684</v>
      </c>
      <c r="H63">
        <v>15683.852000000001</v>
      </c>
      <c r="I63">
        <f>$X$8*H63/$V$8</f>
        <v>0.96867716632697187</v>
      </c>
      <c r="J63">
        <f>I63/(2/0.2)*3</f>
        <v>0.29060314989809155</v>
      </c>
      <c r="K63">
        <v>0.28417490410460888</v>
      </c>
      <c r="L63" s="1">
        <f t="shared" si="0"/>
        <v>1.0226207370905502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2.68</v>
      </c>
      <c r="G64">
        <v>14291</v>
      </c>
      <c r="H64">
        <v>14290.861999999999</v>
      </c>
      <c r="I64">
        <f>$X$8*H64/$V$8</f>
        <v>0.88264233215984189</v>
      </c>
      <c r="J64">
        <f>I64/(2/0.2)*3</f>
        <v>0.26479269964795255</v>
      </c>
      <c r="K64">
        <v>0.17872106938298743</v>
      </c>
      <c r="L64" s="1">
        <f t="shared" si="0"/>
        <v>1.4815975562484986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2.68</v>
      </c>
      <c r="G65">
        <v>16600</v>
      </c>
      <c r="H65">
        <v>16599.518</v>
      </c>
      <c r="I65">
        <f>$X$8*H65/$V$8</f>
        <v>1.0252311778148353</v>
      </c>
      <c r="J65">
        <f>I65/(2/0.2)*3</f>
        <v>0.30756935334445057</v>
      </c>
      <c r="K65">
        <v>0.19884584700161748</v>
      </c>
      <c r="L65" s="1">
        <f t="shared" si="0"/>
        <v>1.5467728292155314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2.68</v>
      </c>
      <c r="G66">
        <v>16690</v>
      </c>
      <c r="H66">
        <v>16690.136999999999</v>
      </c>
      <c r="I66">
        <f>$X$8*H66/$V$8</f>
        <v>1.030828052621827</v>
      </c>
      <c r="J66">
        <f>I66/(2/0.2)*3</f>
        <v>0.30924841578654805</v>
      </c>
      <c r="K66">
        <v>0.17469611385926145</v>
      </c>
      <c r="L66" s="1">
        <f t="shared" si="0"/>
        <v>1.7702077565141747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2.68</v>
      </c>
      <c r="G67">
        <v>11689</v>
      </c>
      <c r="H67">
        <v>11689.064</v>
      </c>
      <c r="I67">
        <f>$X$8*H67/$V$8</f>
        <v>0.72194824285096659</v>
      </c>
      <c r="J67">
        <f>I67/(2/0.2)*3</f>
        <v>0.21658447285528998</v>
      </c>
      <c r="K67">
        <v>0.24875529549582001</v>
      </c>
      <c r="L67" s="1">
        <f t="shared" si="0"/>
        <v>0.87067281290873821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2.69</v>
      </c>
      <c r="G68">
        <v>16790</v>
      </c>
      <c r="H68">
        <v>16790.030999999999</v>
      </c>
      <c r="I68">
        <f>$X$8*H68/$V$8</f>
        <v>1.0369977765425236</v>
      </c>
      <c r="J68">
        <f>I68/(2/0.2)*3</f>
        <v>0.31109933296275705</v>
      </c>
      <c r="K68">
        <v>0.18274602490671343</v>
      </c>
      <c r="L68" s="1">
        <f t="shared" si="0"/>
        <v>1.7023589603197349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2.69</v>
      </c>
      <c r="G69">
        <v>16169</v>
      </c>
      <c r="H69">
        <v>16168.576999999999</v>
      </c>
      <c r="I69">
        <f>$X$8*H69/$V$8</f>
        <v>0.99861509480575628</v>
      </c>
      <c r="J69">
        <f>I69/(2/0.2)*3</f>
        <v>0.29958452844172689</v>
      </c>
      <c r="K69">
        <v>0.10063693222270288</v>
      </c>
      <c r="L69" s="1">
        <f t="shared" si="0"/>
        <v>2.9768845475015686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2.68</v>
      </c>
      <c r="G70">
        <v>14241</v>
      </c>
      <c r="H70">
        <v>14241.428</v>
      </c>
      <c r="I70">
        <f>$X$8*H70/$V$8</f>
        <v>0.87958915446853192</v>
      </c>
      <c r="J70">
        <f>I70/(2/0.2)*3</f>
        <v>0.26387674634055958</v>
      </c>
      <c r="K70">
        <v>0.12156670094607813</v>
      </c>
      <c r="L70" s="1">
        <f t="shared" si="0"/>
        <v>2.1706334406294712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2.68</v>
      </c>
      <c r="G71">
        <v>11126</v>
      </c>
      <c r="H71">
        <v>11125.829</v>
      </c>
      <c r="I71">
        <f>$X$8*H71/$V$8</f>
        <v>0.68716132419245257</v>
      </c>
      <c r="J71">
        <f>I71/(2/0.2)*3</f>
        <v>0.20614839725773579</v>
      </c>
      <c r="K71">
        <v>8.8562065651524843E-2</v>
      </c>
      <c r="L71" s="1">
        <f t="shared" si="0"/>
        <v>2.3277279695450099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2.69</v>
      </c>
      <c r="G72">
        <v>12108</v>
      </c>
      <c r="H72">
        <v>12108.303</v>
      </c>
      <c r="I72">
        <f>$X$8*H72/$V$8</f>
        <v>0.74784157865480827</v>
      </c>
      <c r="J72">
        <f>I72/(2/0.2)*3</f>
        <v>0.2243524735964425</v>
      </c>
      <c r="K72">
        <v>0.13766652304098212</v>
      </c>
      <c r="L72" s="1">
        <f t="shared" si="0"/>
        <v>1.6296806851848415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2.68</v>
      </c>
      <c r="G73">
        <v>9978</v>
      </c>
      <c r="H73">
        <v>9978.384</v>
      </c>
      <c r="I73">
        <f>$X$8*H73/$V$8</f>
        <v>0.61629201408189738</v>
      </c>
      <c r="J73">
        <f>I73/(2/0.2)*3</f>
        <v>0.18488760422456924</v>
      </c>
      <c r="K73">
        <v>8.2122136813563229E-2</v>
      </c>
      <c r="L73" s="1">
        <f t="shared" ref="L73" si="1">J73/K73</f>
        <v>2.2513735199597646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6FC2-9AB4-4F04-906D-AED2BA0AFE32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270</v>
      </c>
      <c r="P3" t="s">
        <v>93</v>
      </c>
    </row>
    <row r="5" spans="1:28" x14ac:dyDescent="0.3">
      <c r="A5" t="s">
        <v>271</v>
      </c>
      <c r="P5" t="s">
        <v>57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3.03</v>
      </c>
      <c r="G8">
        <v>5315</v>
      </c>
      <c r="H8">
        <v>5314.6840000000002</v>
      </c>
      <c r="I8">
        <f>$X$8*H8/$V$8</f>
        <v>0.32824927428818479</v>
      </c>
      <c r="J8">
        <f>I8/(2/0.2)*3</f>
        <v>9.8474782286455426E-2</v>
      </c>
      <c r="K8">
        <v>0.10224691443219328</v>
      </c>
      <c r="L8" s="1">
        <f>J8/K8</f>
        <v>0.96310761878061957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2.83</v>
      </c>
      <c r="V8">
        <v>16191</v>
      </c>
      <c r="W8">
        <v>16190.504999999999</v>
      </c>
      <c r="X8">
        <v>1</v>
      </c>
      <c r="Y8">
        <v>1.0980000000000001</v>
      </c>
      <c r="Z8">
        <v>9.8000000000000007</v>
      </c>
      <c r="AA8">
        <v>120</v>
      </c>
      <c r="AB8">
        <v>153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3.04</v>
      </c>
      <c r="G9">
        <v>6092</v>
      </c>
      <c r="H9">
        <v>6092.0640000000003</v>
      </c>
      <c r="I9">
        <f>$X$8*H9/$V$8</f>
        <v>0.37626236798221235</v>
      </c>
      <c r="J9">
        <f>I9/(2/0.2)*3</f>
        <v>0.1128787103946637</v>
      </c>
      <c r="K9">
        <v>0.12639664757454935</v>
      </c>
      <c r="L9" s="1">
        <f t="shared" ref="L9:L72" si="0">J9/K9</f>
        <v>0.89305145793591789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2.83</v>
      </c>
      <c r="V9">
        <v>26671</v>
      </c>
      <c r="W9">
        <v>26670.511999999999</v>
      </c>
      <c r="X9">
        <v>2</v>
      </c>
      <c r="Y9">
        <v>1.859</v>
      </c>
      <c r="Z9">
        <v>-7</v>
      </c>
      <c r="AA9">
        <v>257</v>
      </c>
      <c r="AB9">
        <v>311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3.03</v>
      </c>
      <c r="G10">
        <v>12424</v>
      </c>
      <c r="H10">
        <v>12423.531999999999</v>
      </c>
      <c r="I10">
        <f>$X$8*H10/$V$8</f>
        <v>0.76731097523315417</v>
      </c>
      <c r="J10">
        <f>I10/(2/0.2)*3</f>
        <v>0.23019329256994625</v>
      </c>
      <c r="K10">
        <v>0.15054638071690538</v>
      </c>
      <c r="L10" s="1">
        <f t="shared" si="0"/>
        <v>1.5290523191176062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2.83</v>
      </c>
      <c r="V10">
        <v>67623</v>
      </c>
      <c r="W10">
        <v>67622.812999999995</v>
      </c>
      <c r="X10">
        <v>5</v>
      </c>
      <c r="Y10">
        <v>4.8369999999999997</v>
      </c>
      <c r="Z10">
        <v>-3.3</v>
      </c>
      <c r="AA10">
        <v>526</v>
      </c>
      <c r="AB10">
        <v>423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3.04</v>
      </c>
      <c r="G11">
        <v>5833</v>
      </c>
      <c r="H11">
        <v>5832.7460000000001</v>
      </c>
      <c r="I11">
        <f>$X$8*H11/$V$8</f>
        <v>0.36024618615280096</v>
      </c>
      <c r="J11">
        <f>I11/(2/0.2)*3</f>
        <v>0.1080738558458403</v>
      </c>
      <c r="K11">
        <v>0.14893639850741497</v>
      </c>
      <c r="L11" s="1">
        <f t="shared" si="0"/>
        <v>0.72563763411037308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2.83</v>
      </c>
      <c r="V11">
        <v>144683</v>
      </c>
      <c r="W11">
        <v>144683.18799999999</v>
      </c>
      <c r="X11">
        <v>10</v>
      </c>
      <c r="Y11">
        <v>10.46</v>
      </c>
      <c r="Z11">
        <v>4.5999999999999996</v>
      </c>
      <c r="AA11">
        <v>1735</v>
      </c>
      <c r="AB11">
        <v>674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3.04</v>
      </c>
      <c r="G12">
        <v>5734</v>
      </c>
      <c r="H12">
        <v>5733.6040000000003</v>
      </c>
      <c r="I12">
        <f>$X$8*H12/$V$8</f>
        <v>0.35412290778827743</v>
      </c>
      <c r="J12">
        <f>I12/(2/0.2)*3</f>
        <v>0.10623687233648324</v>
      </c>
      <c r="K12">
        <v>4.0262599366812736E-2</v>
      </c>
      <c r="L12" s="1">
        <f t="shared" si="0"/>
        <v>2.6385994448249939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2.83</v>
      </c>
      <c r="V12">
        <v>278440</v>
      </c>
      <c r="W12">
        <v>278440.15600000002</v>
      </c>
      <c r="X12">
        <v>20</v>
      </c>
      <c r="Y12">
        <v>20.277000000000001</v>
      </c>
      <c r="Z12">
        <v>1.4</v>
      </c>
      <c r="AA12">
        <v>2782</v>
      </c>
      <c r="AB12">
        <v>1109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3.03</v>
      </c>
      <c r="G13">
        <v>7144</v>
      </c>
      <c r="H13">
        <v>7144.3710000000001</v>
      </c>
      <c r="I13">
        <f>$X$8*H13/$V$8</f>
        <v>0.44125569760978323</v>
      </c>
      <c r="J13">
        <f>I13/(2/0.2)*3</f>
        <v>0.13237670928293499</v>
      </c>
      <c r="K13">
        <v>0.11351678989862611</v>
      </c>
      <c r="L13" s="1">
        <f t="shared" si="0"/>
        <v>1.1661421134367114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2.83</v>
      </c>
      <c r="V13">
        <v>648686</v>
      </c>
      <c r="W13">
        <v>648685.625</v>
      </c>
      <c r="X13">
        <v>50</v>
      </c>
      <c r="Y13">
        <v>47.848999999999997</v>
      </c>
      <c r="Z13">
        <v>-4.3</v>
      </c>
      <c r="AA13">
        <v>5133</v>
      </c>
      <c r="AB13">
        <v>5700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3.03</v>
      </c>
      <c r="G14">
        <v>5135</v>
      </c>
      <c r="H14">
        <v>5134.5460000000003</v>
      </c>
      <c r="I14">
        <f>$X$8*H14/$V$8</f>
        <v>0.31712346365264654</v>
      </c>
      <c r="J14">
        <f>I14/(2/0.2)*3</f>
        <v>9.5137039095793963E-2</v>
      </c>
      <c r="K14">
        <v>0.10144192332744809</v>
      </c>
      <c r="L14" s="1">
        <f t="shared" si="0"/>
        <v>0.93784735122477558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2.83</v>
      </c>
      <c r="V14">
        <v>1246635</v>
      </c>
      <c r="W14">
        <v>1246634.75</v>
      </c>
      <c r="X14">
        <v>100</v>
      </c>
      <c r="Y14">
        <v>93.694000000000003</v>
      </c>
      <c r="Z14">
        <v>-6.3</v>
      </c>
      <c r="AA14">
        <v>9586</v>
      </c>
      <c r="AB14">
        <v>4437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3.03</v>
      </c>
      <c r="G15">
        <v>2849</v>
      </c>
      <c r="H15">
        <v>2849.2570000000001</v>
      </c>
      <c r="I15">
        <f>$X$8*H15/$V$8</f>
        <v>0.17597782718794391</v>
      </c>
      <c r="J15">
        <f>I15/(2/0.2)*3</f>
        <v>5.2793348156383174E-2</v>
      </c>
      <c r="K15">
        <v>8.3732119023053622E-2</v>
      </c>
      <c r="L15" s="1">
        <f t="shared" si="0"/>
        <v>0.63050295122529743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2.83</v>
      </c>
      <c r="V15">
        <v>2686688</v>
      </c>
      <c r="W15">
        <v>2686687.5</v>
      </c>
      <c r="X15">
        <v>200</v>
      </c>
      <c r="Y15">
        <v>211.92</v>
      </c>
      <c r="Z15">
        <v>6</v>
      </c>
      <c r="AA15">
        <v>10115</v>
      </c>
      <c r="AB15">
        <v>9491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3.03</v>
      </c>
      <c r="G16">
        <v>8663</v>
      </c>
      <c r="H16">
        <v>8663.1149999999998</v>
      </c>
      <c r="I16">
        <f>$X$8*H16/$V$8</f>
        <v>0.53505743931813965</v>
      </c>
      <c r="J16">
        <f>I16/(2/0.2)*3</f>
        <v>0.16051723179544192</v>
      </c>
      <c r="K16">
        <v>0.22299558014397355</v>
      </c>
      <c r="L16" s="1">
        <f t="shared" si="0"/>
        <v>0.71982248119808701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2.83</v>
      </c>
      <c r="V16">
        <v>5543936</v>
      </c>
      <c r="W16">
        <v>5543935.5</v>
      </c>
      <c r="X16">
        <v>500</v>
      </c>
      <c r="Y16">
        <v>495.709</v>
      </c>
      <c r="Z16">
        <v>-0.9</v>
      </c>
      <c r="AA16">
        <v>22978</v>
      </c>
      <c r="AB16">
        <v>12761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3.04</v>
      </c>
      <c r="G17">
        <v>16346</v>
      </c>
      <c r="H17">
        <v>16345.535</v>
      </c>
      <c r="I17">
        <f>$X$8*H17/$V$8</f>
        <v>1.0095445000308814</v>
      </c>
      <c r="J17">
        <f>I17/(2/0.2)*3</f>
        <v>0.30286335000926445</v>
      </c>
      <c r="K17">
        <v>0.1175417454223521</v>
      </c>
      <c r="L17" s="1">
        <f t="shared" si="0"/>
        <v>2.5766449946868919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3.03</v>
      </c>
      <c r="G18">
        <v>13319</v>
      </c>
      <c r="H18">
        <v>13319.438</v>
      </c>
      <c r="I18">
        <f>$X$8*H18/$V$8</f>
        <v>0.82264455561731831</v>
      </c>
      <c r="J18">
        <f>I18/(2/0.2)*3</f>
        <v>0.24679336668519547</v>
      </c>
      <c r="K18">
        <v>0.11351678989862611</v>
      </c>
      <c r="L18" s="1">
        <f t="shared" si="0"/>
        <v>2.1740692888302191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3.04</v>
      </c>
      <c r="G19">
        <v>14751</v>
      </c>
      <c r="H19">
        <v>14751.052</v>
      </c>
      <c r="I19">
        <f>$X$8*H19/$V$8</f>
        <v>0.91106491260576861</v>
      </c>
      <c r="J19">
        <f>I19/(2/0.2)*3</f>
        <v>0.2733194737817306</v>
      </c>
      <c r="K19">
        <v>8.4537110127798853E-2</v>
      </c>
      <c r="L19" s="1">
        <f t="shared" si="0"/>
        <v>3.2331300817894091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3.04</v>
      </c>
      <c r="G20">
        <v>8553</v>
      </c>
      <c r="H20">
        <v>8552.5370000000003</v>
      </c>
      <c r="I20">
        <f>$X$8*H20/$V$8</f>
        <v>0.52822784262862088</v>
      </c>
      <c r="J20">
        <f>I20/(2/0.2)*3</f>
        <v>0.15846835278858629</v>
      </c>
      <c r="K20">
        <v>0.1078818521654097</v>
      </c>
      <c r="L20" s="1">
        <f t="shared" si="0"/>
        <v>1.4689064899035558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3.03</v>
      </c>
      <c r="G21">
        <v>8111</v>
      </c>
      <c r="H21">
        <v>8111.1260000000002</v>
      </c>
      <c r="I21">
        <f>$X$8*H21/$V$8</f>
        <v>0.50096510407016248</v>
      </c>
      <c r="J21">
        <f>I21/(2/0.2)*3</f>
        <v>0.15028953122104877</v>
      </c>
      <c r="K21">
        <v>0.14813140740266978</v>
      </c>
      <c r="L21" s="1">
        <f t="shared" si="0"/>
        <v>1.0145689820694979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3.03</v>
      </c>
      <c r="G22">
        <v>9423</v>
      </c>
      <c r="H22">
        <v>9422.64</v>
      </c>
      <c r="I22">
        <f>$X$8*H22/$V$8</f>
        <v>0.58196775986659255</v>
      </c>
      <c r="J22">
        <f>I22/(2/0.2)*3</f>
        <v>0.17459032795997775</v>
      </c>
      <c r="K22">
        <v>6.6022314718659172E-2</v>
      </c>
      <c r="L22" s="1">
        <f t="shared" si="0"/>
        <v>2.6444139182935249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3.03</v>
      </c>
      <c r="G23">
        <v>8165</v>
      </c>
      <c r="H23">
        <v>8164.6629999999996</v>
      </c>
      <c r="I23">
        <f>$X$8*H23/$V$8</f>
        <v>0.50427169415107154</v>
      </c>
      <c r="J23">
        <f>I23/(2/0.2)*3</f>
        <v>0.15128150824532144</v>
      </c>
      <c r="K23">
        <v>0.22621554456295434</v>
      </c>
      <c r="L23" s="1">
        <f t="shared" si="0"/>
        <v>0.66874939358210528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3.04</v>
      </c>
      <c r="G24">
        <v>6743</v>
      </c>
      <c r="H24">
        <v>6743.0739999999996</v>
      </c>
      <c r="I24">
        <f>$X$8*H24/$V$8</f>
        <v>0.41647050830708415</v>
      </c>
      <c r="J24">
        <f>I24/(2/0.2)*3</f>
        <v>0.12494115249212526</v>
      </c>
      <c r="K24">
        <v>0.21897062462024752</v>
      </c>
      <c r="L24" s="1">
        <f t="shared" si="0"/>
        <v>0.57058408043912723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3.03</v>
      </c>
      <c r="G25">
        <v>5663</v>
      </c>
      <c r="H25">
        <v>5662.8</v>
      </c>
      <c r="I25">
        <f>$X$8*H25/$V$8</f>
        <v>0.34974986103390776</v>
      </c>
      <c r="J25">
        <f>I25/(2/0.2)*3</f>
        <v>0.10492495831017232</v>
      </c>
      <c r="K25">
        <v>0.11271179879388092</v>
      </c>
      <c r="L25" s="1">
        <f t="shared" si="0"/>
        <v>0.93091370586722155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3.03</v>
      </c>
      <c r="G26">
        <v>9631</v>
      </c>
      <c r="H26">
        <v>9631.4439999999995</v>
      </c>
      <c r="I26">
        <f>$X$8*H26/$V$8</f>
        <v>0.59486406028040262</v>
      </c>
      <c r="J26">
        <f>I26/(2/0.2)*3</f>
        <v>0.1784592180841208</v>
      </c>
      <c r="K26">
        <v>9.1782030070505644E-2</v>
      </c>
      <c r="L26" s="1">
        <f t="shared" si="0"/>
        <v>1.9443808112223164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3.03</v>
      </c>
      <c r="G27">
        <v>11536</v>
      </c>
      <c r="H27">
        <v>11535.663</v>
      </c>
      <c r="I27">
        <f>$X$8*H27/$V$8</f>
        <v>0.71247378173059106</v>
      </c>
      <c r="J27">
        <f>I27/(2/0.2)*3</f>
        <v>0.21374213451917734</v>
      </c>
      <c r="K27">
        <v>0.16584121170706426</v>
      </c>
      <c r="L27" s="1">
        <f t="shared" si="0"/>
        <v>1.2888360638411367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3.04</v>
      </c>
      <c r="G28">
        <v>8959</v>
      </c>
      <c r="H28">
        <v>8959.3629999999994</v>
      </c>
      <c r="I28">
        <f>$X$8*H28/$V$8</f>
        <v>0.55335451794206658</v>
      </c>
      <c r="J28">
        <f>I28/(2/0.2)*3</f>
        <v>0.16600635538261999</v>
      </c>
      <c r="K28">
        <v>0.20850574025855992</v>
      </c>
      <c r="L28" s="1">
        <f t="shared" si="0"/>
        <v>0.79617163142253022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3.03</v>
      </c>
      <c r="G29">
        <v>16284</v>
      </c>
      <c r="H29">
        <v>16283.681</v>
      </c>
      <c r="I29">
        <f>$X$8*H29/$V$8</f>
        <v>1.0057242295102218</v>
      </c>
      <c r="J29">
        <f>I29/(2/0.2)*3</f>
        <v>0.30171726885306649</v>
      </c>
      <c r="K29">
        <v>0.15457133624063138</v>
      </c>
      <c r="L29" s="1">
        <f t="shared" si="0"/>
        <v>1.9519613156695712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3.03</v>
      </c>
      <c r="G30">
        <v>11846</v>
      </c>
      <c r="H30">
        <v>11845.575000000001</v>
      </c>
      <c r="I30">
        <f>$X$8*H30/$V$8</f>
        <v>0.73161478599221796</v>
      </c>
      <c r="J30">
        <f>I30/(2/0.2)*3</f>
        <v>0.21948443579766541</v>
      </c>
      <c r="K30">
        <v>0.22863051787718996</v>
      </c>
      <c r="L30" s="1">
        <f t="shared" si="0"/>
        <v>0.95999623250454513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3.04</v>
      </c>
      <c r="G31">
        <v>5108</v>
      </c>
      <c r="H31">
        <v>5108.1760000000004</v>
      </c>
      <c r="I31">
        <f>$X$8*H31/$V$8</f>
        <v>0.31549478105120132</v>
      </c>
      <c r="J31">
        <f>I31/(2/0.2)*3</f>
        <v>9.4648434315360408E-2</v>
      </c>
      <c r="K31">
        <v>0.19079593595416544</v>
      </c>
      <c r="L31" s="1">
        <f t="shared" si="0"/>
        <v>0.49607154283463162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3.03</v>
      </c>
      <c r="G32">
        <v>11749</v>
      </c>
      <c r="H32">
        <v>11748.709000000001</v>
      </c>
      <c r="I32">
        <f>$X$8*H32/$V$8</f>
        <v>0.72563207955036757</v>
      </c>
      <c r="J32">
        <f>I32/(2/0.2)*3</f>
        <v>0.21768962386511029</v>
      </c>
      <c r="K32">
        <v>0.13122659420302052</v>
      </c>
      <c r="L32" s="1">
        <f t="shared" si="0"/>
        <v>1.6588834388883316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3.04</v>
      </c>
      <c r="G33">
        <v>6950</v>
      </c>
      <c r="H33">
        <v>6949.9579999999996</v>
      </c>
      <c r="I33">
        <f>$X$8*H33/$V$8</f>
        <v>0.42924822432215426</v>
      </c>
      <c r="J33">
        <f>I33/(2/0.2)*3</f>
        <v>0.12877446729664627</v>
      </c>
      <c r="K33">
        <v>0.13927650525047255</v>
      </c>
      <c r="L33" s="1">
        <f t="shared" si="0"/>
        <v>0.92459576771444973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3.05</v>
      </c>
      <c r="G34">
        <v>3509</v>
      </c>
      <c r="H34">
        <v>3509.37</v>
      </c>
      <c r="I34">
        <f>$X$8*H34/$V$8</f>
        <v>0.21674819344080043</v>
      </c>
      <c r="J34">
        <f>I34/(2/0.2)*3</f>
        <v>6.5024458032240134E-2</v>
      </c>
      <c r="K34">
        <v>9.7416967803722054E-2</v>
      </c>
      <c r="L34" s="1">
        <f t="shared" si="0"/>
        <v>0.66748595751053252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3.04</v>
      </c>
      <c r="G35">
        <v>6314</v>
      </c>
      <c r="H35">
        <v>6314.3490000000002</v>
      </c>
      <c r="I35">
        <f>$X$8*H35/$V$8</f>
        <v>0.38999129145821754</v>
      </c>
      <c r="J35">
        <f>I35/(2/0.2)*3</f>
        <v>0.11699738743746525</v>
      </c>
      <c r="K35">
        <v>7.4877216870856411E-2</v>
      </c>
      <c r="L35" s="1">
        <f t="shared" si="0"/>
        <v>1.562523185647446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3.04</v>
      </c>
      <c r="G36">
        <v>22258</v>
      </c>
      <c r="H36">
        <v>22258.105</v>
      </c>
      <c r="I36">
        <f>$X$8*H36/$V$8</f>
        <v>1.3747208325612994</v>
      </c>
      <c r="J36">
        <f>I36/(2/0.2)*3</f>
        <v>0.41241624976838986</v>
      </c>
      <c r="K36">
        <v>0.14491144298368897</v>
      </c>
      <c r="L36" s="1">
        <f t="shared" si="0"/>
        <v>2.8459881516383136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3.03</v>
      </c>
      <c r="G37">
        <v>10965</v>
      </c>
      <c r="H37">
        <v>10964.504999999999</v>
      </c>
      <c r="I37">
        <f>$X$8*H37/$V$8</f>
        <v>0.67719751713915133</v>
      </c>
      <c r="J37">
        <f>I37/(2/0.2)*3</f>
        <v>0.20315925514174538</v>
      </c>
      <c r="K37">
        <v>0.14571643408843418</v>
      </c>
      <c r="L37" s="1">
        <f t="shared" si="0"/>
        <v>1.3942096264752786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3.03</v>
      </c>
      <c r="G38">
        <v>11527</v>
      </c>
      <c r="H38">
        <v>11527.359</v>
      </c>
      <c r="I38">
        <f>$X$8*H38/$V$8</f>
        <v>0.71196090420604041</v>
      </c>
      <c r="J38">
        <f>I38/(2/0.2)*3</f>
        <v>0.21358827126181212</v>
      </c>
      <c r="K38">
        <v>0.26405012648597881</v>
      </c>
      <c r="L38" s="1">
        <f t="shared" si="0"/>
        <v>0.80889289508881856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3.03</v>
      </c>
      <c r="G39">
        <v>15064</v>
      </c>
      <c r="H39">
        <v>15063.89</v>
      </c>
      <c r="I39">
        <f>$X$8*H39/$V$8</f>
        <v>0.93038663455005866</v>
      </c>
      <c r="J39">
        <f>I39/(2/0.2)*3</f>
        <v>0.27911599036501755</v>
      </c>
      <c r="K39">
        <v>0.17469611385926145</v>
      </c>
      <c r="L39" s="1">
        <f t="shared" si="0"/>
        <v>1.597722949864121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3.03</v>
      </c>
      <c r="G40">
        <v>6855</v>
      </c>
      <c r="H40">
        <v>6855.4759999999997</v>
      </c>
      <c r="I40">
        <f>$X$8*H40/$V$8</f>
        <v>0.42341276017540608</v>
      </c>
      <c r="J40">
        <f>I40/(2/0.2)*3</f>
        <v>0.1270238280526218</v>
      </c>
      <c r="K40">
        <v>0.1175417454223521</v>
      </c>
      <c r="L40" s="1">
        <f t="shared" si="0"/>
        <v>1.0806699151539616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3.03</v>
      </c>
      <c r="G41">
        <v>8939</v>
      </c>
      <c r="H41">
        <v>8939.3439999999991</v>
      </c>
      <c r="I41">
        <f>$X$8*H41/$V$8</f>
        <v>0.55211809029707859</v>
      </c>
      <c r="J41">
        <f>I41/(2/0.2)*3</f>
        <v>0.1656354270891236</v>
      </c>
      <c r="K41">
        <v>0.14813140740266978</v>
      </c>
      <c r="L41" s="1">
        <f t="shared" si="0"/>
        <v>1.1181654855872134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3.03</v>
      </c>
      <c r="G42">
        <v>15002</v>
      </c>
      <c r="H42">
        <v>15001.894</v>
      </c>
      <c r="I42">
        <f>$X$8*H42/$V$8</f>
        <v>0.92655759372490887</v>
      </c>
      <c r="J42">
        <f>I42/(2/0.2)*3</f>
        <v>0.27796727811747268</v>
      </c>
      <c r="K42">
        <v>0.11673675431760691</v>
      </c>
      <c r="L42" s="1">
        <f t="shared" si="0"/>
        <v>2.3811461929222753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3.03</v>
      </c>
      <c r="G43">
        <v>11860</v>
      </c>
      <c r="H43">
        <v>11860.308000000001</v>
      </c>
      <c r="I43">
        <f>$X$8*H43/$V$8</f>
        <v>0.73252473596442469</v>
      </c>
      <c r="J43">
        <f>I43/(2/0.2)*3</f>
        <v>0.21975742078932739</v>
      </c>
      <c r="K43">
        <v>8.6147092337289247E-2</v>
      </c>
      <c r="L43" s="1">
        <f t="shared" si="0"/>
        <v>2.5509557528525448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3.03</v>
      </c>
      <c r="G44">
        <v>8555</v>
      </c>
      <c r="H44">
        <v>8555.0589999999993</v>
      </c>
      <c r="I44">
        <f>$X$8*H44/$V$8</f>
        <v>0.5283836081773825</v>
      </c>
      <c r="J44">
        <f>I44/(2/0.2)*3</f>
        <v>0.15851508245321477</v>
      </c>
      <c r="K44">
        <v>8.9367056756270047E-2</v>
      </c>
      <c r="L44" s="1">
        <f t="shared" si="0"/>
        <v>1.7737529712490308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3.03</v>
      </c>
      <c r="G45">
        <v>7518</v>
      </c>
      <c r="H45">
        <v>7517.5959999999995</v>
      </c>
      <c r="I45">
        <f>$X$8*H45/$V$8</f>
        <v>0.46430708418257055</v>
      </c>
      <c r="J45">
        <f>I45/(2/0.2)*3</f>
        <v>0.13929212525477117</v>
      </c>
      <c r="K45">
        <v>9.3392012279996037E-2</v>
      </c>
      <c r="L45" s="1">
        <f t="shared" si="0"/>
        <v>1.4914779310800506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3.03</v>
      </c>
      <c r="G46">
        <v>8572</v>
      </c>
      <c r="H46">
        <v>8571.9269999999997</v>
      </c>
      <c r="I46">
        <f>$X$8*H46/$V$8</f>
        <v>0.52942542153047989</v>
      </c>
      <c r="J46">
        <f>I46/(2/0.2)*3</f>
        <v>0.15882762645914394</v>
      </c>
      <c r="K46">
        <v>0.18918595374467503</v>
      </c>
      <c r="L46" s="1">
        <f t="shared" si="0"/>
        <v>0.83953181150804346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3.03</v>
      </c>
      <c r="G47">
        <v>7373</v>
      </c>
      <c r="H47">
        <v>7373.2969999999996</v>
      </c>
      <c r="I47">
        <f>$X$8*H47/$V$8</f>
        <v>0.45539478722747201</v>
      </c>
      <c r="J47">
        <f>I47/(2/0.2)*3</f>
        <v>0.1366184361682416</v>
      </c>
      <c r="K47">
        <v>9.2587021175250833E-2</v>
      </c>
      <c r="L47" s="1">
        <f t="shared" si="0"/>
        <v>1.4755678974663964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3.03</v>
      </c>
      <c r="G48">
        <v>6013</v>
      </c>
      <c r="H48">
        <v>6012.88</v>
      </c>
      <c r="I48">
        <f>$X$8*H48/$V$8</f>
        <v>0.37137174973750847</v>
      </c>
      <c r="J48">
        <f>I48/(2/0.2)*3</f>
        <v>0.11141152492125253</v>
      </c>
      <c r="K48">
        <v>0.14974138961216016</v>
      </c>
      <c r="L48" s="1">
        <f t="shared" si="0"/>
        <v>0.74402625225941577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3.03</v>
      </c>
      <c r="G49">
        <v>10944</v>
      </c>
      <c r="H49">
        <v>10943.535</v>
      </c>
      <c r="I49">
        <f>$X$8*H49/$V$8</f>
        <v>0.67590235315916247</v>
      </c>
      <c r="J49">
        <f>I49/(2/0.2)*3</f>
        <v>0.20277070594774876</v>
      </c>
      <c r="K49">
        <v>0.19965083810636269</v>
      </c>
      <c r="L49" s="1">
        <f t="shared" si="0"/>
        <v>1.0156266203086208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3.03</v>
      </c>
      <c r="G50">
        <v>9244</v>
      </c>
      <c r="H50">
        <v>9244.2119999999995</v>
      </c>
      <c r="I50">
        <f>$X$8*H50/$V$8</f>
        <v>0.57094756346118214</v>
      </c>
      <c r="J50">
        <f>I50/(2/0.2)*3</f>
        <v>0.17128426903835464</v>
      </c>
      <c r="K50">
        <v>0.22058060682973793</v>
      </c>
      <c r="L50" s="1">
        <f t="shared" si="0"/>
        <v>0.77651554005636492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3.03</v>
      </c>
      <c r="G51">
        <v>13451</v>
      </c>
      <c r="H51">
        <v>13450.811</v>
      </c>
      <c r="I51">
        <f>$X$8*H51/$V$8</f>
        <v>0.83075850781298255</v>
      </c>
      <c r="J51">
        <f>I51/(2/0.2)*3</f>
        <v>0.24922755234389476</v>
      </c>
      <c r="K51">
        <v>0.12720163867929454</v>
      </c>
      <c r="L51" s="1">
        <f t="shared" si="0"/>
        <v>1.9593108621207032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3.03</v>
      </c>
      <c r="G52">
        <v>10385</v>
      </c>
      <c r="H52">
        <v>10384.800999999999</v>
      </c>
      <c r="I52">
        <f>$X$8*H52/$V$8</f>
        <v>0.64139342844790315</v>
      </c>
      <c r="J52">
        <f>I52/(2/0.2)*3</f>
        <v>0.19241802853437093</v>
      </c>
      <c r="K52">
        <v>0.1594012828691026</v>
      </c>
      <c r="L52" s="1">
        <f t="shared" si="0"/>
        <v>1.2071297361664339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3.03</v>
      </c>
      <c r="G53">
        <v>13402</v>
      </c>
      <c r="H53">
        <v>13401.790999999999</v>
      </c>
      <c r="I53">
        <f>$X$8*H53/$V$8</f>
        <v>0.82773089988265081</v>
      </c>
      <c r="J53">
        <f>I53/(2/0.2)*3</f>
        <v>0.24831926996479523</v>
      </c>
      <c r="K53">
        <v>0.14491144298368897</v>
      </c>
      <c r="L53" s="1">
        <f t="shared" si="0"/>
        <v>1.7135932459988388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3.03</v>
      </c>
      <c r="G54">
        <v>9869</v>
      </c>
      <c r="H54">
        <v>9869.3269999999993</v>
      </c>
      <c r="I54">
        <f>$X$8*H54/$V$8</f>
        <v>0.60955635847075529</v>
      </c>
      <c r="J54">
        <f>I54/(2/0.2)*3</f>
        <v>0.18286690754122659</v>
      </c>
      <c r="K54">
        <v>0.24553533107683917</v>
      </c>
      <c r="L54" s="1">
        <f t="shared" si="0"/>
        <v>0.74476820398608634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3.03</v>
      </c>
      <c r="G55">
        <v>12771</v>
      </c>
      <c r="H55">
        <v>12770.737999999999</v>
      </c>
      <c r="I55">
        <f>$X$8*H55/$V$8</f>
        <v>0.78875535791489093</v>
      </c>
      <c r="J55">
        <f>I55/(2/0.2)*3</f>
        <v>0.23662660737446728</v>
      </c>
      <c r="K55">
        <v>0.3002747261995129</v>
      </c>
      <c r="L55" s="1">
        <f t="shared" si="0"/>
        <v>0.78803371289145518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3.03</v>
      </c>
      <c r="G56">
        <v>11941</v>
      </c>
      <c r="H56">
        <v>11941.07</v>
      </c>
      <c r="I56">
        <f>$X$8*H56/$V$8</f>
        <v>0.73751281576184302</v>
      </c>
      <c r="J56">
        <f>I56/(2/0.2)*3</f>
        <v>0.22125384472855289</v>
      </c>
      <c r="K56">
        <v>0.17147614944028067</v>
      </c>
      <c r="L56" s="1">
        <f t="shared" si="0"/>
        <v>1.2902893227469405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3.03</v>
      </c>
      <c r="G57">
        <v>10160</v>
      </c>
      <c r="H57">
        <v>10160.052</v>
      </c>
      <c r="I57">
        <f>$X$8*H57/$V$8</f>
        <v>0.62751232166018156</v>
      </c>
      <c r="J57">
        <f>I57/(2/0.2)*3</f>
        <v>0.18825369649805448</v>
      </c>
      <c r="K57">
        <v>0.18113604269722305</v>
      </c>
      <c r="L57" s="1">
        <f t="shared" si="0"/>
        <v>1.0392945197148251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3.03</v>
      </c>
      <c r="G58">
        <v>19349</v>
      </c>
      <c r="H58">
        <v>19348.905999999999</v>
      </c>
      <c r="I58">
        <f>$X$8*H58/$V$8</f>
        <v>1.1950408251497746</v>
      </c>
      <c r="J58">
        <f>I58/(2/0.2)*3</f>
        <v>0.35851224754493238</v>
      </c>
      <c r="K58">
        <v>8.2927127918308433E-2</v>
      </c>
      <c r="L58" s="1">
        <f t="shared" si="0"/>
        <v>4.3232203567703804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3.03</v>
      </c>
      <c r="G59">
        <v>12515</v>
      </c>
      <c r="H59">
        <v>12515.043</v>
      </c>
      <c r="I59">
        <f>$X$8*H59/$V$8</f>
        <v>0.77296294237539376</v>
      </c>
      <c r="J59">
        <f>I59/(2/0.2)*3</f>
        <v>0.23188888271261815</v>
      </c>
      <c r="K59">
        <v>0.11593176321286171</v>
      </c>
      <c r="L59" s="1">
        <f t="shared" si="0"/>
        <v>2.0002187173402008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3.03</v>
      </c>
      <c r="G60">
        <v>10055</v>
      </c>
      <c r="H60">
        <v>10055.404</v>
      </c>
      <c r="I60">
        <f>$X$8*H60/$V$8</f>
        <v>0.62104897782718793</v>
      </c>
      <c r="J60">
        <f>I60/(2/0.2)*3</f>
        <v>0.18631469334815637</v>
      </c>
      <c r="K60">
        <v>0.17469611385926145</v>
      </c>
      <c r="L60" s="1">
        <f t="shared" si="0"/>
        <v>1.0665073723291583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3.03</v>
      </c>
      <c r="G61">
        <v>9817</v>
      </c>
      <c r="H61">
        <v>9816.6219999999994</v>
      </c>
      <c r="I61">
        <f>$X$8*H61/$V$8</f>
        <v>0.60630115496263348</v>
      </c>
      <c r="J61">
        <f>I61/(2/0.2)*3</f>
        <v>0.18189034648879004</v>
      </c>
      <c r="K61">
        <v>0.17952606048773259</v>
      </c>
      <c r="L61" s="1">
        <f t="shared" si="0"/>
        <v>1.0131695977432704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3.03</v>
      </c>
      <c r="G62">
        <v>12352</v>
      </c>
      <c r="H62">
        <v>12352.145</v>
      </c>
      <c r="I62">
        <f>$X$8*H62/$V$8</f>
        <v>0.7629019208202088</v>
      </c>
      <c r="J62">
        <f>I62/(2/0.2)*3</f>
        <v>0.22887057624606266</v>
      </c>
      <c r="K62">
        <v>0.19723586479212707</v>
      </c>
      <c r="L62" s="1">
        <f t="shared" si="0"/>
        <v>1.1603902590802966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3.03</v>
      </c>
      <c r="G63">
        <v>11088</v>
      </c>
      <c r="H63">
        <v>11087.799000000001</v>
      </c>
      <c r="I63">
        <f>$X$8*H63/$V$8</f>
        <v>0.68481248841949238</v>
      </c>
      <c r="J63">
        <f>I63/(2/0.2)*3</f>
        <v>0.20544374652584774</v>
      </c>
      <c r="K63">
        <v>0.28417490410460888</v>
      </c>
      <c r="L63" s="1">
        <f t="shared" si="0"/>
        <v>0.72294823912466577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3.03</v>
      </c>
      <c r="G64">
        <v>6190</v>
      </c>
      <c r="H64">
        <v>6190.1229999999996</v>
      </c>
      <c r="I64">
        <f>$X$8*H64/$V$8</f>
        <v>0.38231875733432152</v>
      </c>
      <c r="J64">
        <f>I64/(2/0.2)*3</f>
        <v>0.11469562720029647</v>
      </c>
      <c r="K64">
        <v>0.17872106938298743</v>
      </c>
      <c r="L64" s="1">
        <f t="shared" si="0"/>
        <v>0.64175772669819542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3.03</v>
      </c>
      <c r="G65">
        <v>8763</v>
      </c>
      <c r="H65">
        <v>8762.7870000000003</v>
      </c>
      <c r="I65">
        <f>$X$8*H65/$V$8</f>
        <v>0.54121345191773207</v>
      </c>
      <c r="J65">
        <f>I65/(2/0.2)*3</f>
        <v>0.16236403557531964</v>
      </c>
      <c r="K65">
        <v>0.19884584700161748</v>
      </c>
      <c r="L65" s="1">
        <f t="shared" si="0"/>
        <v>0.81653219327230364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3.03</v>
      </c>
      <c r="G66">
        <v>15077</v>
      </c>
      <c r="H66">
        <v>15077.307000000001</v>
      </c>
      <c r="I66">
        <f>$X$8*H66/$V$8</f>
        <v>0.93121530479896242</v>
      </c>
      <c r="J66">
        <f>I66/(2/0.2)*3</f>
        <v>0.27936459143968873</v>
      </c>
      <c r="K66">
        <v>0.17469611385926145</v>
      </c>
      <c r="L66" s="1">
        <f t="shared" si="0"/>
        <v>1.5991459985466545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3.03</v>
      </c>
      <c r="G67">
        <v>4535</v>
      </c>
      <c r="H67">
        <v>4534.5479999999998</v>
      </c>
      <c r="I67">
        <f>$X$8*H67/$V$8</f>
        <v>0.28006596257179911</v>
      </c>
      <c r="J67">
        <f>I67/(2/0.2)*3</f>
        <v>8.4019788771539733E-2</v>
      </c>
      <c r="K67">
        <v>0.24875529549582001</v>
      </c>
      <c r="L67" s="1">
        <f t="shared" si="0"/>
        <v>0.33776080466577069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3.03</v>
      </c>
      <c r="G68">
        <v>7953</v>
      </c>
      <c r="H68">
        <v>7952.5</v>
      </c>
      <c r="I68">
        <f>$X$8*H68/$V$8</f>
        <v>0.49116793280217402</v>
      </c>
      <c r="J68">
        <f>I68/(2/0.2)*3</f>
        <v>0.14735037984065222</v>
      </c>
      <c r="K68">
        <v>0.18274602490671343</v>
      </c>
      <c r="L68" s="1">
        <f t="shared" si="0"/>
        <v>0.80631236666225892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3.03</v>
      </c>
      <c r="G69">
        <v>16508</v>
      </c>
      <c r="H69">
        <v>16507.740000000002</v>
      </c>
      <c r="I69">
        <f>$X$8*H69/$V$8</f>
        <v>1.0195627200296462</v>
      </c>
      <c r="J69">
        <f>I69/(2/0.2)*3</f>
        <v>0.30586881600889382</v>
      </c>
      <c r="K69">
        <v>0.10063693222270288</v>
      </c>
      <c r="L69" s="1">
        <f t="shared" si="0"/>
        <v>3.0393296899395374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3.03</v>
      </c>
      <c r="G70">
        <v>8373</v>
      </c>
      <c r="H70">
        <v>8373.2710000000006</v>
      </c>
      <c r="I70">
        <f>$X$8*H70/$V$8</f>
        <v>0.51715588907417709</v>
      </c>
      <c r="J70">
        <f>I70/(2/0.2)*3</f>
        <v>0.15514676672225314</v>
      </c>
      <c r="K70">
        <v>0.12156670094607813</v>
      </c>
      <c r="L70" s="1">
        <f t="shared" si="0"/>
        <v>1.2762274991000184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3.03</v>
      </c>
      <c r="G71">
        <v>6858</v>
      </c>
      <c r="H71">
        <v>6858.424</v>
      </c>
      <c r="I71">
        <f>$X$8*H71/$V$8</f>
        <v>0.42359483663763819</v>
      </c>
      <c r="J71">
        <f>I71/(2/0.2)*3</f>
        <v>0.12707845099129145</v>
      </c>
      <c r="K71">
        <v>8.8562065651524843E-2</v>
      </c>
      <c r="L71" s="1">
        <f t="shared" si="0"/>
        <v>1.4349083894601258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3.03</v>
      </c>
      <c r="G72">
        <v>5362</v>
      </c>
      <c r="H72">
        <v>5361.9930000000004</v>
      </c>
      <c r="I72">
        <f>$X$8*H72/$V$8</f>
        <v>0.33117120622568097</v>
      </c>
      <c r="J72">
        <f>I72/(2/0.2)*3</f>
        <v>9.9351361867704283E-2</v>
      </c>
      <c r="K72">
        <v>0.13766652304098212</v>
      </c>
      <c r="L72" s="1">
        <f t="shared" si="0"/>
        <v>0.72168134760059455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3.04</v>
      </c>
      <c r="G73">
        <v>2797</v>
      </c>
      <c r="H73">
        <v>2797.335</v>
      </c>
      <c r="I73">
        <f>$X$8*H73/$V$8</f>
        <v>0.17277098387993331</v>
      </c>
      <c r="J73">
        <f>I73/(2/0.2)*3</f>
        <v>5.1831295163979989E-2</v>
      </c>
      <c r="K73">
        <v>8.2122136813563229E-2</v>
      </c>
      <c r="L73" s="1">
        <f t="shared" ref="L73" si="1">J73/K73</f>
        <v>0.631148885977594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3.12</v>
      </c>
      <c r="G74">
        <v>980</v>
      </c>
      <c r="H74">
        <v>979.66700000000003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AB16-9C13-4042-8414-4301A2BC9FF4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272</v>
      </c>
      <c r="P3" t="s">
        <v>93</v>
      </c>
    </row>
    <row r="5" spans="1:28" x14ac:dyDescent="0.3">
      <c r="A5" t="s">
        <v>273</v>
      </c>
      <c r="P5" t="s">
        <v>57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3.2</v>
      </c>
      <c r="G8">
        <v>15885</v>
      </c>
      <c r="H8">
        <v>15885.191000000001</v>
      </c>
      <c r="I8">
        <f>$X$8*H8/$V$8</f>
        <v>0.9811124081279724</v>
      </c>
      <c r="J8">
        <f>I8/(2/0.2)*3</f>
        <v>0.29433372243839173</v>
      </c>
      <c r="K8">
        <v>0.10224691443219328</v>
      </c>
      <c r="L8" s="1">
        <f>J8/K8</f>
        <v>2.8786562809539253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2.83</v>
      </c>
      <c r="V8">
        <v>16191</v>
      </c>
      <c r="W8">
        <v>16190.504999999999</v>
      </c>
      <c r="X8">
        <v>1</v>
      </c>
      <c r="Y8">
        <v>1.0980000000000001</v>
      </c>
      <c r="Z8">
        <v>9.8000000000000007</v>
      </c>
      <c r="AA8">
        <v>120</v>
      </c>
      <c r="AB8">
        <v>58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3.2</v>
      </c>
      <c r="G9">
        <v>15801</v>
      </c>
      <c r="H9">
        <v>15800.619000000001</v>
      </c>
      <c r="I9">
        <f>$X$8*H9/$V$8</f>
        <v>0.97588901241430426</v>
      </c>
      <c r="J9">
        <f>I9/(2/0.2)*3</f>
        <v>0.29276670372429126</v>
      </c>
      <c r="K9">
        <v>0.12639664757454935</v>
      </c>
      <c r="L9" s="1">
        <f t="shared" ref="L9:L72" si="0">J9/K9</f>
        <v>2.3162537087988513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2.83</v>
      </c>
      <c r="V9">
        <v>26671</v>
      </c>
      <c r="W9">
        <v>26670.511999999999</v>
      </c>
      <c r="X9">
        <v>2</v>
      </c>
      <c r="Y9">
        <v>1.859</v>
      </c>
      <c r="Z9">
        <v>-7</v>
      </c>
      <c r="AA9">
        <v>257</v>
      </c>
      <c r="AB9">
        <v>56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3.2</v>
      </c>
      <c r="G10">
        <v>24891</v>
      </c>
      <c r="H10">
        <v>24891.43</v>
      </c>
      <c r="I10">
        <f>$X$8*H10/$V$8</f>
        <v>1.5373621147551109</v>
      </c>
      <c r="J10">
        <f>I10/(2/0.2)*3</f>
        <v>0.46120863442653326</v>
      </c>
      <c r="K10">
        <v>0.15054638071690538</v>
      </c>
      <c r="L10" s="1">
        <f t="shared" si="0"/>
        <v>3.0635650769566629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2.83</v>
      </c>
      <c r="V10">
        <v>67623</v>
      </c>
      <c r="W10">
        <v>67622.812999999995</v>
      </c>
      <c r="X10">
        <v>5</v>
      </c>
      <c r="Y10">
        <v>4.8369999999999997</v>
      </c>
      <c r="Z10">
        <v>-3.3</v>
      </c>
      <c r="AA10">
        <v>526</v>
      </c>
      <c r="AB10">
        <v>384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3.2</v>
      </c>
      <c r="G11">
        <v>22942</v>
      </c>
      <c r="H11">
        <v>22942.055</v>
      </c>
      <c r="I11">
        <f>$X$8*H11/$V$8</f>
        <v>1.4169634364770551</v>
      </c>
      <c r="J11">
        <f>I11/(2/0.2)*3</f>
        <v>0.42508903094311651</v>
      </c>
      <c r="K11">
        <v>0.14893639850741497</v>
      </c>
      <c r="L11" s="1">
        <f t="shared" si="0"/>
        <v>2.8541648327957452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2.83</v>
      </c>
      <c r="V11">
        <v>144683</v>
      </c>
      <c r="W11">
        <v>144683.18799999999</v>
      </c>
      <c r="X11">
        <v>10</v>
      </c>
      <c r="Y11">
        <v>10.46</v>
      </c>
      <c r="Z11">
        <v>4.5999999999999996</v>
      </c>
      <c r="AA11">
        <v>1735</v>
      </c>
      <c r="AB11">
        <v>711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3.2</v>
      </c>
      <c r="G12">
        <v>19176</v>
      </c>
      <c r="H12">
        <v>19175.544999999998</v>
      </c>
      <c r="I12">
        <f>$X$8*H12/$V$8</f>
        <v>1.1843335803841639</v>
      </c>
      <c r="J12">
        <f>I12/(2/0.2)*3</f>
        <v>0.35530007411524922</v>
      </c>
      <c r="K12">
        <v>4.0262599366812736E-2</v>
      </c>
      <c r="L12" s="1">
        <f t="shared" si="0"/>
        <v>8.8245686990620005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2.83</v>
      </c>
      <c r="V12">
        <v>278440</v>
      </c>
      <c r="W12">
        <v>278440.15600000002</v>
      </c>
      <c r="X12">
        <v>20</v>
      </c>
      <c r="Y12">
        <v>20.277000000000001</v>
      </c>
      <c r="Z12">
        <v>1.4</v>
      </c>
      <c r="AA12">
        <v>2782</v>
      </c>
      <c r="AB12">
        <v>793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3.2</v>
      </c>
      <c r="G13">
        <v>19396</v>
      </c>
      <c r="H13">
        <v>19395.548999999999</v>
      </c>
      <c r="I13">
        <f>$X$8*H13/$V$8</f>
        <v>1.1979216231239578</v>
      </c>
      <c r="J13">
        <f>I13/(2/0.2)*3</f>
        <v>0.35937648693718738</v>
      </c>
      <c r="K13">
        <v>0.11351678989862611</v>
      </c>
      <c r="L13" s="1">
        <f t="shared" si="0"/>
        <v>3.165844341247857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2.83</v>
      </c>
      <c r="V13">
        <v>648686</v>
      </c>
      <c r="W13">
        <v>648685.625</v>
      </c>
      <c r="X13">
        <v>50</v>
      </c>
      <c r="Y13">
        <v>47.848999999999997</v>
      </c>
      <c r="Z13">
        <v>-4.3</v>
      </c>
      <c r="AA13">
        <v>5133</v>
      </c>
      <c r="AB13">
        <v>2903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3.2</v>
      </c>
      <c r="G14">
        <v>11410</v>
      </c>
      <c r="H14">
        <v>11410.463</v>
      </c>
      <c r="I14">
        <f>$X$8*H14/$V$8</f>
        <v>0.7047410907294176</v>
      </c>
      <c r="J14">
        <f>I14/(2/0.2)*3</f>
        <v>0.21142232721882526</v>
      </c>
      <c r="K14">
        <v>0.10144192332744809</v>
      </c>
      <c r="L14" s="1">
        <f t="shared" si="0"/>
        <v>2.0841711225877235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2.83</v>
      </c>
      <c r="V14">
        <v>1246635</v>
      </c>
      <c r="W14">
        <v>1246634.75</v>
      </c>
      <c r="X14">
        <v>100</v>
      </c>
      <c r="Y14">
        <v>93.694000000000003</v>
      </c>
      <c r="Z14">
        <v>-6.3</v>
      </c>
      <c r="AA14">
        <v>9586</v>
      </c>
      <c r="AB14">
        <v>4762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3.2</v>
      </c>
      <c r="G15">
        <v>8876</v>
      </c>
      <c r="H15">
        <v>8875.57</v>
      </c>
      <c r="I15">
        <f>$X$8*H15/$V$8</f>
        <v>0.54817923537767899</v>
      </c>
      <c r="J15">
        <f>I15/(2/0.2)*3</f>
        <v>0.16445377061330368</v>
      </c>
      <c r="K15">
        <v>8.3732119023053622E-2</v>
      </c>
      <c r="L15" s="1">
        <f t="shared" si="0"/>
        <v>1.9640464439700289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2.83</v>
      </c>
      <c r="V15">
        <v>2686688</v>
      </c>
      <c r="W15">
        <v>2686687.5</v>
      </c>
      <c r="X15">
        <v>200</v>
      </c>
      <c r="Y15">
        <v>211.92</v>
      </c>
      <c r="Z15">
        <v>6</v>
      </c>
      <c r="AA15">
        <v>10115</v>
      </c>
      <c r="AB15">
        <v>9757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3.2</v>
      </c>
      <c r="G16">
        <v>36067</v>
      </c>
      <c r="H16">
        <v>36066.921999999999</v>
      </c>
      <c r="I16">
        <f>$X$8*H16/$V$8</f>
        <v>2.2275907602989315</v>
      </c>
      <c r="J16">
        <f>I16/(2/0.2)*3</f>
        <v>0.66827722808967938</v>
      </c>
      <c r="K16">
        <v>0.22299558014397355</v>
      </c>
      <c r="L16" s="1">
        <f t="shared" si="0"/>
        <v>2.9968182672419643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2.83</v>
      </c>
      <c r="V16">
        <v>5543936</v>
      </c>
      <c r="W16">
        <v>5543935.5</v>
      </c>
      <c r="X16">
        <v>500</v>
      </c>
      <c r="Y16">
        <v>495.709</v>
      </c>
      <c r="Z16">
        <v>-0.9</v>
      </c>
      <c r="AA16">
        <v>22978</v>
      </c>
      <c r="AB16">
        <v>19049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3.2</v>
      </c>
      <c r="G17">
        <v>44829</v>
      </c>
      <c r="H17">
        <v>44828.695</v>
      </c>
      <c r="I17">
        <f>$X$8*H17/$V$8</f>
        <v>2.768741584831079</v>
      </c>
      <c r="J17">
        <f>I17/(2/0.2)*3</f>
        <v>0.83062247544932377</v>
      </c>
      <c r="K17">
        <v>0.1175417454223521</v>
      </c>
      <c r="L17" s="1">
        <f t="shared" si="0"/>
        <v>7.066616821663855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3.2</v>
      </c>
      <c r="G18">
        <v>31367</v>
      </c>
      <c r="H18">
        <v>31366.555</v>
      </c>
      <c r="I18">
        <f>$X$8*H18/$V$8</f>
        <v>1.9372833673028225</v>
      </c>
      <c r="J18">
        <f>I18/(2/0.2)*3</f>
        <v>0.58118501019084678</v>
      </c>
      <c r="K18">
        <v>0.11351678989862611</v>
      </c>
      <c r="L18" s="1">
        <f t="shared" si="0"/>
        <v>5.1198154097720909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3.21</v>
      </c>
      <c r="G19">
        <v>29122</v>
      </c>
      <c r="H19">
        <v>29121.623</v>
      </c>
      <c r="I19">
        <f>$X$8*H19/$V$8</f>
        <v>1.7986302884318448</v>
      </c>
      <c r="J19">
        <f>I19/(2/0.2)*3</f>
        <v>0.5395890865295534</v>
      </c>
      <c r="K19">
        <v>8.4537110127798853E-2</v>
      </c>
      <c r="L19" s="1">
        <f t="shared" si="0"/>
        <v>6.3828664797487207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3.2</v>
      </c>
      <c r="G20">
        <v>24928</v>
      </c>
      <c r="H20">
        <v>24927.502</v>
      </c>
      <c r="I20">
        <f>$X$8*H20/$V$8</f>
        <v>1.5395900191464393</v>
      </c>
      <c r="J20">
        <f>I20/(2/0.2)*3</f>
        <v>0.46187700574393176</v>
      </c>
      <c r="K20">
        <v>0.1078818521654097</v>
      </c>
      <c r="L20" s="1">
        <f t="shared" si="0"/>
        <v>4.2813225438117195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3.2</v>
      </c>
      <c r="G21">
        <v>30308</v>
      </c>
      <c r="H21">
        <v>30308.23</v>
      </c>
      <c r="I21">
        <f>$X$8*H21/$V$8</f>
        <v>1.8719183497004508</v>
      </c>
      <c r="J21">
        <f>I21/(2/0.2)*3</f>
        <v>0.56157550491013519</v>
      </c>
      <c r="K21">
        <v>0.14813140740266978</v>
      </c>
      <c r="L21" s="1">
        <f t="shared" si="0"/>
        <v>3.7910630483891148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3.2</v>
      </c>
      <c r="G22">
        <v>29505</v>
      </c>
      <c r="H22">
        <v>29504.743999999999</v>
      </c>
      <c r="I22">
        <f>$X$8*H22/$V$8</f>
        <v>1.8222928787598047</v>
      </c>
      <c r="J22">
        <f>I22/(2/0.2)*3</f>
        <v>0.54668786362794142</v>
      </c>
      <c r="K22">
        <v>6.6022314718659172E-2</v>
      </c>
      <c r="L22" s="1">
        <f t="shared" si="0"/>
        <v>8.2803498477377211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3.2</v>
      </c>
      <c r="G23">
        <v>17545</v>
      </c>
      <c r="H23">
        <v>17545.355</v>
      </c>
      <c r="I23">
        <f>$X$8*H23/$V$8</f>
        <v>1.083648631956025</v>
      </c>
      <c r="J23">
        <f>I23/(2/0.2)*3</f>
        <v>0.32509458958680748</v>
      </c>
      <c r="K23">
        <v>0.22621554456295434</v>
      </c>
      <c r="L23" s="1">
        <f t="shared" si="0"/>
        <v>1.4371010189193065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3.2</v>
      </c>
      <c r="G24">
        <v>22594</v>
      </c>
      <c r="H24">
        <v>22594.271000000001</v>
      </c>
      <c r="I24">
        <f>$X$8*H24/$V$8</f>
        <v>1.395483354950281</v>
      </c>
      <c r="J24">
        <f>I24/(2/0.2)*3</f>
        <v>0.41864500648508429</v>
      </c>
      <c r="K24">
        <v>0.21897062462024752</v>
      </c>
      <c r="L24" s="1">
        <f t="shared" si="0"/>
        <v>1.9118774822473312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3.2</v>
      </c>
      <c r="G25">
        <v>23553</v>
      </c>
      <c r="H25">
        <v>23553.190999999999</v>
      </c>
      <c r="I25">
        <f>$X$8*H25/$V$8</f>
        <v>1.45470885059601</v>
      </c>
      <c r="J25">
        <f>I25/(2/0.2)*3</f>
        <v>0.43641265517880296</v>
      </c>
      <c r="K25">
        <v>0.11271179879388092</v>
      </c>
      <c r="L25" s="1">
        <f t="shared" si="0"/>
        <v>3.8719340818691257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3.2</v>
      </c>
      <c r="G26">
        <v>34949</v>
      </c>
      <c r="H26">
        <v>34949.445</v>
      </c>
      <c r="I26">
        <f>$X$8*H26/$V$8</f>
        <v>2.1585723550120437</v>
      </c>
      <c r="J26">
        <f>I26/(2/0.2)*3</f>
        <v>0.64757170650361306</v>
      </c>
      <c r="K26">
        <v>9.1782030070505644E-2</v>
      </c>
      <c r="L26" s="1">
        <f t="shared" si="0"/>
        <v>7.0555391508137024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3.2</v>
      </c>
      <c r="G27">
        <v>29069</v>
      </c>
      <c r="H27">
        <v>29068.673999999999</v>
      </c>
      <c r="I27">
        <f>$X$8*H27/$V$8</f>
        <v>1.7953600148230497</v>
      </c>
      <c r="J27">
        <f>I27/(2/0.2)*3</f>
        <v>0.53860800444691492</v>
      </c>
      <c r="K27">
        <v>0.16584121170706426</v>
      </c>
      <c r="L27" s="1">
        <f t="shared" si="0"/>
        <v>3.247733171404295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3.2</v>
      </c>
      <c r="G28">
        <v>22471</v>
      </c>
      <c r="H28">
        <v>22471.092000000001</v>
      </c>
      <c r="I28">
        <f>$X$8*H28/$V$8</f>
        <v>1.387875486381323</v>
      </c>
      <c r="J28">
        <f>I28/(2/0.2)*3</f>
        <v>0.41636264591439692</v>
      </c>
      <c r="K28">
        <v>0.20850574025855992</v>
      </c>
      <c r="L28" s="1">
        <f t="shared" si="0"/>
        <v>1.9968881691126665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3.2</v>
      </c>
      <c r="G29">
        <v>39984</v>
      </c>
      <c r="H29">
        <v>39984.226999999999</v>
      </c>
      <c r="I29">
        <f>$X$8*H29/$V$8</f>
        <v>2.4695341238959916</v>
      </c>
      <c r="J29">
        <f>I29/(2/0.2)*3</f>
        <v>0.74086023716879756</v>
      </c>
      <c r="K29">
        <v>0.15457133624063138</v>
      </c>
      <c r="L29" s="1">
        <f t="shared" si="0"/>
        <v>4.7929988520992772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3.2</v>
      </c>
      <c r="G30">
        <v>35730</v>
      </c>
      <c r="H30">
        <v>35729.913999999997</v>
      </c>
      <c r="I30">
        <f>$X$8*H30/$V$8</f>
        <v>2.2067762337100856</v>
      </c>
      <c r="J30">
        <f>I30/(2/0.2)*3</f>
        <v>0.66203287011302558</v>
      </c>
      <c r="K30">
        <v>0.22863051787718996</v>
      </c>
      <c r="L30" s="1">
        <f t="shared" si="0"/>
        <v>2.895645236952312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3.2</v>
      </c>
      <c r="G31">
        <v>21827</v>
      </c>
      <c r="H31">
        <v>21827.276999999998</v>
      </c>
      <c r="I31">
        <f>$X$8*H31/$V$8</f>
        <v>1.3481117287381879</v>
      </c>
      <c r="J31">
        <f>I31/(2/0.2)*3</f>
        <v>0.40443351862145632</v>
      </c>
      <c r="K31">
        <v>0.19079593595416544</v>
      </c>
      <c r="L31" s="1">
        <f t="shared" si="0"/>
        <v>2.1197176795139527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3.2</v>
      </c>
      <c r="G32">
        <v>37991</v>
      </c>
      <c r="H32">
        <v>37990.957000000002</v>
      </c>
      <c r="I32">
        <f>$X$8*H32/$V$8</f>
        <v>2.3464243715644497</v>
      </c>
      <c r="J32">
        <f>I32/(2/0.2)*3</f>
        <v>0.70392731146933496</v>
      </c>
      <c r="K32">
        <v>0.13122659420302052</v>
      </c>
      <c r="L32" s="1">
        <f t="shared" si="0"/>
        <v>5.3642123057791915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3.2</v>
      </c>
      <c r="G33">
        <v>29809</v>
      </c>
      <c r="H33">
        <v>29809.037</v>
      </c>
      <c r="I33">
        <f>$X$8*H33/$V$8</f>
        <v>1.841086838366994</v>
      </c>
      <c r="J33">
        <f>I33/(2/0.2)*3</f>
        <v>0.55232605151009817</v>
      </c>
      <c r="K33">
        <v>0.13927650525047255</v>
      </c>
      <c r="L33" s="1">
        <f t="shared" si="0"/>
        <v>3.9656800012091353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3.2</v>
      </c>
      <c r="G34">
        <v>23127</v>
      </c>
      <c r="H34">
        <v>23126.697</v>
      </c>
      <c r="I34">
        <f>$X$8*H34/$V$8</f>
        <v>1.4283674263479711</v>
      </c>
      <c r="J34">
        <f>I34/(2/0.2)*3</f>
        <v>0.42851022790439136</v>
      </c>
      <c r="K34">
        <v>9.7416967803722054E-2</v>
      </c>
      <c r="L34" s="1">
        <f t="shared" si="0"/>
        <v>4.3987227026791018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3.2</v>
      </c>
      <c r="G35">
        <v>28142</v>
      </c>
      <c r="H35">
        <v>28142.111000000001</v>
      </c>
      <c r="I35">
        <f>$X$8*H35/$V$8</f>
        <v>1.7381329751096288</v>
      </c>
      <c r="J35">
        <f>I35/(2/0.2)*3</f>
        <v>0.52143989253288869</v>
      </c>
      <c r="K35">
        <v>7.4877216870856411E-2</v>
      </c>
      <c r="L35" s="1">
        <f t="shared" si="0"/>
        <v>6.9639326129366683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3.2</v>
      </c>
      <c r="G36">
        <v>57588</v>
      </c>
      <c r="H36">
        <v>57588.004000000001</v>
      </c>
      <c r="I36">
        <f>$X$8*H36/$V$8</f>
        <v>3.5567910567599283</v>
      </c>
      <c r="J36">
        <f>I36/(2/0.2)*3</f>
        <v>1.0670373170279785</v>
      </c>
      <c r="K36">
        <v>0.14491144298368897</v>
      </c>
      <c r="L36" s="1">
        <f t="shared" si="0"/>
        <v>7.3633751417966549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3.2</v>
      </c>
      <c r="G37">
        <v>35309</v>
      </c>
      <c r="H37">
        <v>35309.300999999999</v>
      </c>
      <c r="I37">
        <f>$X$8*H37/$V$8</f>
        <v>2.1807980359458958</v>
      </c>
      <c r="J37">
        <f>I37/(2/0.2)*3</f>
        <v>0.65423941078376879</v>
      </c>
      <c r="K37">
        <v>0.14571643408843418</v>
      </c>
      <c r="L37" s="1">
        <f t="shared" si="0"/>
        <v>4.4898121126592763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3.2</v>
      </c>
      <c r="G38">
        <v>35454</v>
      </c>
      <c r="H38">
        <v>35454.046999999999</v>
      </c>
      <c r="I38">
        <f>$X$8*H38/$V$8</f>
        <v>2.1897379408313258</v>
      </c>
      <c r="J38">
        <f>I38/(2/0.2)*3</f>
        <v>0.65692138224939778</v>
      </c>
      <c r="K38">
        <v>0.26405012648597881</v>
      </c>
      <c r="L38" s="1">
        <f t="shared" si="0"/>
        <v>2.4878661903776087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3.2</v>
      </c>
      <c r="G39">
        <v>34600</v>
      </c>
      <c r="H39">
        <v>34599.605000000003</v>
      </c>
      <c r="I39">
        <f>$X$8*H39/$V$8</f>
        <v>2.1369652893582858</v>
      </c>
      <c r="J39">
        <f>I39/(2/0.2)*3</f>
        <v>0.64108958680748573</v>
      </c>
      <c r="K39">
        <v>0.17469611385926145</v>
      </c>
      <c r="L39" s="1">
        <f t="shared" si="0"/>
        <v>3.6697415451608717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3.2</v>
      </c>
      <c r="G40">
        <v>28406</v>
      </c>
      <c r="H40">
        <v>28406.437999999998</v>
      </c>
      <c r="I40">
        <f>$X$8*H40/$V$8</f>
        <v>1.7544585263417947</v>
      </c>
      <c r="J40">
        <f>I40/(2/0.2)*3</f>
        <v>0.52633755790253844</v>
      </c>
      <c r="K40">
        <v>0.1175417454223521</v>
      </c>
      <c r="L40" s="1">
        <f t="shared" si="0"/>
        <v>4.4778776766611506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3.2</v>
      </c>
      <c r="G41">
        <v>20781</v>
      </c>
      <c r="H41">
        <v>20780.5</v>
      </c>
      <c r="I41">
        <f>$X$8*H41/$V$8</f>
        <v>1.2834599468840715</v>
      </c>
      <c r="J41">
        <f>I41/(2/0.2)*3</f>
        <v>0.38503798406522149</v>
      </c>
      <c r="K41">
        <v>0.14813140740266978</v>
      </c>
      <c r="L41" s="1">
        <f t="shared" si="0"/>
        <v>2.5993001134361862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3.2</v>
      </c>
      <c r="G42">
        <v>38394</v>
      </c>
      <c r="H42">
        <v>38393.945</v>
      </c>
      <c r="I42">
        <f>$X$8*H42/$V$8</f>
        <v>2.3713140016058305</v>
      </c>
      <c r="J42">
        <f>I42/(2/0.2)*3</f>
        <v>0.71139420048174906</v>
      </c>
      <c r="K42">
        <v>0.11673675431760691</v>
      </c>
      <c r="L42" s="1">
        <f t="shared" si="0"/>
        <v>6.0940035950138842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3.2</v>
      </c>
      <c r="G43">
        <v>23433</v>
      </c>
      <c r="H43">
        <v>23432.768</v>
      </c>
      <c r="I43">
        <f>$X$8*H43/$V$8</f>
        <v>1.4472712000494101</v>
      </c>
      <c r="J43">
        <f>I43/(2/0.2)*3</f>
        <v>0.43418136001482299</v>
      </c>
      <c r="K43">
        <v>8.6147092337289247E-2</v>
      </c>
      <c r="L43" s="1">
        <f t="shared" si="0"/>
        <v>5.0400001698825205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3.2</v>
      </c>
      <c r="G44">
        <v>27625</v>
      </c>
      <c r="H44">
        <v>27625.133000000002</v>
      </c>
      <c r="I44">
        <f>$X$8*H44/$V$8</f>
        <v>1.7062030140201347</v>
      </c>
      <c r="J44">
        <f>I44/(2/0.2)*3</f>
        <v>0.51186090420604047</v>
      </c>
      <c r="K44">
        <v>8.9367056756270047E-2</v>
      </c>
      <c r="L44" s="1">
        <f t="shared" si="0"/>
        <v>5.7276240572858299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3.2</v>
      </c>
      <c r="G45">
        <v>29495</v>
      </c>
      <c r="H45">
        <v>29494.974999999999</v>
      </c>
      <c r="I45">
        <f>$X$8*H45/$V$8</f>
        <v>1.8216895188685072</v>
      </c>
      <c r="J45">
        <f>I45/(2/0.2)*3</f>
        <v>0.54650685566055213</v>
      </c>
      <c r="K45">
        <v>9.3392012279996037E-2</v>
      </c>
      <c r="L45" s="1">
        <f t="shared" si="0"/>
        <v>5.8517515825880793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3.2</v>
      </c>
      <c r="G46">
        <v>28370</v>
      </c>
      <c r="H46">
        <v>28369.918000000001</v>
      </c>
      <c r="I46">
        <f>$X$8*H46/$V$8</f>
        <v>1.7522029522574269</v>
      </c>
      <c r="J46">
        <f>I46/(2/0.2)*3</f>
        <v>0.52566088567722813</v>
      </c>
      <c r="K46">
        <v>0.18918595374467503</v>
      </c>
      <c r="L46" s="1">
        <f t="shared" si="0"/>
        <v>2.778540770456241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3.2</v>
      </c>
      <c r="G47">
        <v>23277</v>
      </c>
      <c r="H47">
        <v>23277.236000000001</v>
      </c>
      <c r="I47">
        <f>$X$8*H47/$V$8</f>
        <v>1.4376651225989747</v>
      </c>
      <c r="J47">
        <f>I47/(2/0.2)*3</f>
        <v>0.43129953677969246</v>
      </c>
      <c r="K47">
        <v>9.2587021175250833E-2</v>
      </c>
      <c r="L47" s="1">
        <f t="shared" si="0"/>
        <v>4.6583152941417003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3.2</v>
      </c>
      <c r="G48">
        <v>23628</v>
      </c>
      <c r="H48">
        <v>23627.928</v>
      </c>
      <c r="I48">
        <f>$X$8*H48/$V$8</f>
        <v>1.4593248100796739</v>
      </c>
      <c r="J48">
        <f>I48/(2/0.2)*3</f>
        <v>0.43779744302390211</v>
      </c>
      <c r="K48">
        <v>0.14974138961216016</v>
      </c>
      <c r="L48" s="1">
        <f t="shared" si="0"/>
        <v>2.9236902646477749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3.2</v>
      </c>
      <c r="G49">
        <v>34471</v>
      </c>
      <c r="H49">
        <v>34470.758000000002</v>
      </c>
      <c r="I49">
        <f>$X$8*H49/$V$8</f>
        <v>2.1290073497622135</v>
      </c>
      <c r="J49">
        <f>I49/(2/0.2)*3</f>
        <v>0.63870220492866414</v>
      </c>
      <c r="K49">
        <v>0.19965083810636269</v>
      </c>
      <c r="L49" s="1">
        <f t="shared" si="0"/>
        <v>3.1990960367939936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3.2</v>
      </c>
      <c r="G50">
        <v>45494</v>
      </c>
      <c r="H50">
        <v>45493.656000000003</v>
      </c>
      <c r="I50">
        <f>$X$8*H50/$V$8</f>
        <v>2.8098113766907544</v>
      </c>
      <c r="J50">
        <f>I50/(2/0.2)*3</f>
        <v>0.84294341300722642</v>
      </c>
      <c r="K50">
        <v>0.22058060682973793</v>
      </c>
      <c r="L50" s="1">
        <f t="shared" si="0"/>
        <v>3.8214756279906275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3.2</v>
      </c>
      <c r="G51">
        <v>36238</v>
      </c>
      <c r="H51">
        <v>36238.375</v>
      </c>
      <c r="I51">
        <f>$X$8*H51/$V$8</f>
        <v>2.2381801618182942</v>
      </c>
      <c r="J51">
        <f>I51/(2/0.2)*3</f>
        <v>0.67145404854548829</v>
      </c>
      <c r="K51">
        <v>0.12720163867929454</v>
      </c>
      <c r="L51" s="1">
        <f t="shared" si="0"/>
        <v>5.2786587933696589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3.2</v>
      </c>
      <c r="G52">
        <v>38879</v>
      </c>
      <c r="H52">
        <v>38878.703000000001</v>
      </c>
      <c r="I52">
        <f>$X$8*H52/$V$8</f>
        <v>2.4012539682539682</v>
      </c>
      <c r="J52">
        <f>I52/(2/0.2)*3</f>
        <v>0.7203761904761905</v>
      </c>
      <c r="K52">
        <v>0.1594012828691026</v>
      </c>
      <c r="L52" s="1">
        <f t="shared" si="0"/>
        <v>4.5192621885468149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3.2</v>
      </c>
      <c r="G53">
        <v>43734</v>
      </c>
      <c r="H53">
        <v>43734.199000000001</v>
      </c>
      <c r="I53">
        <f>$X$8*H53/$V$8</f>
        <v>2.7011425483293188</v>
      </c>
      <c r="J53">
        <f>I53/(2/0.2)*3</f>
        <v>0.81034276449879572</v>
      </c>
      <c r="K53">
        <v>0.14491144298368897</v>
      </c>
      <c r="L53" s="1">
        <f t="shared" si="0"/>
        <v>5.5919860282531779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3.2</v>
      </c>
      <c r="G54">
        <v>34072</v>
      </c>
      <c r="H54">
        <v>34071.688000000002</v>
      </c>
      <c r="I54">
        <f>$X$8*H54/$V$8</f>
        <v>2.1043597060095114</v>
      </c>
      <c r="J54">
        <f>I54/(2/0.2)*3</f>
        <v>0.63130791180285351</v>
      </c>
      <c r="K54">
        <v>0.24553533107683917</v>
      </c>
      <c r="L54" s="1">
        <f t="shared" si="0"/>
        <v>2.5711489626936359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3.2</v>
      </c>
      <c r="G55">
        <v>47466</v>
      </c>
      <c r="H55">
        <v>47465.5</v>
      </c>
      <c r="I55">
        <f>$X$8*H55/$V$8</f>
        <v>2.9315978012476065</v>
      </c>
      <c r="J55">
        <f>I55/(2/0.2)*3</f>
        <v>0.87947934037428188</v>
      </c>
      <c r="K55">
        <v>0.3002747261995129</v>
      </c>
      <c r="L55" s="1">
        <f t="shared" si="0"/>
        <v>2.9289156350439081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3.2</v>
      </c>
      <c r="G56">
        <v>32038</v>
      </c>
      <c r="H56">
        <v>32038.046999999999</v>
      </c>
      <c r="I56">
        <f>$X$8*H56/$V$8</f>
        <v>1.9787565314063367</v>
      </c>
      <c r="J56">
        <f>I56/(2/0.2)*3</f>
        <v>0.59362695942190102</v>
      </c>
      <c r="K56">
        <v>0.17147614944028067</v>
      </c>
      <c r="L56" s="1">
        <f t="shared" si="0"/>
        <v>3.4618631300013019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3.2</v>
      </c>
      <c r="G57">
        <v>29544</v>
      </c>
      <c r="H57">
        <v>29544.405999999999</v>
      </c>
      <c r="I57">
        <f>$X$8*H57/$V$8</f>
        <v>1.8247425112716942</v>
      </c>
      <c r="J57">
        <f>I57/(2/0.2)*3</f>
        <v>0.54742275338150825</v>
      </c>
      <c r="K57">
        <v>0.18113604269722305</v>
      </c>
      <c r="L57" s="1">
        <f t="shared" si="0"/>
        <v>3.0221635916853375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3.2</v>
      </c>
      <c r="G58">
        <v>57276</v>
      </c>
      <c r="H58">
        <v>57275.608999999997</v>
      </c>
      <c r="I58">
        <f>$X$8*H58/$V$8</f>
        <v>3.5374966956951392</v>
      </c>
      <c r="J58">
        <f>I58/(2/0.2)*3</f>
        <v>1.0612490087085418</v>
      </c>
      <c r="K58">
        <v>8.2927127918308433E-2</v>
      </c>
      <c r="L58" s="1">
        <f t="shared" si="0"/>
        <v>12.797368428748417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3.2</v>
      </c>
      <c r="G59">
        <v>44146</v>
      </c>
      <c r="H59">
        <v>44145.832000000002</v>
      </c>
      <c r="I59">
        <f>$X$8*H59/$V$8</f>
        <v>2.7265661169785687</v>
      </c>
      <c r="J59">
        <f>I59/(2/0.2)*3</f>
        <v>0.81796983509357069</v>
      </c>
      <c r="K59">
        <v>0.11593176321286171</v>
      </c>
      <c r="L59" s="1">
        <f t="shared" si="0"/>
        <v>7.0556145479449022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3.2</v>
      </c>
      <c r="G60">
        <v>22790</v>
      </c>
      <c r="H60">
        <v>22790.072</v>
      </c>
      <c r="I60">
        <f>$X$8*H60/$V$8</f>
        <v>1.4075765548761658</v>
      </c>
      <c r="J60">
        <f>I60/(2/0.2)*3</f>
        <v>0.42227296646284979</v>
      </c>
      <c r="K60">
        <v>0.17469611385926145</v>
      </c>
      <c r="L60" s="1">
        <f t="shared" si="0"/>
        <v>2.4171858041618544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3.2</v>
      </c>
      <c r="G61">
        <v>39445</v>
      </c>
      <c r="H61">
        <v>39444.972999999998</v>
      </c>
      <c r="I61">
        <f>$X$8*H61/$V$8</f>
        <v>2.4362283367302822</v>
      </c>
      <c r="J61">
        <f>I61/(2/0.2)*3</f>
        <v>0.73086850101908474</v>
      </c>
      <c r="K61">
        <v>0.17952606048773259</v>
      </c>
      <c r="L61" s="1">
        <f t="shared" si="0"/>
        <v>4.0710997558431163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3.2</v>
      </c>
      <c r="G62">
        <v>29543</v>
      </c>
      <c r="H62">
        <v>29543.016</v>
      </c>
      <c r="I62">
        <f>$X$8*H62/$V$8</f>
        <v>1.824656661108023</v>
      </c>
      <c r="J62">
        <f>I62/(2/0.2)*3</f>
        <v>0.54739699833240696</v>
      </c>
      <c r="K62">
        <v>0.19723586479212707</v>
      </c>
      <c r="L62" s="1">
        <f t="shared" si="0"/>
        <v>2.7753420956646271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3.2</v>
      </c>
      <c r="G63">
        <v>35178</v>
      </c>
      <c r="H63">
        <v>35177.976999999999</v>
      </c>
      <c r="I63">
        <f>$X$8*H63/$V$8</f>
        <v>2.1726871101229079</v>
      </c>
      <c r="J63">
        <f>I63/(2/0.2)*3</f>
        <v>0.65180613303687229</v>
      </c>
      <c r="K63">
        <v>0.28417490410460888</v>
      </c>
      <c r="L63" s="1">
        <f t="shared" si="0"/>
        <v>2.2936794334130681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3.2</v>
      </c>
      <c r="G64">
        <v>18543</v>
      </c>
      <c r="H64">
        <v>18542.565999999999</v>
      </c>
      <c r="I64">
        <f>$X$8*H64/$V$8</f>
        <v>1.1452390834414179</v>
      </c>
      <c r="J64">
        <f>I64/(2/0.2)*3</f>
        <v>0.34357172503242539</v>
      </c>
      <c r="K64">
        <v>0.17872106938298743</v>
      </c>
      <c r="L64" s="1">
        <f t="shared" si="0"/>
        <v>1.9223907187807494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3.2</v>
      </c>
      <c r="G65">
        <v>27992</v>
      </c>
      <c r="H65">
        <v>27991.671999999999</v>
      </c>
      <c r="I65">
        <f>$X$8*H65/$V$8</f>
        <v>1.7288414551293927</v>
      </c>
      <c r="J65">
        <f>I65/(2/0.2)*3</f>
        <v>0.51865243653881776</v>
      </c>
      <c r="K65">
        <v>0.19884584700161748</v>
      </c>
      <c r="L65" s="1">
        <f t="shared" si="0"/>
        <v>2.6083141506827592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3.2</v>
      </c>
      <c r="G66">
        <v>42083</v>
      </c>
      <c r="H66">
        <v>42083.387000000002</v>
      </c>
      <c r="I66">
        <f>$X$8*H66/$V$8</f>
        <v>2.5991839293434627</v>
      </c>
      <c r="J66">
        <f>I66/(2/0.2)*3</f>
        <v>0.7797551788030388</v>
      </c>
      <c r="K66">
        <v>0.17469611385926145</v>
      </c>
      <c r="L66" s="1">
        <f t="shared" si="0"/>
        <v>4.463494702756952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3.2</v>
      </c>
      <c r="G67">
        <v>18584</v>
      </c>
      <c r="H67">
        <v>18583.543000000001</v>
      </c>
      <c r="I67">
        <f>$X$8*H67/$V$8</f>
        <v>1.1477699339139029</v>
      </c>
      <c r="J67">
        <f>I67/(2/0.2)*3</f>
        <v>0.34433098017417085</v>
      </c>
      <c r="K67">
        <v>0.24875529549582001</v>
      </c>
      <c r="L67" s="1">
        <f t="shared" si="0"/>
        <v>1.3842156786566051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3.2</v>
      </c>
      <c r="G68">
        <v>22547</v>
      </c>
      <c r="H68">
        <v>22547.238000000001</v>
      </c>
      <c r="I68">
        <f>$X$8*H68/$V$8</f>
        <v>1.3925784695201038</v>
      </c>
      <c r="J68">
        <f>I68/(2/0.2)*3</f>
        <v>0.41777354085603113</v>
      </c>
      <c r="K68">
        <v>0.18274602490671343</v>
      </c>
      <c r="L68" s="1">
        <f t="shared" si="0"/>
        <v>2.2860882531879554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3.2</v>
      </c>
      <c r="G69">
        <v>35555</v>
      </c>
      <c r="H69">
        <v>35554.512000000002</v>
      </c>
      <c r="I69">
        <f>$X$8*H69/$V$8</f>
        <v>2.1959429312581067</v>
      </c>
      <c r="J69">
        <f>I69/(2/0.2)*3</f>
        <v>0.65878287937743196</v>
      </c>
      <c r="K69">
        <v>0.10063693222270288</v>
      </c>
      <c r="L69" s="1">
        <f t="shared" si="0"/>
        <v>6.5461343547276361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3.2</v>
      </c>
      <c r="G70">
        <v>32041</v>
      </c>
      <c r="H70">
        <v>32041.151999999998</v>
      </c>
      <c r="I70">
        <f>$X$8*H70/$V$8</f>
        <v>1.9789483046136742</v>
      </c>
      <c r="J70">
        <f>I70/(2/0.2)*3</f>
        <v>0.59368449138410218</v>
      </c>
      <c r="K70">
        <v>0.12156670094607813</v>
      </c>
      <c r="L70" s="1">
        <f t="shared" si="0"/>
        <v>4.8836111103108379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3.2</v>
      </c>
      <c r="G71">
        <v>21449</v>
      </c>
      <c r="H71">
        <v>21448.893</v>
      </c>
      <c r="I71">
        <f>$X$8*H71/$V$8</f>
        <v>1.3247417083564943</v>
      </c>
      <c r="J71">
        <f>I71/(2/0.2)*3</f>
        <v>0.39742251250694832</v>
      </c>
      <c r="K71">
        <v>8.8562065651524843E-2</v>
      </c>
      <c r="L71" s="1">
        <f t="shared" si="0"/>
        <v>4.4875027426610794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3.2</v>
      </c>
      <c r="G72">
        <v>15544</v>
      </c>
      <c r="H72">
        <v>15543.751</v>
      </c>
      <c r="I72">
        <f>$X$8*H72/$V$8</f>
        <v>0.96002414921870172</v>
      </c>
      <c r="J72">
        <f>I72/(2/0.2)*3</f>
        <v>0.28800724476561052</v>
      </c>
      <c r="K72">
        <v>0.13766652304098212</v>
      </c>
      <c r="L72" s="1">
        <f t="shared" si="0"/>
        <v>2.092064493267352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3.2</v>
      </c>
      <c r="G73">
        <v>10094</v>
      </c>
      <c r="H73">
        <v>10094.182000000001</v>
      </c>
      <c r="I73">
        <f>$X$8*H73/$V$8</f>
        <v>0.62344401210549072</v>
      </c>
      <c r="J73">
        <f>I73/(2/0.2)*3</f>
        <v>0.18703320363164722</v>
      </c>
      <c r="K73">
        <v>8.2122136813563229E-2</v>
      </c>
      <c r="L73" s="1">
        <f t="shared" ref="L73" si="1">J73/K73</f>
        <v>2.2775004510203751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6938-855E-4759-91E9-E8A404E9E39A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274</v>
      </c>
      <c r="P3" t="s">
        <v>94</v>
      </c>
    </row>
    <row r="5" spans="1:28" x14ac:dyDescent="0.3">
      <c r="A5" t="s">
        <v>275</v>
      </c>
      <c r="P5" t="s">
        <v>58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3.36</v>
      </c>
      <c r="G8">
        <v>40566</v>
      </c>
      <c r="H8">
        <v>40566.370999999999</v>
      </c>
      <c r="I8" cm="1">
        <f t="array" ref="I8">TREND($X$8:$X$12,$W$8:$W$12,H8)</f>
        <v>6.4562629030991969</v>
      </c>
      <c r="J8">
        <f>I8/(2/0.2)*3</f>
        <v>1.9368788709297591</v>
      </c>
      <c r="K8">
        <v>0.10224691443219328</v>
      </c>
      <c r="L8" s="1">
        <f>J8/K8</f>
        <v>18.943152286656357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3.36</v>
      </c>
      <c r="V8">
        <v>8303</v>
      </c>
      <c r="W8">
        <v>8303.0959999999995</v>
      </c>
      <c r="X8">
        <v>1</v>
      </c>
      <c r="Y8">
        <v>1.1919999999999999</v>
      </c>
      <c r="Z8">
        <v>19.2</v>
      </c>
      <c r="AA8">
        <v>58</v>
      </c>
      <c r="AB8">
        <v>58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3.36</v>
      </c>
      <c r="G9">
        <v>52636</v>
      </c>
      <c r="H9">
        <v>52635.578000000001</v>
      </c>
      <c r="I9" cm="1">
        <f t="array" ref="I9">TREND($X$8:$X$12,$W$8:$W$12,H9)</f>
        <v>8.5111240305794915</v>
      </c>
      <c r="J9">
        <f>I9/(2/0.2)*3</f>
        <v>2.5533372091738471</v>
      </c>
      <c r="K9">
        <v>0.12639664757454935</v>
      </c>
      <c r="L9" s="1">
        <f t="shared" ref="L9:L72" si="0">J9/K9</f>
        <v>20.200988381973314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3.36</v>
      </c>
      <c r="V9">
        <v>12565</v>
      </c>
      <c r="W9">
        <v>12565.313</v>
      </c>
      <c r="X9">
        <v>2</v>
      </c>
      <c r="Y9">
        <v>1.8640000000000001</v>
      </c>
      <c r="Z9">
        <v>-6.8</v>
      </c>
      <c r="AA9">
        <v>156</v>
      </c>
      <c r="AB9">
        <v>56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3.36</v>
      </c>
      <c r="G10">
        <v>52220</v>
      </c>
      <c r="H10">
        <v>52220.495999999999</v>
      </c>
      <c r="I10" cm="1">
        <f t="array" ref="I10">TREND($X$8:$X$12,$W$8:$W$12,H10)</f>
        <v>8.4404536156535741</v>
      </c>
      <c r="J10">
        <f>I10/(2/0.2)*3</f>
        <v>2.5321360846960719</v>
      </c>
      <c r="K10">
        <v>0.15054638071690538</v>
      </c>
      <c r="L10" s="1">
        <f t="shared" si="0"/>
        <v>16.819641047748746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3.36</v>
      </c>
      <c r="V10">
        <v>32711</v>
      </c>
      <c r="W10">
        <v>32710.937999999998</v>
      </c>
      <c r="X10">
        <v>5</v>
      </c>
      <c r="Y10">
        <v>5.0419999999999998</v>
      </c>
      <c r="Z10">
        <v>0.8</v>
      </c>
      <c r="AA10">
        <v>293</v>
      </c>
      <c r="AB10">
        <v>384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3.36</v>
      </c>
      <c r="G11">
        <v>81190</v>
      </c>
      <c r="H11">
        <v>81190.320000000007</v>
      </c>
      <c r="I11" cm="1">
        <f t="array" ref="I11">TREND($X$8:$X$12,$W$8:$W$12,H11)</f>
        <v>13.372754901690486</v>
      </c>
      <c r="J11">
        <f>I11/(2/0.2)*3</f>
        <v>4.0118264705071462</v>
      </c>
      <c r="K11">
        <v>0.14893639850741497</v>
      </c>
      <c r="L11" s="1">
        <f t="shared" si="0"/>
        <v>26.936507869883886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3.36</v>
      </c>
      <c r="V11">
        <v>64284</v>
      </c>
      <c r="W11">
        <v>64283.745999999999</v>
      </c>
      <c r="X11">
        <v>10</v>
      </c>
      <c r="Y11">
        <v>10.034000000000001</v>
      </c>
      <c r="Z11">
        <v>0.3</v>
      </c>
      <c r="AA11">
        <v>478</v>
      </c>
      <c r="AB11">
        <v>711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3.36</v>
      </c>
      <c r="G12">
        <v>56319</v>
      </c>
      <c r="H12">
        <v>56318.870999999999</v>
      </c>
      <c r="I12" cm="1">
        <f t="array" ref="I12">TREND($X$8:$X$12,$W$8:$W$12,H12)</f>
        <v>9.1382286619625042</v>
      </c>
      <c r="J12">
        <f>I12/(2/0.2)*3</f>
        <v>2.7414685985887512</v>
      </c>
      <c r="K12">
        <v>4.0262599366812736E-2</v>
      </c>
      <c r="L12" s="1">
        <f t="shared" si="0"/>
        <v>68.089707115344922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3.36</v>
      </c>
      <c r="V12">
        <v>118557</v>
      </c>
      <c r="W12">
        <v>118557.406</v>
      </c>
      <c r="X12">
        <v>20</v>
      </c>
      <c r="Y12">
        <v>18.646999999999998</v>
      </c>
      <c r="Z12">
        <v>-6.8</v>
      </c>
      <c r="AA12">
        <v>662</v>
      </c>
      <c r="AB12">
        <v>793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3.36</v>
      </c>
      <c r="G13">
        <v>41347</v>
      </c>
      <c r="H13">
        <v>41347.391000000003</v>
      </c>
      <c r="I13" cm="1">
        <f t="array" ref="I13">TREND($X$8:$X$12,$W$8:$W$12,H13)</f>
        <v>6.5892366467581356</v>
      </c>
      <c r="J13">
        <f>I13/(2/0.2)*3</f>
        <v>1.9767709940274405</v>
      </c>
      <c r="K13">
        <v>0.11351678989862611</v>
      </c>
      <c r="L13" s="1">
        <f t="shared" si="0"/>
        <v>17.413908513381642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3.36</v>
      </c>
      <c r="V13">
        <v>286257</v>
      </c>
      <c r="W13">
        <v>286256.84399999998</v>
      </c>
      <c r="X13">
        <v>50</v>
      </c>
      <c r="Y13">
        <v>45.524999999999999</v>
      </c>
      <c r="Z13">
        <v>-8.9</v>
      </c>
      <c r="AA13">
        <v>1828</v>
      </c>
      <c r="AB13">
        <v>2903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3.36</v>
      </c>
      <c r="G14">
        <v>36043</v>
      </c>
      <c r="H14">
        <v>36042.875</v>
      </c>
      <c r="I14" cm="1">
        <f t="array" ref="I14">TREND($X$8:$X$12,$W$8:$W$12,H14)</f>
        <v>5.686108236706235</v>
      </c>
      <c r="J14">
        <f>I14/(2/0.2)*3</f>
        <v>1.7058324710118706</v>
      </c>
      <c r="K14">
        <v>0.10144192332744809</v>
      </c>
      <c r="L14" s="1">
        <f t="shared" si="0"/>
        <v>16.815853002959653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3.36</v>
      </c>
      <c r="V14">
        <v>589397</v>
      </c>
      <c r="W14">
        <v>589396.75</v>
      </c>
      <c r="X14">
        <v>100</v>
      </c>
      <c r="Y14">
        <v>95.174000000000007</v>
      </c>
      <c r="Z14">
        <v>-4.8</v>
      </c>
      <c r="AA14">
        <v>2960</v>
      </c>
      <c r="AB14">
        <v>4762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3.36</v>
      </c>
      <c r="G15">
        <v>23685</v>
      </c>
      <c r="H15">
        <v>23684.928</v>
      </c>
      <c r="I15" cm="1">
        <f t="array" ref="I15">TREND($X$8:$X$12,$W$8:$W$12,H15)</f>
        <v>3.5820872429688899</v>
      </c>
      <c r="J15">
        <f>I15/(2/0.2)*3</f>
        <v>1.074626172890667</v>
      </c>
      <c r="K15">
        <v>8.3732119023053622E-2</v>
      </c>
      <c r="L15" s="1">
        <f t="shared" si="0"/>
        <v>12.834097421979665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3.36</v>
      </c>
      <c r="V15">
        <v>1293603</v>
      </c>
      <c r="W15">
        <v>1293602.5</v>
      </c>
      <c r="X15">
        <v>200</v>
      </c>
      <c r="Y15">
        <v>216.428</v>
      </c>
      <c r="Z15">
        <v>8.1999999999999993</v>
      </c>
      <c r="AA15">
        <v>4906</v>
      </c>
      <c r="AB15">
        <v>9757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3.36</v>
      </c>
      <c r="G16">
        <v>86506</v>
      </c>
      <c r="H16">
        <v>86505.547000000006</v>
      </c>
      <c r="I16" cm="1">
        <f t="array" ref="I16">TREND($X$8:$X$12,$W$8:$W$12,H16)</f>
        <v>14.277706929278851</v>
      </c>
      <c r="J16">
        <f>I16/(2/0.2)*3</f>
        <v>4.2833120787836556</v>
      </c>
      <c r="K16">
        <v>0.22299558014397355</v>
      </c>
      <c r="L16" s="1">
        <f t="shared" si="0"/>
        <v>19.208058186705777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3.36</v>
      </c>
      <c r="V16">
        <v>2712211</v>
      </c>
      <c r="W16">
        <v>2712210.75</v>
      </c>
      <c r="X16">
        <v>500</v>
      </c>
      <c r="Y16">
        <v>493.923</v>
      </c>
      <c r="Z16">
        <v>-1.2</v>
      </c>
      <c r="AA16">
        <v>17845</v>
      </c>
      <c r="AB16">
        <v>19049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3.36</v>
      </c>
      <c r="G17">
        <v>127036</v>
      </c>
      <c r="H17">
        <v>127035.992</v>
      </c>
      <c r="I17" cm="1">
        <f t="array" ref="I17">TREND($X$8:$X$12,$W$8:$W$12,H17)</f>
        <v>21.17827926265403</v>
      </c>
      <c r="J17">
        <f>I17/(2/0.2)*3</f>
        <v>6.3534837787962095</v>
      </c>
      <c r="K17">
        <v>0.1175417454223521</v>
      </c>
      <c r="L17" s="1">
        <f t="shared" si="0"/>
        <v>54.052998413174926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3.36</v>
      </c>
      <c r="G18">
        <v>104877</v>
      </c>
      <c r="H18">
        <v>104877.383</v>
      </c>
      <c r="I18" cm="1">
        <f t="array" ref="I18">TREND($X$8:$X$12,$W$8:$W$12,H18)</f>
        <v>17.405631708168059</v>
      </c>
      <c r="J18">
        <f>I18/(2/0.2)*3</f>
        <v>5.2216895124504177</v>
      </c>
      <c r="K18">
        <v>0.11351678989862611</v>
      </c>
      <c r="L18" s="1">
        <f t="shared" si="0"/>
        <v>45.999270390869427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3.36</v>
      </c>
      <c r="G19">
        <v>112826</v>
      </c>
      <c r="H19">
        <v>112826.25</v>
      </c>
      <c r="I19" cm="1">
        <f t="array" ref="I19">TREND($X$8:$X$12,$W$8:$W$12,H19)</f>
        <v>18.758978104978624</v>
      </c>
      <c r="J19">
        <f>I19/(2/0.2)*3</f>
        <v>5.6276934314935865</v>
      </c>
      <c r="K19">
        <v>8.4537110127798853E-2</v>
      </c>
      <c r="L19" s="1">
        <f t="shared" si="0"/>
        <v>66.570686210895175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3.36</v>
      </c>
      <c r="G20">
        <v>94792</v>
      </c>
      <c r="H20">
        <v>94791.593999999997</v>
      </c>
      <c r="I20" cm="1">
        <f t="array" ref="I20">TREND($X$8:$X$12,$W$8:$W$12,H20)</f>
        <v>15.688460417952522</v>
      </c>
      <c r="J20">
        <f>I20/(2/0.2)*3</f>
        <v>4.7065381253857561</v>
      </c>
      <c r="K20">
        <v>0.1078818521654097</v>
      </c>
      <c r="L20" s="1">
        <f t="shared" si="0"/>
        <v>43.62678273422172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3.36</v>
      </c>
      <c r="G21">
        <v>95583</v>
      </c>
      <c r="H21">
        <v>95582.827999999994</v>
      </c>
      <c r="I21" cm="1">
        <f t="array" ref="I21">TREND($X$8:$X$12,$W$8:$W$12,H21)</f>
        <v>15.823173161659772</v>
      </c>
      <c r="J21">
        <f>I21/(2/0.2)*3</f>
        <v>4.7469519484979319</v>
      </c>
      <c r="K21">
        <v>0.14813140740266978</v>
      </c>
      <c r="L21" s="1">
        <f t="shared" si="0"/>
        <v>32.045546800174243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3.36</v>
      </c>
      <c r="G22">
        <v>66509</v>
      </c>
      <c r="H22">
        <v>66509.210999999996</v>
      </c>
      <c r="I22" cm="1">
        <f t="array" ref="I22">TREND($X$8:$X$12,$W$8:$W$12,H22)</f>
        <v>10.873200441119787</v>
      </c>
      <c r="J22">
        <f>I22/(2/0.2)*3</f>
        <v>3.2619601323359357</v>
      </c>
      <c r="K22">
        <v>6.6022314718659172E-2</v>
      </c>
      <c r="L22" s="1">
        <f t="shared" si="0"/>
        <v>49.406933795582951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3.36</v>
      </c>
      <c r="G23">
        <v>77150</v>
      </c>
      <c r="H23">
        <v>77150.108999999997</v>
      </c>
      <c r="I23" cm="1">
        <f t="array" ref="I23">TREND($X$8:$X$12,$W$8:$W$12,H23)</f>
        <v>12.684882655343372</v>
      </c>
      <c r="J23">
        <f>I23/(2/0.2)*3</f>
        <v>3.8054647966030117</v>
      </c>
      <c r="K23">
        <v>0.22621554456295434</v>
      </c>
      <c r="L23" s="1">
        <f t="shared" si="0"/>
        <v>16.822295762013717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3.36</v>
      </c>
      <c r="G24">
        <v>76028</v>
      </c>
      <c r="H24">
        <v>76027.835999999996</v>
      </c>
      <c r="I24" cm="1">
        <f t="array" ref="I24">TREND($X$8:$X$12,$W$8:$W$12,H24)</f>
        <v>12.4938083650341</v>
      </c>
      <c r="J24">
        <f>I24/(2/0.2)*3</f>
        <v>3.7481425095102301</v>
      </c>
      <c r="K24">
        <v>0.21897062462024752</v>
      </c>
      <c r="L24" s="1">
        <f t="shared" si="0"/>
        <v>17.117101967492179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3.36</v>
      </c>
      <c r="G25">
        <v>83856</v>
      </c>
      <c r="H25">
        <v>83855.75</v>
      </c>
      <c r="I25" cm="1">
        <f t="array" ref="I25">TREND($X$8:$X$12,$W$8:$W$12,H25)</f>
        <v>13.826561725537305</v>
      </c>
      <c r="J25">
        <f>I25/(2/0.2)*3</f>
        <v>4.1479685176611918</v>
      </c>
      <c r="K25">
        <v>0.11271179879388092</v>
      </c>
      <c r="L25" s="1">
        <f t="shared" si="0"/>
        <v>36.801546617552368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3.36</v>
      </c>
      <c r="G26">
        <v>107139</v>
      </c>
      <c r="H26">
        <v>107138.766</v>
      </c>
      <c r="I26" cm="1">
        <f t="array" ref="I26">TREND($X$8:$X$12,$W$8:$W$12,H26)</f>
        <v>17.790646897736416</v>
      </c>
      <c r="J26">
        <f>I26/(2/0.2)*3</f>
        <v>5.3371940693209243</v>
      </c>
      <c r="K26">
        <v>9.1782030070505644E-2</v>
      </c>
      <c r="L26" s="1">
        <f t="shared" si="0"/>
        <v>58.150752006912114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3.36</v>
      </c>
      <c r="G27">
        <v>103682</v>
      </c>
      <c r="H27">
        <v>103681.516</v>
      </c>
      <c r="I27" cm="1">
        <f t="array" ref="I27">TREND($X$8:$X$12,$W$8:$W$12,H27)</f>
        <v>17.20202755986432</v>
      </c>
      <c r="J27">
        <f>I27/(2/0.2)*3</f>
        <v>5.1606082679592955</v>
      </c>
      <c r="K27">
        <v>0.16584121170706426</v>
      </c>
      <c r="L27" s="1">
        <f t="shared" si="0"/>
        <v>31.117767500847751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3.36</v>
      </c>
      <c r="G28">
        <v>84093</v>
      </c>
      <c r="H28">
        <v>84092.702999999994</v>
      </c>
      <c r="I28" cm="1">
        <f t="array" ref="I28">TREND($X$8:$X$12,$W$8:$W$12,H28)</f>
        <v>13.866904517631253</v>
      </c>
      <c r="J28">
        <f>I28/(2/0.2)*3</f>
        <v>4.160071355289376</v>
      </c>
      <c r="K28">
        <v>0.20850574025855992</v>
      </c>
      <c r="L28" s="1">
        <f t="shared" si="0"/>
        <v>19.951831302728799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3.36</v>
      </c>
      <c r="G29">
        <v>99999</v>
      </c>
      <c r="H29">
        <v>99998.641000000003</v>
      </c>
      <c r="I29" cm="1">
        <f t="array" ref="I29">TREND($X$8:$X$12,$W$8:$W$12,H29)</f>
        <v>16.574994095704746</v>
      </c>
      <c r="J29">
        <f>I29/(2/0.2)*3</f>
        <v>4.972498228711423</v>
      </c>
      <c r="K29">
        <v>0.15457133624063138</v>
      </c>
      <c r="L29" s="1">
        <f t="shared" si="0"/>
        <v>32.169601102305329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3.36</v>
      </c>
      <c r="G30">
        <v>112133</v>
      </c>
      <c r="H30">
        <v>112132.92200000001</v>
      </c>
      <c r="I30" cm="1">
        <f t="array" ref="I30">TREND($X$8:$X$12,$W$8:$W$12,H30)</f>
        <v>18.640934495668283</v>
      </c>
      <c r="J30">
        <f>I30/(2/0.2)*3</f>
        <v>5.5922803487004842</v>
      </c>
      <c r="K30">
        <v>0.22863051787718996</v>
      </c>
      <c r="L30" s="1">
        <f t="shared" si="0"/>
        <v>24.45990325624161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3.36</v>
      </c>
      <c r="G31">
        <v>71876</v>
      </c>
      <c r="H31">
        <v>71876.491999999998</v>
      </c>
      <c r="I31" cm="1">
        <f t="array" ref="I31">TREND($X$8:$X$12,$W$8:$W$12,H31)</f>
        <v>11.787015001360867</v>
      </c>
      <c r="J31">
        <f>I31/(2/0.2)*3</f>
        <v>3.5361045004082605</v>
      </c>
      <c r="K31">
        <v>0.19079593595416544</v>
      </c>
      <c r="L31" s="1">
        <f t="shared" si="0"/>
        <v>18.533437217749398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3.36</v>
      </c>
      <c r="G32">
        <v>122890</v>
      </c>
      <c r="H32">
        <v>122889.633</v>
      </c>
      <c r="I32" cm="1">
        <f t="array" ref="I32">TREND($X$8:$X$12,$W$8:$W$12,H32)</f>
        <v>20.472334627710076</v>
      </c>
      <c r="J32">
        <f>I32/(2/0.2)*3</f>
        <v>6.1417003883130228</v>
      </c>
      <c r="K32">
        <v>0.13122659420302052</v>
      </c>
      <c r="L32" s="1">
        <f t="shared" si="0"/>
        <v>46.802253960894582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3.36</v>
      </c>
      <c r="G33">
        <v>102833</v>
      </c>
      <c r="H33">
        <v>102832.539</v>
      </c>
      <c r="I33" cm="1">
        <f t="array" ref="I33">TREND($X$8:$X$12,$W$8:$W$12,H33)</f>
        <v>17.057483694188242</v>
      </c>
      <c r="J33">
        <f>I33/(2/0.2)*3</f>
        <v>5.1172451082564727</v>
      </c>
      <c r="K33">
        <v>0.13927650525047255</v>
      </c>
      <c r="L33" s="1">
        <f t="shared" si="0"/>
        <v>36.741624863818231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3.36</v>
      </c>
      <c r="G34">
        <v>53651</v>
      </c>
      <c r="H34">
        <v>53650.66</v>
      </c>
      <c r="I34" cm="1">
        <f t="array" ref="I34">TREND($X$8:$X$12,$W$8:$W$12,H34)</f>
        <v>8.6839483547463523</v>
      </c>
      <c r="J34">
        <f>I34/(2/0.2)*3</f>
        <v>2.6051845064239059</v>
      </c>
      <c r="K34">
        <v>9.7416967803722054E-2</v>
      </c>
      <c r="L34" s="1">
        <f t="shared" si="0"/>
        <v>26.742615430947218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3.36</v>
      </c>
      <c r="G35">
        <v>64057</v>
      </c>
      <c r="H35">
        <v>64056.707000000002</v>
      </c>
      <c r="I35" cm="1">
        <f t="array" ref="I35">TREND($X$8:$X$12,$W$8:$W$12,H35)</f>
        <v>10.455645656071363</v>
      </c>
      <c r="J35">
        <f>I35/(2/0.2)*3</f>
        <v>3.1366936968214092</v>
      </c>
      <c r="K35">
        <v>7.4877216870856411E-2</v>
      </c>
      <c r="L35" s="1">
        <f t="shared" si="0"/>
        <v>41.891162998637945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3.36</v>
      </c>
      <c r="G36">
        <v>117552</v>
      </c>
      <c r="H36">
        <v>117551.867</v>
      </c>
      <c r="I36" cm="1">
        <f t="array" ref="I36">TREND($X$8:$X$12,$W$8:$W$12,H36)</f>
        <v>19.563545188521068</v>
      </c>
      <c r="J36">
        <f>I36/(2/0.2)*3</f>
        <v>5.8690635565563198</v>
      </c>
      <c r="K36">
        <v>0.14491144298368897</v>
      </c>
      <c r="L36" s="1">
        <f t="shared" si="0"/>
        <v>40.501035913478091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3.36</v>
      </c>
      <c r="G37">
        <v>115772</v>
      </c>
      <c r="H37">
        <v>115771.781</v>
      </c>
      <c r="I37" cm="1">
        <f t="array" ref="I37">TREND($X$8:$X$12,$W$8:$W$12,H37)</f>
        <v>19.260473949045945</v>
      </c>
      <c r="J37">
        <f>I37/(2/0.2)*3</f>
        <v>5.7781421847137828</v>
      </c>
      <c r="K37">
        <v>0.14571643408843418</v>
      </c>
      <c r="L37" s="1">
        <f t="shared" si="0"/>
        <v>39.653332315331518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3.36</v>
      </c>
      <c r="G38">
        <v>125025</v>
      </c>
      <c r="H38">
        <v>125025.391</v>
      </c>
      <c r="I38" cm="1">
        <f t="array" ref="I38">TREND($X$8:$X$12,$W$8:$W$12,H38)</f>
        <v>20.835961342531107</v>
      </c>
      <c r="J38">
        <f>I38/(2/0.2)*3</f>
        <v>6.2507884027593326</v>
      </c>
      <c r="K38">
        <v>0.26405012648597881</v>
      </c>
      <c r="L38" s="1">
        <f t="shared" si="0"/>
        <v>23.672733984057579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3.36</v>
      </c>
      <c r="G39">
        <v>129778</v>
      </c>
      <c r="H39">
        <v>129778.383</v>
      </c>
      <c r="I39" cm="1">
        <f t="array" ref="I39">TREND($X$8:$X$12,$W$8:$W$12,H39)</f>
        <v>21.645189198182671</v>
      </c>
      <c r="J39">
        <f>I39/(2/0.2)*3</f>
        <v>6.4935567594548012</v>
      </c>
      <c r="K39">
        <v>0.17469611385926145</v>
      </c>
      <c r="L39" s="1">
        <f t="shared" si="0"/>
        <v>37.170585057697018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3.36</v>
      </c>
      <c r="G40">
        <v>64145</v>
      </c>
      <c r="H40">
        <v>64145.152000000002</v>
      </c>
      <c r="I40" cm="1">
        <f t="array" ref="I40">TREND($X$8:$X$12,$W$8:$W$12,H40)</f>
        <v>10.470703993576056</v>
      </c>
      <c r="J40">
        <f>I40/(2/0.2)*3</f>
        <v>3.141211198072817</v>
      </c>
      <c r="K40">
        <v>0.1175417454223521</v>
      </c>
      <c r="L40" s="1">
        <f t="shared" si="0"/>
        <v>26.724217738861945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3.36</v>
      </c>
      <c r="G41">
        <v>59131</v>
      </c>
      <c r="H41">
        <v>59130.766000000003</v>
      </c>
      <c r="I41" cm="1">
        <f t="array" ref="I41">TREND($X$8:$X$12,$W$8:$W$12,H41)</f>
        <v>9.6169721063376148</v>
      </c>
      <c r="J41">
        <f>I41/(2/0.2)*3</f>
        <v>2.8850916319012843</v>
      </c>
      <c r="K41">
        <v>0.14813140740266978</v>
      </c>
      <c r="L41" s="1">
        <f t="shared" si="0"/>
        <v>19.476569368295127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3.36</v>
      </c>
      <c r="G42">
        <v>117964</v>
      </c>
      <c r="H42">
        <v>117963.516</v>
      </c>
      <c r="I42" cm="1">
        <f t="array" ref="I42">TREND($X$8:$X$12,$W$8:$W$12,H42)</f>
        <v>19.633631112829612</v>
      </c>
      <c r="J42">
        <f>I42/(2/0.2)*3</f>
        <v>5.8900893338488842</v>
      </c>
      <c r="K42">
        <v>0.11673675431760691</v>
      </c>
      <c r="L42" s="1">
        <f t="shared" si="0"/>
        <v>50.45616839597627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3.36</v>
      </c>
      <c r="G43">
        <v>66126</v>
      </c>
      <c r="H43">
        <v>66126.164000000004</v>
      </c>
      <c r="I43" cm="1">
        <f t="array" ref="I43">TREND($X$8:$X$12,$W$8:$W$12,H43)</f>
        <v>10.80798419366476</v>
      </c>
      <c r="J43">
        <f>I43/(2/0.2)*3</f>
        <v>3.2423952580994277</v>
      </c>
      <c r="K43">
        <v>8.6147092337289247E-2</v>
      </c>
      <c r="L43" s="1">
        <f t="shared" si="0"/>
        <v>37.637895489316925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3.36</v>
      </c>
      <c r="G44">
        <v>105804</v>
      </c>
      <c r="H44">
        <v>105804.406</v>
      </c>
      <c r="I44" cm="1">
        <f t="array" ref="I44">TREND($X$8:$X$12,$W$8:$W$12,H44)</f>
        <v>17.56346341384517</v>
      </c>
      <c r="J44">
        <f>I44/(2/0.2)*3</f>
        <v>5.2690390241535514</v>
      </c>
      <c r="K44">
        <v>8.9367056756270047E-2</v>
      </c>
      <c r="L44" s="1">
        <f t="shared" si="0"/>
        <v>58.959522842111198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3.36</v>
      </c>
      <c r="G45">
        <v>92797</v>
      </c>
      <c r="H45">
        <v>92796.539000000004</v>
      </c>
      <c r="I45" cm="1">
        <f t="array" ref="I45">TREND($X$8:$X$12,$W$8:$W$12,H45)</f>
        <v>15.348789305618036</v>
      </c>
      <c r="J45">
        <f>I45/(2/0.2)*3</f>
        <v>4.6046367916854107</v>
      </c>
      <c r="K45">
        <v>9.3392012279996037E-2</v>
      </c>
      <c r="L45" s="1">
        <f t="shared" si="0"/>
        <v>49.30439637471752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3.36</v>
      </c>
      <c r="G46">
        <v>79408</v>
      </c>
      <c r="H46">
        <v>79408.085999999996</v>
      </c>
      <c r="I46" cm="1">
        <f t="array" ref="I46">TREND($X$8:$X$12,$W$8:$W$12,H46)</f>
        <v>13.069317951220274</v>
      </c>
      <c r="J46">
        <f>I46/(2/0.2)*3</f>
        <v>3.9207953853660822</v>
      </c>
      <c r="K46">
        <v>0.18918595374467503</v>
      </c>
      <c r="L46" s="1">
        <f t="shared" si="0"/>
        <v>20.724558603634915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3.36</v>
      </c>
      <c r="G47">
        <v>71032</v>
      </c>
      <c r="H47">
        <v>71031.804999999993</v>
      </c>
      <c r="I47" cm="1">
        <f t="array" ref="I47">TREND($X$8:$X$12,$W$8:$W$12,H47)</f>
        <v>11.643201536135855</v>
      </c>
      <c r="J47">
        <f>I47/(2/0.2)*3</f>
        <v>3.4929604608407563</v>
      </c>
      <c r="K47">
        <v>9.2587021175250833E-2</v>
      </c>
      <c r="L47" s="1">
        <f t="shared" si="0"/>
        <v>37.726243014441522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3.36</v>
      </c>
      <c r="G48">
        <v>58034</v>
      </c>
      <c r="H48">
        <v>58034.097999999998</v>
      </c>
      <c r="I48" cm="1">
        <f t="array" ref="I48">TREND($X$8:$X$12,$W$8:$W$12,H48)</f>
        <v>9.4302572341052002</v>
      </c>
      <c r="J48">
        <f>I48/(2/0.2)*3</f>
        <v>2.8290771702315602</v>
      </c>
      <c r="K48">
        <v>0.14974138961216016</v>
      </c>
      <c r="L48" s="1">
        <f t="shared" si="0"/>
        <v>18.893087459379483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3.36</v>
      </c>
      <c r="G49">
        <v>101931</v>
      </c>
      <c r="H49">
        <v>101930.883</v>
      </c>
      <c r="I49" cm="1">
        <f t="array" ref="I49">TREND($X$8:$X$12,$W$8:$W$12,H49)</f>
        <v>16.903970885537319</v>
      </c>
      <c r="J49">
        <f>I49/(2/0.2)*3</f>
        <v>5.071191265661195</v>
      </c>
      <c r="K49">
        <v>0.19965083810636269</v>
      </c>
      <c r="L49" s="1">
        <f t="shared" si="0"/>
        <v>25.400300413262229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3.36</v>
      </c>
      <c r="G50">
        <v>126164</v>
      </c>
      <c r="H50">
        <v>126163.867</v>
      </c>
      <c r="I50" cm="1">
        <f t="array" ref="I50">TREND($X$8:$X$12,$W$8:$W$12,H50)</f>
        <v>21.029794299159434</v>
      </c>
      <c r="J50">
        <f>I50/(2/0.2)*3</f>
        <v>6.3089382897478297</v>
      </c>
      <c r="K50">
        <v>0.22058060682973793</v>
      </c>
      <c r="L50" s="1">
        <f t="shared" si="0"/>
        <v>28.601509354888943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3.36</v>
      </c>
      <c r="G51">
        <v>161492</v>
      </c>
      <c r="H51">
        <v>161492.15599999999</v>
      </c>
      <c r="I51" cm="1">
        <f t="array" ref="I51">TREND($X$8:$X$12,$W$8:$W$12,H51)</f>
        <v>27.044665679399216</v>
      </c>
      <c r="J51">
        <f>I51/(2/0.2)*3</f>
        <v>8.1133997038197663</v>
      </c>
      <c r="K51">
        <v>0.12720163867929454</v>
      </c>
      <c r="L51" s="1">
        <f t="shared" si="0"/>
        <v>63.78376715944335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3.36</v>
      </c>
      <c r="G52">
        <v>124907</v>
      </c>
      <c r="H52">
        <v>124906.82</v>
      </c>
      <c r="I52" cm="1">
        <f t="array" ref="I52">TREND($X$8:$X$12,$W$8:$W$12,H52)</f>
        <v>20.815773857243428</v>
      </c>
      <c r="J52">
        <f>I52/(2/0.2)*3</f>
        <v>6.2447321571730292</v>
      </c>
      <c r="K52">
        <v>0.1594012828691026</v>
      </c>
      <c r="L52" s="1">
        <f t="shared" si="0"/>
        <v>39.176172517388636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3.36</v>
      </c>
      <c r="G53">
        <v>179140</v>
      </c>
      <c r="H53">
        <v>179140.266</v>
      </c>
      <c r="I53" cm="1">
        <f t="array" ref="I53">TREND($X$8:$X$12,$W$8:$W$12,H53)</f>
        <v>30.049371391422902</v>
      </c>
      <c r="J53">
        <f>I53/(2/0.2)*3</f>
        <v>9.0148114174268699</v>
      </c>
      <c r="K53">
        <v>0.14491144298368897</v>
      </c>
      <c r="L53" s="1">
        <f t="shared" si="0"/>
        <v>62.209106691743898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3.36</v>
      </c>
      <c r="G54">
        <v>107815</v>
      </c>
      <c r="H54">
        <v>107814.531</v>
      </c>
      <c r="I54" cm="1">
        <f t="array" ref="I54">TREND($X$8:$X$12,$W$8:$W$12,H54)</f>
        <v>17.905700291866765</v>
      </c>
      <c r="J54">
        <f>I54/(2/0.2)*3</f>
        <v>5.3717100875600288</v>
      </c>
      <c r="K54">
        <v>0.24553533107683917</v>
      </c>
      <c r="L54" s="1">
        <f t="shared" si="0"/>
        <v>21.877544319187923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3.36</v>
      </c>
      <c r="G55">
        <v>87819</v>
      </c>
      <c r="H55">
        <v>87819.07</v>
      </c>
      <c r="I55" cm="1">
        <f t="array" ref="I55">TREND($X$8:$X$12,$W$8:$W$12,H55)</f>
        <v>14.501342778158675</v>
      </c>
      <c r="J55">
        <f>I55/(2/0.2)*3</f>
        <v>4.3504028334476024</v>
      </c>
      <c r="K55">
        <v>0.3002747261995129</v>
      </c>
      <c r="L55" s="1">
        <f t="shared" si="0"/>
        <v>14.488075265305694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3.36</v>
      </c>
      <c r="G56">
        <v>118548</v>
      </c>
      <c r="H56">
        <v>118548.133</v>
      </c>
      <c r="I56" cm="1">
        <f t="array" ref="I56">TREND($X$8:$X$12,$W$8:$W$12,H56)</f>
        <v>19.733165966094134</v>
      </c>
      <c r="J56">
        <f>I56/(2/0.2)*3</f>
        <v>5.9199497898282409</v>
      </c>
      <c r="K56">
        <v>0.17147614944028067</v>
      </c>
      <c r="L56" s="1">
        <f t="shared" si="0"/>
        <v>34.523458855075113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3.36</v>
      </c>
      <c r="G57">
        <v>96056</v>
      </c>
      <c r="H57">
        <v>96055.718999999997</v>
      </c>
      <c r="I57" cm="1">
        <f t="array" ref="I57">TREND($X$8:$X$12,$W$8:$W$12,H57)</f>
        <v>15.903685935484537</v>
      </c>
      <c r="J57">
        <f>I57/(2/0.2)*3</f>
        <v>4.7711057806453612</v>
      </c>
      <c r="K57">
        <v>0.18113604269722305</v>
      </c>
      <c r="L57" s="1">
        <f t="shared" si="0"/>
        <v>26.339902923795659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3.36</v>
      </c>
      <c r="G58">
        <v>193816</v>
      </c>
      <c r="H58">
        <v>193815.70300000001</v>
      </c>
      <c r="I58" cm="1">
        <f t="array" ref="I58">TREND($X$8:$X$12,$W$8:$W$12,H58)</f>
        <v>32.547960157038247</v>
      </c>
      <c r="J58">
        <f>I58/(2/0.2)*3</f>
        <v>9.7643880471114741</v>
      </c>
      <c r="K58">
        <v>8.2927127918308433E-2</v>
      </c>
      <c r="L58" s="1">
        <f t="shared" si="0"/>
        <v>117.74660828396685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3.36</v>
      </c>
      <c r="G59">
        <v>134744</v>
      </c>
      <c r="H59">
        <v>134744.016</v>
      </c>
      <c r="I59" cm="1">
        <f t="array" ref="I59">TREND($X$8:$X$12,$W$8:$W$12,H59)</f>
        <v>22.490620569525738</v>
      </c>
      <c r="J59">
        <f>I59/(2/0.2)*3</f>
        <v>6.747186170857721</v>
      </c>
      <c r="K59">
        <v>0.11593176321286171</v>
      </c>
      <c r="L59" s="1">
        <f t="shared" si="0"/>
        <v>58.199633852452045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3.36</v>
      </c>
      <c r="G60">
        <v>82883</v>
      </c>
      <c r="H60">
        <v>82882.664000000004</v>
      </c>
      <c r="I60" cm="1">
        <f t="array" ref="I60">TREND($X$8:$X$12,$W$8:$W$12,H60)</f>
        <v>13.660887493991249</v>
      </c>
      <c r="J60">
        <f>I60/(2/0.2)*3</f>
        <v>4.0982662481973744</v>
      </c>
      <c r="K60">
        <v>0.17469611385926145</v>
      </c>
      <c r="L60" s="1">
        <f t="shared" si="0"/>
        <v>23.459401343632731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3.36</v>
      </c>
      <c r="G61">
        <v>113770</v>
      </c>
      <c r="H61">
        <v>113770.492</v>
      </c>
      <c r="I61" cm="1">
        <f t="array" ref="I61">TREND($X$8:$X$12,$W$8:$W$12,H61)</f>
        <v>18.919741457594441</v>
      </c>
      <c r="J61">
        <f>I61/(2/0.2)*3</f>
        <v>5.6759224372783326</v>
      </c>
      <c r="K61">
        <v>0.17952606048773259</v>
      </c>
      <c r="L61" s="1">
        <f t="shared" si="0"/>
        <v>31.616147660446103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3.36</v>
      </c>
      <c r="G62">
        <v>79526</v>
      </c>
      <c r="H62">
        <v>79525.601999999999</v>
      </c>
      <c r="I62" cm="1">
        <f t="array" ref="I62">TREND($X$8:$X$12,$W$8:$W$12,H62)</f>
        <v>13.089325815884207</v>
      </c>
      <c r="J62">
        <f>I62/(2/0.2)*3</f>
        <v>3.9267977447652624</v>
      </c>
      <c r="K62">
        <v>0.19723586479212707</v>
      </c>
      <c r="L62" s="1">
        <f t="shared" si="0"/>
        <v>19.909146589053847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3.36</v>
      </c>
      <c r="G63">
        <v>108004</v>
      </c>
      <c r="H63">
        <v>108004.469</v>
      </c>
      <c r="I63" cm="1">
        <f t="array" ref="I63">TREND($X$8:$X$12,$W$8:$W$12,H63)</f>
        <v>17.938038473889108</v>
      </c>
      <c r="J63">
        <f>I63/(2/0.2)*3</f>
        <v>5.3814115421667328</v>
      </c>
      <c r="K63">
        <v>0.28417490410460888</v>
      </c>
      <c r="L63" s="1">
        <f t="shared" si="0"/>
        <v>18.936969677610087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3.36</v>
      </c>
      <c r="G64">
        <v>77543</v>
      </c>
      <c r="H64">
        <v>77542.835999999996</v>
      </c>
      <c r="I64" cm="1">
        <f t="array" ref="I64">TREND($X$8:$X$12,$W$8:$W$12,H64)</f>
        <v>12.751746985867486</v>
      </c>
      <c r="J64">
        <f>I64/(2/0.2)*3</f>
        <v>3.8255240957602461</v>
      </c>
      <c r="K64">
        <v>0.17872106938298743</v>
      </c>
      <c r="L64" s="1">
        <f t="shared" si="0"/>
        <v>21.404997793306624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3.36</v>
      </c>
      <c r="G65">
        <v>79616</v>
      </c>
      <c r="H65">
        <v>79615.601999999999</v>
      </c>
      <c r="I65" cm="1">
        <f t="array" ref="I65">TREND($X$8:$X$12,$W$8:$W$12,H65)</f>
        <v>13.104648902270348</v>
      </c>
      <c r="J65">
        <f>I65/(2/0.2)*3</f>
        <v>3.9313946706811045</v>
      </c>
      <c r="K65">
        <v>0.19884584700161748</v>
      </c>
      <c r="L65" s="1">
        <f t="shared" si="0"/>
        <v>19.771067537805429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3.36</v>
      </c>
      <c r="G66">
        <v>169176</v>
      </c>
      <c r="H66">
        <v>169175.71900000001</v>
      </c>
      <c r="I66" cm="1">
        <f t="array" ref="I66">TREND($X$8:$X$12,$W$8:$W$12,H66)</f>
        <v>28.352842341647687</v>
      </c>
      <c r="J66">
        <f>I66/(2/0.2)*3</f>
        <v>8.5058527024943054</v>
      </c>
      <c r="K66">
        <v>0.17469611385926145</v>
      </c>
      <c r="L66" s="1">
        <f t="shared" si="0"/>
        <v>48.68942138774068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3.36</v>
      </c>
      <c r="G67">
        <v>52141</v>
      </c>
      <c r="H67">
        <v>52140.73</v>
      </c>
      <c r="I67" cm="1">
        <f t="array" ref="I67">TREND($X$8:$X$12,$W$8:$W$12,H67)</f>
        <v>8.4268729344460525</v>
      </c>
      <c r="J67">
        <f>I67/(2/0.2)*3</f>
        <v>2.5280618803338157</v>
      </c>
      <c r="K67">
        <v>0.24875529549582001</v>
      </c>
      <c r="L67" s="1">
        <f t="shared" si="0"/>
        <v>10.162846484513517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3.36</v>
      </c>
      <c r="G68">
        <v>61877</v>
      </c>
      <c r="H68">
        <v>61877.281000000003</v>
      </c>
      <c r="I68" cm="1">
        <f t="array" ref="I68">TREND($X$8:$X$12,$W$8:$W$12,H68)</f>
        <v>10.084584179735771</v>
      </c>
      <c r="J68">
        <f>I68/(2/0.2)*3</f>
        <v>3.0253752539207315</v>
      </c>
      <c r="K68">
        <v>0.18274602490671343</v>
      </c>
      <c r="L68" s="1">
        <f t="shared" si="0"/>
        <v>16.555081050135552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3.36</v>
      </c>
      <c r="G69">
        <v>80774</v>
      </c>
      <c r="H69">
        <v>80774.289000000004</v>
      </c>
      <c r="I69" cm="1">
        <f t="array" ref="I69">TREND($X$8:$X$12,$W$8:$W$12,H69)</f>
        <v>13.301922913331452</v>
      </c>
      <c r="J69">
        <f>I69/(2/0.2)*3</f>
        <v>3.9905768739994354</v>
      </c>
      <c r="K69">
        <v>0.10063693222270288</v>
      </c>
      <c r="L69" s="1">
        <f t="shared" si="0"/>
        <v>39.653204701913531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3.36</v>
      </c>
      <c r="G70">
        <v>140719</v>
      </c>
      <c r="H70">
        <v>140719.234</v>
      </c>
      <c r="I70" cm="1">
        <f t="array" ref="I70">TREND($X$8:$X$12,$W$8:$W$12,H70)</f>
        <v>23.507940364970501</v>
      </c>
      <c r="J70">
        <f>I70/(2/0.2)*3</f>
        <v>7.052382109491151</v>
      </c>
      <c r="K70">
        <v>0.12156670094607813</v>
      </c>
      <c r="L70" s="1">
        <f t="shared" si="0"/>
        <v>58.012449582055289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3.36</v>
      </c>
      <c r="G71">
        <v>74020</v>
      </c>
      <c r="H71">
        <v>74019.875</v>
      </c>
      <c r="I71" cm="1">
        <f t="array" ref="I71">TREND($X$8:$X$12,$W$8:$W$12,H71)</f>
        <v>12.15193992211184</v>
      </c>
      <c r="J71">
        <f>I71/(2/0.2)*3</f>
        <v>3.6455819766335522</v>
      </c>
      <c r="K71">
        <v>8.8562065651524843E-2</v>
      </c>
      <c r="L71" s="1">
        <f t="shared" si="0"/>
        <v>41.164147988352433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3.36</v>
      </c>
      <c r="G72">
        <v>51914</v>
      </c>
      <c r="H72">
        <v>51913.917999999998</v>
      </c>
      <c r="I72" cm="1">
        <f t="array" ref="I72">TREND($X$8:$X$12,$W$8:$W$12,H72)</f>
        <v>8.3882567136747905</v>
      </c>
      <c r="J72">
        <f>I72/(2/0.2)*3</f>
        <v>2.5164770141024375</v>
      </c>
      <c r="K72">
        <v>0.13766652304098212</v>
      </c>
      <c r="L72" s="1">
        <f t="shared" si="0"/>
        <v>18.279513119927525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3.36</v>
      </c>
      <c r="G73">
        <v>24969</v>
      </c>
      <c r="H73">
        <v>24969.294999999998</v>
      </c>
      <c r="I73" cm="1">
        <f t="array" ref="I73">TREND($X$8:$X$12,$W$8:$W$12,H73)</f>
        <v>3.8007590928856647</v>
      </c>
      <c r="J73">
        <f>I73/(2/0.2)*3</f>
        <v>1.1402277278656996</v>
      </c>
      <c r="K73">
        <v>8.2122136813563229E-2</v>
      </c>
      <c r="L73" s="1">
        <f t="shared" ref="L73" si="1">J73/K73</f>
        <v>13.884535548000748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3.35</v>
      </c>
      <c r="G74">
        <v>4249</v>
      </c>
      <c r="H74">
        <v>4249.1620000000003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E316-1048-45A7-A2EE-A57CE0F3A5E9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276</v>
      </c>
      <c r="P3" t="s">
        <v>94</v>
      </c>
    </row>
    <row r="5" spans="1:28" x14ac:dyDescent="0.3">
      <c r="A5" t="s">
        <v>277</v>
      </c>
      <c r="P5" t="s">
        <v>58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3.44</v>
      </c>
      <c r="G8">
        <v>11936</v>
      </c>
      <c r="H8">
        <v>11936.186</v>
      </c>
      <c r="I8" cm="1">
        <f t="array" ref="I8">TREND($X$8:$X$12,$W$8:$W$12,H8)</f>
        <v>1.5817873696967615</v>
      </c>
      <c r="J8">
        <f>I8/(2/0.2)*3</f>
        <v>0.47453621090902848</v>
      </c>
      <c r="K8">
        <v>0.10224691443219328</v>
      </c>
      <c r="L8" s="1">
        <f>J8/K8</f>
        <v>4.6410809905048529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3.36</v>
      </c>
      <c r="V8">
        <v>8303</v>
      </c>
      <c r="W8">
        <v>8303.0959999999995</v>
      </c>
      <c r="X8">
        <v>1</v>
      </c>
      <c r="Y8">
        <v>1.1919999999999999</v>
      </c>
      <c r="Z8">
        <v>19.2</v>
      </c>
      <c r="AA8">
        <v>58</v>
      </c>
      <c r="AB8">
        <v>58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3.44</v>
      </c>
      <c r="G9">
        <v>19009</v>
      </c>
      <c r="H9">
        <v>19008.963</v>
      </c>
      <c r="I9" cm="1">
        <f t="array" ref="I9">TREND($X$8:$X$12,$W$8:$W$12,H9)</f>
        <v>2.7859737359291654</v>
      </c>
      <c r="J9">
        <f>I9/(2/0.2)*3</f>
        <v>0.83579212077874954</v>
      </c>
      <c r="K9">
        <v>0.12639664757454935</v>
      </c>
      <c r="L9" s="1">
        <f t="shared" ref="L9:L72" si="0">J9/K9</f>
        <v>6.6124548144031694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3.36</v>
      </c>
      <c r="V9">
        <v>12565</v>
      </c>
      <c r="W9">
        <v>12565.313</v>
      </c>
      <c r="X9">
        <v>2</v>
      </c>
      <c r="Y9">
        <v>1.8640000000000001</v>
      </c>
      <c r="Z9">
        <v>-6.8</v>
      </c>
      <c r="AA9">
        <v>156</v>
      </c>
      <c r="AB9">
        <v>56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3.44</v>
      </c>
      <c r="G10">
        <v>13593</v>
      </c>
      <c r="H10">
        <v>13592.880999999999</v>
      </c>
      <c r="I10" cm="1">
        <f t="array" ref="I10">TREND($X$8:$X$12,$W$8:$W$12,H10)</f>
        <v>1.8638504874799735</v>
      </c>
      <c r="J10">
        <f>I10/(2/0.2)*3</f>
        <v>0.5591551462439921</v>
      </c>
      <c r="K10">
        <v>0.15054638071690538</v>
      </c>
      <c r="L10" s="1">
        <f t="shared" si="0"/>
        <v>3.7141719620311178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3.36</v>
      </c>
      <c r="V10">
        <v>32711</v>
      </c>
      <c r="W10">
        <v>32710.937999999998</v>
      </c>
      <c r="X10">
        <v>5</v>
      </c>
      <c r="Y10">
        <v>5.0419999999999998</v>
      </c>
      <c r="Z10">
        <v>0.8</v>
      </c>
      <c r="AA10">
        <v>293</v>
      </c>
      <c r="AB10">
        <v>384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3.44</v>
      </c>
      <c r="G11">
        <v>25453</v>
      </c>
      <c r="H11">
        <v>25452.561000000002</v>
      </c>
      <c r="I11" cm="1">
        <f t="array" ref="I11">TREND($X$8:$X$12,$W$8:$W$12,H11)</f>
        <v>3.8830382780577226</v>
      </c>
      <c r="J11">
        <f>I11/(2/0.2)*3</f>
        <v>1.1649114834173169</v>
      </c>
      <c r="K11">
        <v>0.14893639850741497</v>
      </c>
      <c r="L11" s="1">
        <f t="shared" si="0"/>
        <v>7.8215365423873902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3.36</v>
      </c>
      <c r="V11">
        <v>64284</v>
      </c>
      <c r="W11">
        <v>64283.745999999999</v>
      </c>
      <c r="X11">
        <v>10</v>
      </c>
      <c r="Y11">
        <v>10.034000000000001</v>
      </c>
      <c r="Z11">
        <v>0.3</v>
      </c>
      <c r="AA11">
        <v>478</v>
      </c>
      <c r="AB11">
        <v>711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3.44</v>
      </c>
      <c r="G12">
        <v>14197</v>
      </c>
      <c r="H12">
        <v>14197.016</v>
      </c>
      <c r="I12" cm="1">
        <f t="array" ref="I12">TREND($X$8:$X$12,$W$8:$W$12,H12)</f>
        <v>1.9667084074121042</v>
      </c>
      <c r="J12">
        <f>I12/(2/0.2)*3</f>
        <v>0.59001252222363121</v>
      </c>
      <c r="K12">
        <v>4.0262599366812736E-2</v>
      </c>
      <c r="L12" s="1">
        <f t="shared" si="0"/>
        <v>14.654109061571445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3.36</v>
      </c>
      <c r="V12">
        <v>118557</v>
      </c>
      <c r="W12">
        <v>118557.406</v>
      </c>
      <c r="X12">
        <v>20</v>
      </c>
      <c r="Y12">
        <v>18.646999999999998</v>
      </c>
      <c r="Z12">
        <v>-6.8</v>
      </c>
      <c r="AA12">
        <v>662</v>
      </c>
      <c r="AB12">
        <v>793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3.44</v>
      </c>
      <c r="G13">
        <v>9597</v>
      </c>
      <c r="H13">
        <v>9597.384</v>
      </c>
      <c r="I13" cm="1">
        <f t="array" ref="I13">TREND($X$8:$X$12,$W$8:$W$12,H13)</f>
        <v>1.1835910909625278</v>
      </c>
      <c r="J13">
        <f>I13/(2/0.2)*3</f>
        <v>0.35507732728875829</v>
      </c>
      <c r="K13">
        <v>0.11351678989862611</v>
      </c>
      <c r="L13" s="1">
        <f t="shared" si="0"/>
        <v>3.1279718850916503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3.36</v>
      </c>
      <c r="V13">
        <v>286257</v>
      </c>
      <c r="W13">
        <v>286256.84399999998</v>
      </c>
      <c r="X13">
        <v>50</v>
      </c>
      <c r="Y13">
        <v>45.524999999999999</v>
      </c>
      <c r="Z13">
        <v>-8.9</v>
      </c>
      <c r="AA13">
        <v>1828</v>
      </c>
      <c r="AB13">
        <v>2903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3.44</v>
      </c>
      <c r="G14">
        <v>11108</v>
      </c>
      <c r="H14">
        <v>11108.008</v>
      </c>
      <c r="I14" cm="1">
        <f t="array" ref="I14">TREND($X$8:$X$12,$W$8:$W$12,H14)</f>
        <v>1.4407846692845163</v>
      </c>
      <c r="J14">
        <f>I14/(2/0.2)*3</f>
        <v>0.43223540078535494</v>
      </c>
      <c r="K14">
        <v>0.10144192332744809</v>
      </c>
      <c r="L14" s="1">
        <f t="shared" si="0"/>
        <v>4.2609148822043377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3.36</v>
      </c>
      <c r="V14">
        <v>589397</v>
      </c>
      <c r="W14">
        <v>589396.75</v>
      </c>
      <c r="X14">
        <v>100</v>
      </c>
      <c r="Y14">
        <v>95.174000000000007</v>
      </c>
      <c r="Z14">
        <v>-4.8</v>
      </c>
      <c r="AA14">
        <v>2960</v>
      </c>
      <c r="AB14">
        <v>4762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3.44</v>
      </c>
      <c r="G15">
        <v>7197</v>
      </c>
      <c r="H15">
        <v>7196.7439999999997</v>
      </c>
      <c r="I15" cm="1">
        <f t="array" ref="I15">TREND($X$8:$X$12,$W$8:$W$12,H15)</f>
        <v>0.77486648982889128</v>
      </c>
      <c r="J15">
        <f>I15/(2/0.2)*3</f>
        <v>0.23245994694866737</v>
      </c>
      <c r="K15">
        <v>8.3732119023053622E-2</v>
      </c>
      <c r="L15" s="1">
        <f t="shared" si="0"/>
        <v>2.7762338951993453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3.36</v>
      </c>
      <c r="V15">
        <v>1293603</v>
      </c>
      <c r="W15">
        <v>1293602.5</v>
      </c>
      <c r="X15">
        <v>200</v>
      </c>
      <c r="Y15">
        <v>216.428</v>
      </c>
      <c r="Z15">
        <v>8.1999999999999993</v>
      </c>
      <c r="AA15">
        <v>4906</v>
      </c>
      <c r="AB15">
        <v>9757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3.44</v>
      </c>
      <c r="G16">
        <v>22309</v>
      </c>
      <c r="H16">
        <v>22308.953000000001</v>
      </c>
      <c r="I16" cm="1">
        <f t="array" ref="I16">TREND($X$8:$X$12,$W$8:$W$12,H16)</f>
        <v>3.3478185341892086</v>
      </c>
      <c r="J16">
        <f>I16/(2/0.2)*3</f>
        <v>1.0043455602567626</v>
      </c>
      <c r="K16">
        <v>0.22299558014397355</v>
      </c>
      <c r="L16" s="1">
        <f t="shared" si="0"/>
        <v>4.5038810168718273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3.36</v>
      </c>
      <c r="V16">
        <v>2712211</v>
      </c>
      <c r="W16">
        <v>2712210.75</v>
      </c>
      <c r="X16">
        <v>500</v>
      </c>
      <c r="Y16">
        <v>493.923</v>
      </c>
      <c r="Z16">
        <v>-1.2</v>
      </c>
      <c r="AA16">
        <v>17845</v>
      </c>
      <c r="AB16">
        <v>19049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3.44</v>
      </c>
      <c r="G17">
        <v>33705</v>
      </c>
      <c r="H17">
        <v>33704.733999999997</v>
      </c>
      <c r="I17" cm="1">
        <f t="array" ref="I17">TREND($X$8:$X$12,$W$8:$W$12,H17)</f>
        <v>5.2880244975286814</v>
      </c>
      <c r="J17">
        <f>I17/(2/0.2)*3</f>
        <v>1.5864073492586046</v>
      </c>
      <c r="K17">
        <v>0.1175417454223521</v>
      </c>
      <c r="L17" s="1">
        <f t="shared" si="0"/>
        <v>13.496544087875426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3.44</v>
      </c>
      <c r="G18">
        <v>39661</v>
      </c>
      <c r="H18">
        <v>39661.171999999999</v>
      </c>
      <c r="I18" cm="1">
        <f t="array" ref="I18">TREND($X$8:$X$12,$W$8:$W$12,H18)</f>
        <v>6.3021468756142065</v>
      </c>
      <c r="J18">
        <f>I18/(2/0.2)*3</f>
        <v>1.8906440626842618</v>
      </c>
      <c r="K18">
        <v>0.11351678989862611</v>
      </c>
      <c r="L18" s="1">
        <f t="shared" si="0"/>
        <v>16.655193160171844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3.44</v>
      </c>
      <c r="G19">
        <v>29201</v>
      </c>
      <c r="H19">
        <v>29200.918000000001</v>
      </c>
      <c r="I19" cm="1">
        <f t="array" ref="I19">TREND($X$8:$X$12,$W$8:$W$12,H19)</f>
        <v>4.5212204793588233</v>
      </c>
      <c r="J19">
        <f>I19/(2/0.2)*3</f>
        <v>1.3563661438076471</v>
      </c>
      <c r="K19">
        <v>8.4537110127798853E-2</v>
      </c>
      <c r="L19" s="1">
        <f t="shared" si="0"/>
        <v>16.044623973508941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3.44</v>
      </c>
      <c r="G20">
        <v>30386</v>
      </c>
      <c r="H20">
        <v>30385.793000000001</v>
      </c>
      <c r="I20" cm="1">
        <f t="array" ref="I20">TREND($X$8:$X$12,$W$8:$W$12,H20)</f>
        <v>4.7229531680452634</v>
      </c>
      <c r="J20">
        <f>I20/(2/0.2)*3</f>
        <v>1.4168859504135791</v>
      </c>
      <c r="K20">
        <v>0.1078818521654097</v>
      </c>
      <c r="L20" s="1">
        <f t="shared" si="0"/>
        <v>13.133682097347945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3.44</v>
      </c>
      <c r="G21">
        <v>26716</v>
      </c>
      <c r="H21">
        <v>26716.018</v>
      </c>
      <c r="I21" cm="1">
        <f t="array" ref="I21">TREND($X$8:$X$12,$W$8:$W$12,H21)</f>
        <v>4.0981500642374495</v>
      </c>
      <c r="J21">
        <f>I21/(2/0.2)*3</f>
        <v>1.229445019271235</v>
      </c>
      <c r="K21">
        <v>0.14813140740266978</v>
      </c>
      <c r="L21" s="1">
        <f t="shared" si="0"/>
        <v>8.2996917455134955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3.44</v>
      </c>
      <c r="G22">
        <v>22603</v>
      </c>
      <c r="H22">
        <v>22602.877</v>
      </c>
      <c r="I22" cm="1">
        <f t="array" ref="I22">TREND($X$8:$X$12,$W$8:$W$12,H22)</f>
        <v>3.3978610102221007</v>
      </c>
      <c r="J22">
        <f>I22/(2/0.2)*3</f>
        <v>1.0193583030666302</v>
      </c>
      <c r="K22">
        <v>6.6022314718659172E-2</v>
      </c>
      <c r="L22" s="1">
        <f t="shared" si="0"/>
        <v>15.439602616333898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3.44</v>
      </c>
      <c r="G23">
        <v>28121</v>
      </c>
      <c r="H23">
        <v>28121.361000000001</v>
      </c>
      <c r="I23" cm="1">
        <f t="array" ref="I23">TREND($X$8:$X$12,$W$8:$W$12,H23)</f>
        <v>4.3374188663614452</v>
      </c>
      <c r="J23">
        <f>I23/(2/0.2)*3</f>
        <v>1.3012256599084338</v>
      </c>
      <c r="K23">
        <v>0.22621554456295434</v>
      </c>
      <c r="L23" s="1">
        <f t="shared" si="0"/>
        <v>5.7521496253601221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3.44</v>
      </c>
      <c r="G24">
        <v>22738</v>
      </c>
      <c r="H24">
        <v>22738.105</v>
      </c>
      <c r="I24" cm="1">
        <f t="array" ref="I24">TREND($X$8:$X$12,$W$8:$W$12,H24)</f>
        <v>3.420884458286825</v>
      </c>
      <c r="J24">
        <f>I24/(2/0.2)*3</f>
        <v>1.0262653374860475</v>
      </c>
      <c r="K24">
        <v>0.21897062462024752</v>
      </c>
      <c r="L24" s="1">
        <f t="shared" si="0"/>
        <v>4.686771749707801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3.44</v>
      </c>
      <c r="G25">
        <v>27970</v>
      </c>
      <c r="H25">
        <v>27969.690999999999</v>
      </c>
      <c r="I25" cm="1">
        <f t="array" ref="I25">TREND($X$8:$X$12,$W$8:$W$12,H25)</f>
        <v>4.311596060670488</v>
      </c>
      <c r="J25">
        <f>I25/(2/0.2)*3</f>
        <v>1.2934788182011463</v>
      </c>
      <c r="K25">
        <v>0.11271179879388092</v>
      </c>
      <c r="L25" s="1">
        <f t="shared" si="0"/>
        <v>11.475984165300792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3.44</v>
      </c>
      <c r="G26">
        <v>29993</v>
      </c>
      <c r="H26">
        <v>29993.01</v>
      </c>
      <c r="I26" cm="1">
        <f t="array" ref="I26">TREND($X$8:$X$12,$W$8:$W$12,H26)</f>
        <v>4.6560793031562868</v>
      </c>
      <c r="J26">
        <f>I26/(2/0.2)*3</f>
        <v>1.3968237909468861</v>
      </c>
      <c r="K26">
        <v>9.1782030070505644E-2</v>
      </c>
      <c r="L26" s="1">
        <f t="shared" si="0"/>
        <v>15.21892455281133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3.44</v>
      </c>
      <c r="G27">
        <v>32753</v>
      </c>
      <c r="H27">
        <v>32752.763999999999</v>
      </c>
      <c r="I27" cm="1">
        <f t="array" ref="I27">TREND($X$8:$X$12,$W$8:$W$12,H27)</f>
        <v>5.1259454025618441</v>
      </c>
      <c r="J27">
        <f>I27/(2/0.2)*3</f>
        <v>1.5377836207685533</v>
      </c>
      <c r="K27">
        <v>0.16584121170706426</v>
      </c>
      <c r="L27" s="1">
        <f t="shared" si="0"/>
        <v>9.2726265379973043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3.44</v>
      </c>
      <c r="G28">
        <v>28448</v>
      </c>
      <c r="H28">
        <v>28447.811000000002</v>
      </c>
      <c r="I28" cm="1">
        <f t="array" ref="I28">TREND($X$8:$X$12,$W$8:$W$12,H28)</f>
        <v>4.3929991058142894</v>
      </c>
      <c r="J28">
        <f>I28/(2/0.2)*3</f>
        <v>1.3178997317442867</v>
      </c>
      <c r="K28">
        <v>0.20850574025855992</v>
      </c>
      <c r="L28" s="1">
        <f t="shared" si="0"/>
        <v>6.3206880065268711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3.44</v>
      </c>
      <c r="G29">
        <v>28631</v>
      </c>
      <c r="H29">
        <v>28630.726999999999</v>
      </c>
      <c r="I29" cm="1">
        <f t="array" ref="I29">TREND($X$8:$X$12,$W$8:$W$12,H29)</f>
        <v>4.4241417465854829</v>
      </c>
      <c r="J29">
        <f>I29/(2/0.2)*3</f>
        <v>1.3272425239756447</v>
      </c>
      <c r="K29">
        <v>0.15457133624063138</v>
      </c>
      <c r="L29" s="1">
        <f t="shared" si="0"/>
        <v>8.586601864587875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3.44</v>
      </c>
      <c r="G30">
        <v>28377</v>
      </c>
      <c r="H30">
        <v>28377.032999999999</v>
      </c>
      <c r="I30" cm="1">
        <f t="array" ref="I30">TREND($X$8:$X$12,$W$8:$W$12,H30)</f>
        <v>4.3809486901671963</v>
      </c>
      <c r="J30">
        <f>I30/(2/0.2)*3</f>
        <v>1.3142846070501588</v>
      </c>
      <c r="K30">
        <v>0.22863051787718996</v>
      </c>
      <c r="L30" s="1">
        <f t="shared" si="0"/>
        <v>5.7485090759236845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3.44</v>
      </c>
      <c r="G31">
        <v>21395</v>
      </c>
      <c r="H31">
        <v>21395.365000000002</v>
      </c>
      <c r="I31" cm="1">
        <f t="array" ref="I31">TREND($X$8:$X$12,$W$8:$W$12,H31)</f>
        <v>3.1922742247965146</v>
      </c>
      <c r="J31">
        <f>I31/(2/0.2)*3</f>
        <v>0.95768226743895446</v>
      </c>
      <c r="K31">
        <v>0.19079593595416544</v>
      </c>
      <c r="L31" s="1">
        <f t="shared" si="0"/>
        <v>5.0194060090934887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3.44</v>
      </c>
      <c r="G32">
        <v>30611</v>
      </c>
      <c r="H32">
        <v>30611.083999999999</v>
      </c>
      <c r="I32" cm="1">
        <f t="array" ref="I32">TREND($X$8:$X$12,$W$8:$W$12,H32)</f>
        <v>4.7613104286565999</v>
      </c>
      <c r="J32">
        <f>I32/(2/0.2)*3</f>
        <v>1.42839312859698</v>
      </c>
      <c r="K32">
        <v>0.13122659420302052</v>
      </c>
      <c r="L32" s="1">
        <f t="shared" si="0"/>
        <v>10.884936374917379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3.44</v>
      </c>
      <c r="G33">
        <v>29876</v>
      </c>
      <c r="H33">
        <v>29876.43</v>
      </c>
      <c r="I33" cm="1">
        <f t="array" ref="I33">TREND($X$8:$X$12,$W$8:$W$12,H33)</f>
        <v>4.6362307985907716</v>
      </c>
      <c r="J33">
        <f>I33/(2/0.2)*3</f>
        <v>1.3908692395772313</v>
      </c>
      <c r="K33">
        <v>0.13927650525047255</v>
      </c>
      <c r="L33" s="1">
        <f t="shared" si="0"/>
        <v>9.9863881354282622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3.44</v>
      </c>
      <c r="G34">
        <v>15934</v>
      </c>
      <c r="H34">
        <v>15934.165999999999</v>
      </c>
      <c r="I34" cm="1">
        <f t="array" ref="I34">TREND($X$8:$X$12,$W$8:$W$12,H34)</f>
        <v>2.2624695131419497</v>
      </c>
      <c r="J34">
        <f>I34/(2/0.2)*3</f>
        <v>0.67874085394258499</v>
      </c>
      <c r="K34">
        <v>9.7416967803722054E-2</v>
      </c>
      <c r="L34" s="1">
        <f t="shared" si="0"/>
        <v>6.9673781605492762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3.44</v>
      </c>
      <c r="G35">
        <v>20416</v>
      </c>
      <c r="H35">
        <v>20416.002</v>
      </c>
      <c r="I35" cm="1">
        <f t="array" ref="I35">TREND($X$8:$X$12,$W$8:$W$12,H35)</f>
        <v>3.0255312931032821</v>
      </c>
      <c r="J35">
        <f>I35/(2/0.2)*3</f>
        <v>0.90765938793098455</v>
      </c>
      <c r="K35">
        <v>7.4877216870856411E-2</v>
      </c>
      <c r="L35" s="1">
        <f t="shared" si="0"/>
        <v>12.121970151434171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3.44</v>
      </c>
      <c r="G36">
        <v>31242</v>
      </c>
      <c r="H36">
        <v>31241.888999999999</v>
      </c>
      <c r="I36" cm="1">
        <f t="array" ref="I36">TREND($X$8:$X$12,$W$8:$W$12,H36)</f>
        <v>4.86870908985449</v>
      </c>
      <c r="J36">
        <f>I36/(2/0.2)*3</f>
        <v>1.4606127269563469</v>
      </c>
      <c r="K36">
        <v>0.14491144298368897</v>
      </c>
      <c r="L36" s="1">
        <f t="shared" si="0"/>
        <v>10.079347061092694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3.44</v>
      </c>
      <c r="G37">
        <v>35069</v>
      </c>
      <c r="H37">
        <v>35069.362999999998</v>
      </c>
      <c r="I37" cm="1">
        <f t="array" ref="I37">TREND($X$8:$X$12,$W$8:$W$12,H37)</f>
        <v>5.5203614758846165</v>
      </c>
      <c r="J37">
        <f>I37/(2/0.2)*3</f>
        <v>1.6561084427653849</v>
      </c>
      <c r="K37">
        <v>0.14571643408843418</v>
      </c>
      <c r="L37" s="1">
        <f t="shared" si="0"/>
        <v>11.36528253059161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3.44</v>
      </c>
      <c r="G38">
        <v>36562</v>
      </c>
      <c r="H38">
        <v>36562.258000000002</v>
      </c>
      <c r="I38" cm="1">
        <f t="array" ref="I38">TREND($X$8:$X$12,$W$8:$W$12,H38)</f>
        <v>5.7745365764450511</v>
      </c>
      <c r="J38">
        <f>I38/(2/0.2)*3</f>
        <v>1.7323609729335152</v>
      </c>
      <c r="K38">
        <v>0.26405012648597881</v>
      </c>
      <c r="L38" s="1">
        <f t="shared" si="0"/>
        <v>6.5607276769303287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3.43</v>
      </c>
      <c r="G39">
        <v>38121</v>
      </c>
      <c r="H39">
        <v>38121.101999999999</v>
      </c>
      <c r="I39" cm="1">
        <f t="array" ref="I39">TREND($X$8:$X$12,$W$8:$W$12,H39)</f>
        <v>6.0399399239397029</v>
      </c>
      <c r="J39">
        <f>I39/(2/0.2)*3</f>
        <v>1.811981977181911</v>
      </c>
      <c r="K39">
        <v>0.17469611385926145</v>
      </c>
      <c r="L39" s="1">
        <f t="shared" si="0"/>
        <v>10.37219396100407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3.44</v>
      </c>
      <c r="G40">
        <v>16408</v>
      </c>
      <c r="H40">
        <v>16408.458999999999</v>
      </c>
      <c r="I40" cm="1">
        <f t="array" ref="I40">TREND($X$8:$X$12,$W$8:$W$12,H40)</f>
        <v>2.3432209866013087</v>
      </c>
      <c r="J40">
        <f>I40/(2/0.2)*3</f>
        <v>0.70296629598039262</v>
      </c>
      <c r="K40">
        <v>0.1175417454223521</v>
      </c>
      <c r="L40" s="1">
        <f t="shared" si="0"/>
        <v>5.9805671036659147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3.44</v>
      </c>
      <c r="G41">
        <v>18481</v>
      </c>
      <c r="H41">
        <v>18480.891</v>
      </c>
      <c r="I41" cm="1">
        <f t="array" ref="I41">TREND($X$8:$X$12,$W$8:$W$12,H41)</f>
        <v>2.6960660373280252</v>
      </c>
      <c r="J41">
        <f>I41/(2/0.2)*3</f>
        <v>0.80881981119840762</v>
      </c>
      <c r="K41">
        <v>0.14813140740266978</v>
      </c>
      <c r="L41" s="1">
        <f t="shared" si="0"/>
        <v>5.4601507227955377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3.44</v>
      </c>
      <c r="G42">
        <v>39847</v>
      </c>
      <c r="H42">
        <v>39847.25</v>
      </c>
      <c r="I42" cm="1">
        <f t="array" ref="I42">TREND($X$8:$X$12,$W$8:$W$12,H42)</f>
        <v>6.3338278674871011</v>
      </c>
      <c r="J42">
        <f>I42/(2/0.2)*3</f>
        <v>1.9001483602461302</v>
      </c>
      <c r="K42">
        <v>0.11673675431760691</v>
      </c>
      <c r="L42" s="1">
        <f t="shared" si="0"/>
        <v>16.277207391567327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3.43</v>
      </c>
      <c r="G43">
        <v>20576</v>
      </c>
      <c r="H43">
        <v>20575.916000000001</v>
      </c>
      <c r="I43" cm="1">
        <f t="array" ref="I43">TREND($X$8:$X$12,$W$8:$W$12,H43)</f>
        <v>3.0527576935072096</v>
      </c>
      <c r="J43">
        <f>I43/(2/0.2)*3</f>
        <v>0.91582730805216295</v>
      </c>
      <c r="K43">
        <v>8.6147092337289247E-2</v>
      </c>
      <c r="L43" s="1">
        <f t="shared" si="0"/>
        <v>10.630971785634395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3.44</v>
      </c>
      <c r="G44">
        <v>32569</v>
      </c>
      <c r="H44">
        <v>32568.903999999999</v>
      </c>
      <c r="I44" cm="1">
        <f t="array" ref="I44">TREND($X$8:$X$12,$W$8:$W$12,H44)</f>
        <v>5.0946420396401102</v>
      </c>
      <c r="J44">
        <f>I44/(2/0.2)*3</f>
        <v>1.5283926118920332</v>
      </c>
      <c r="K44">
        <v>8.9367056756270047E-2</v>
      </c>
      <c r="L44" s="1">
        <f t="shared" si="0"/>
        <v>17.102416341856312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3.44</v>
      </c>
      <c r="G45">
        <v>29662</v>
      </c>
      <c r="H45">
        <v>29661.918000000001</v>
      </c>
      <c r="I45" cm="1">
        <f t="array" ref="I45">TREND($X$8:$X$12,$W$8:$W$12,H45)</f>
        <v>4.5997087329589492</v>
      </c>
      <c r="J45">
        <f>I45/(2/0.2)*3</f>
        <v>1.3799126198876848</v>
      </c>
      <c r="K45">
        <v>9.3392012279996037E-2</v>
      </c>
      <c r="L45" s="1">
        <f t="shared" si="0"/>
        <v>14.775488676168647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3.44</v>
      </c>
      <c r="G46">
        <v>21653</v>
      </c>
      <c r="H46">
        <v>21652.884999999998</v>
      </c>
      <c r="I46" cm="1">
        <f t="array" ref="I46">TREND($X$8:$X$12,$W$8:$W$12,H46)</f>
        <v>3.2361186826427275</v>
      </c>
      <c r="J46">
        <f>I46/(2/0.2)*3</f>
        <v>0.97083560479281816</v>
      </c>
      <c r="K46">
        <v>0.18918595374467503</v>
      </c>
      <c r="L46" s="1">
        <f t="shared" si="0"/>
        <v>5.1316473848954764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3.44</v>
      </c>
      <c r="G47">
        <v>26672</v>
      </c>
      <c r="H47">
        <v>26672.469000000001</v>
      </c>
      <c r="I47" cm="1">
        <f t="array" ref="I47">TREND($X$8:$X$12,$W$8:$W$12,H47)</f>
        <v>4.0907355632482263</v>
      </c>
      <c r="J47">
        <f>I47/(2/0.2)*3</f>
        <v>1.2272206689744678</v>
      </c>
      <c r="K47">
        <v>9.2587021175250833E-2</v>
      </c>
      <c r="L47" s="1">
        <f t="shared" si="0"/>
        <v>13.254780782411785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3.44</v>
      </c>
      <c r="G48">
        <v>19013</v>
      </c>
      <c r="H48">
        <v>19012.648000000001</v>
      </c>
      <c r="I48" cm="1">
        <f t="array" ref="I48">TREND($X$8:$X$12,$W$8:$W$12,H48)</f>
        <v>2.7866011311884207</v>
      </c>
      <c r="J48">
        <f>I48/(2/0.2)*3</f>
        <v>0.83598033935652627</v>
      </c>
      <c r="K48">
        <v>0.14974138961216016</v>
      </c>
      <c r="L48" s="1">
        <f t="shared" si="0"/>
        <v>5.5828274435129073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3.44</v>
      </c>
      <c r="G49">
        <v>29558</v>
      </c>
      <c r="H49">
        <v>29558.478999999999</v>
      </c>
      <c r="I49" cm="1">
        <f t="array" ref="I49">TREND($X$8:$X$12,$W$8:$W$12,H49)</f>
        <v>4.5820975692623254</v>
      </c>
      <c r="J49">
        <f>I49/(2/0.2)*3</f>
        <v>1.3746292707786978</v>
      </c>
      <c r="K49">
        <v>0.19965083810636269</v>
      </c>
      <c r="L49" s="1">
        <f t="shared" si="0"/>
        <v>6.8851665428340096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3.44</v>
      </c>
      <c r="G50">
        <v>36280</v>
      </c>
      <c r="H50">
        <v>36279.612999999998</v>
      </c>
      <c r="I50" cm="1">
        <f t="array" ref="I50">TREND($X$8:$X$12,$W$8:$W$12,H50)</f>
        <v>5.7264144236493726</v>
      </c>
      <c r="J50">
        <f>I50/(2/0.2)*3</f>
        <v>1.7179243270948119</v>
      </c>
      <c r="K50">
        <v>0.22058060682973793</v>
      </c>
      <c r="L50" s="1">
        <f t="shared" si="0"/>
        <v>7.7881929503478329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3.44</v>
      </c>
      <c r="G51">
        <v>55199</v>
      </c>
      <c r="H51">
        <v>55198.777000000002</v>
      </c>
      <c r="I51" cm="1">
        <f t="array" ref="I51">TREND($X$8:$X$12,$W$8:$W$12,H51)</f>
        <v>8.9475253606002916</v>
      </c>
      <c r="J51">
        <f>I51/(2/0.2)*3</f>
        <v>2.6842576081800873</v>
      </c>
      <c r="K51">
        <v>0.12720163867929454</v>
      </c>
      <c r="L51" s="1">
        <f t="shared" si="0"/>
        <v>21.102382296722894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3.43</v>
      </c>
      <c r="G52">
        <v>34467</v>
      </c>
      <c r="H52">
        <v>34467.089999999997</v>
      </c>
      <c r="I52" cm="1">
        <f t="array" ref="I52">TREND($X$8:$X$12,$W$8:$W$12,H52)</f>
        <v>5.417820573584164</v>
      </c>
      <c r="J52">
        <f>I52/(2/0.2)*3</f>
        <v>1.6253461720752493</v>
      </c>
      <c r="K52">
        <v>0.1594012828691026</v>
      </c>
      <c r="L52" s="1">
        <f t="shared" si="0"/>
        <v>10.196568953651106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3.43</v>
      </c>
      <c r="G53">
        <v>54019</v>
      </c>
      <c r="H53">
        <v>54019.398000000001</v>
      </c>
      <c r="I53" cm="1">
        <f t="array" ref="I53">TREND($X$8:$X$12,$W$8:$W$12,H53)</f>
        <v>8.746728401722498</v>
      </c>
      <c r="J53">
        <f>I53/(2/0.2)*3</f>
        <v>2.6240185205167492</v>
      </c>
      <c r="K53">
        <v>0.14491144298368897</v>
      </c>
      <c r="L53" s="1">
        <f t="shared" si="0"/>
        <v>18.107738536646171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3.43</v>
      </c>
      <c r="G54">
        <v>32452</v>
      </c>
      <c r="H54">
        <v>32452.338</v>
      </c>
      <c r="I54" cm="1">
        <f t="array" ref="I54">TREND($X$8:$X$12,$W$8:$W$12,H54)</f>
        <v>5.0747959186658109</v>
      </c>
      <c r="J54">
        <f>I54/(2/0.2)*3</f>
        <v>1.5224387755997433</v>
      </c>
      <c r="K54">
        <v>0.24553533107683917</v>
      </c>
      <c r="L54" s="1">
        <f t="shared" si="0"/>
        <v>6.200487599576058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3.44</v>
      </c>
      <c r="G55">
        <v>24212</v>
      </c>
      <c r="H55">
        <v>24212.33</v>
      </c>
      <c r="I55" cm="1">
        <f t="array" ref="I55">TREND($X$8:$X$12,$W$8:$W$12,H55)</f>
        <v>3.6718808697047116</v>
      </c>
      <c r="J55">
        <f>I55/(2/0.2)*3</f>
        <v>1.1015642609114136</v>
      </c>
      <c r="K55">
        <v>0.3002747261995129</v>
      </c>
      <c r="L55" s="1">
        <f t="shared" si="0"/>
        <v>3.668521406558527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3.44</v>
      </c>
      <c r="G56">
        <v>41519</v>
      </c>
      <c r="H56">
        <v>41519.300999999999</v>
      </c>
      <c r="I56" cm="1">
        <f t="array" ref="I56">TREND($X$8:$X$12,$W$8:$W$12,H56)</f>
        <v>6.6185054443208191</v>
      </c>
      <c r="J56">
        <f>I56/(2/0.2)*3</f>
        <v>1.9855516332962457</v>
      </c>
      <c r="K56">
        <v>0.17147614944028067</v>
      </c>
      <c r="L56" s="1">
        <f t="shared" si="0"/>
        <v>11.579170862987835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3.43</v>
      </c>
      <c r="G57">
        <v>23852</v>
      </c>
      <c r="H57">
        <v>23851.616999999998</v>
      </c>
      <c r="I57" cm="1">
        <f t="array" ref="I57">TREND($X$8:$X$12,$W$8:$W$12,H57)</f>
        <v>3.610467131264663</v>
      </c>
      <c r="J57">
        <f>I57/(2/0.2)*3</f>
        <v>1.0831401393793989</v>
      </c>
      <c r="K57">
        <v>0.18113604269722305</v>
      </c>
      <c r="L57" s="1">
        <f t="shared" si="0"/>
        <v>5.9797052163158702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3.43</v>
      </c>
      <c r="G58">
        <v>46551</v>
      </c>
      <c r="H58">
        <v>46551.328000000001</v>
      </c>
      <c r="I58" cm="1">
        <f t="array" ref="I58">TREND($X$8:$X$12,$W$8:$W$12,H58)</f>
        <v>7.4752408267474602</v>
      </c>
      <c r="J58">
        <f>I58/(2/0.2)*3</f>
        <v>2.242572248024238</v>
      </c>
      <c r="K58">
        <v>8.2927127918308433E-2</v>
      </c>
      <c r="L58" s="1">
        <f t="shared" si="0"/>
        <v>27.04268560022237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3.44</v>
      </c>
      <c r="G59">
        <v>36684</v>
      </c>
      <c r="H59">
        <v>36683.983999999997</v>
      </c>
      <c r="I59" cm="1">
        <f t="array" ref="I59">TREND($X$8:$X$12,$W$8:$W$12,H59)</f>
        <v>5.7952612210388228</v>
      </c>
      <c r="J59">
        <f>I59/(2/0.2)*3</f>
        <v>1.738578366311647</v>
      </c>
      <c r="K59">
        <v>0.11593176321286171</v>
      </c>
      <c r="L59" s="1">
        <f t="shared" si="0"/>
        <v>14.996566239740979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3.43</v>
      </c>
      <c r="G60">
        <v>28684</v>
      </c>
      <c r="H60">
        <v>28683.537</v>
      </c>
      <c r="I60" cm="1">
        <f t="array" ref="I60">TREND($X$8:$X$12,$W$8:$W$12,H60)</f>
        <v>4.4331329931638406</v>
      </c>
      <c r="J60">
        <f>I60/(2/0.2)*3</f>
        <v>1.3299398979491523</v>
      </c>
      <c r="K60">
        <v>0.17469611385926145</v>
      </c>
      <c r="L60" s="1">
        <f t="shared" si="0"/>
        <v>7.6128762602044917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3.43</v>
      </c>
      <c r="G61">
        <v>31954</v>
      </c>
      <c r="H61">
        <v>31953.561000000002</v>
      </c>
      <c r="I61" cm="1">
        <f t="array" ref="I61">TREND($X$8:$X$12,$W$8:$W$12,H61)</f>
        <v>4.98987588468336</v>
      </c>
      <c r="J61">
        <f>I61/(2/0.2)*3</f>
        <v>1.4969627654050082</v>
      </c>
      <c r="K61">
        <v>0.17952606048773259</v>
      </c>
      <c r="L61" s="1">
        <f t="shared" si="0"/>
        <v>8.3384148314628614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3.43</v>
      </c>
      <c r="G62">
        <v>21635</v>
      </c>
      <c r="H62">
        <v>21634.84</v>
      </c>
      <c r="I62" cm="1">
        <f t="array" ref="I62">TREND($X$8:$X$12,$W$8:$W$12,H62)</f>
        <v>3.2330464038223066</v>
      </c>
      <c r="J62">
        <f>I62/(2/0.2)*3</f>
        <v>0.96991392114669206</v>
      </c>
      <c r="K62">
        <v>0.19723586479212707</v>
      </c>
      <c r="L62" s="1">
        <f t="shared" si="0"/>
        <v>4.9175332395500897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3.44</v>
      </c>
      <c r="G63">
        <v>28718</v>
      </c>
      <c r="H63">
        <v>28718.326000000001</v>
      </c>
      <c r="I63" cm="1">
        <f t="array" ref="I63">TREND($X$8:$X$12,$W$8:$W$12,H63)</f>
        <v>4.4390560470781457</v>
      </c>
      <c r="J63">
        <f>I63/(2/0.2)*3</f>
        <v>1.3317168141234439</v>
      </c>
      <c r="K63">
        <v>0.28417490410460888</v>
      </c>
      <c r="L63" s="1">
        <f t="shared" si="0"/>
        <v>4.6862576353090617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3.44</v>
      </c>
      <c r="G64">
        <v>30809</v>
      </c>
      <c r="H64">
        <v>30809.34</v>
      </c>
      <c r="I64" cm="1">
        <f t="array" ref="I64">TREND($X$8:$X$12,$W$8:$W$12,H64)</f>
        <v>4.7950648043740545</v>
      </c>
      <c r="J64">
        <f>I64/(2/0.2)*3</f>
        <v>1.4385194413122164</v>
      </c>
      <c r="K64">
        <v>0.17872106938298743</v>
      </c>
      <c r="L64" s="1">
        <f t="shared" si="0"/>
        <v>8.0489639317766422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3.43</v>
      </c>
      <c r="G65">
        <v>26578</v>
      </c>
      <c r="H65">
        <v>26577.831999999999</v>
      </c>
      <c r="I65" cm="1">
        <f t="array" ref="I65">TREND($X$8:$X$12,$W$8:$W$12,H65)</f>
        <v>4.0746229974001675</v>
      </c>
      <c r="J65">
        <f>I65/(2/0.2)*3</f>
        <v>1.2223868992200502</v>
      </c>
      <c r="K65">
        <v>0.19884584700161748</v>
      </c>
      <c r="L65" s="1">
        <f t="shared" si="0"/>
        <v>6.1474097530943501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3.43</v>
      </c>
      <c r="G66">
        <v>48866</v>
      </c>
      <c r="H66">
        <v>48865.855000000003</v>
      </c>
      <c r="I66" cm="1">
        <f t="array" ref="I66">TREND($X$8:$X$12,$W$8:$W$12,H66)</f>
        <v>7.8693041285703202</v>
      </c>
      <c r="J66">
        <f>I66/(2/0.2)*3</f>
        <v>2.3607912385710961</v>
      </c>
      <c r="K66">
        <v>0.17469611385926145</v>
      </c>
      <c r="L66" s="1">
        <f t="shared" si="0"/>
        <v>13.513702087689225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3.43</v>
      </c>
      <c r="G67">
        <v>15627</v>
      </c>
      <c r="H67">
        <v>15627.415000000001</v>
      </c>
      <c r="I67" cm="1">
        <f t="array" ref="I67">TREND($X$8:$X$12,$W$8:$W$12,H67)</f>
        <v>2.2102431567860013</v>
      </c>
      <c r="J67">
        <f>I67/(2/0.2)*3</f>
        <v>0.66307294703580033</v>
      </c>
      <c r="K67">
        <v>0.24875529549582001</v>
      </c>
      <c r="L67" s="1">
        <f t="shared" si="0"/>
        <v>2.6655631419389918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3.44</v>
      </c>
      <c r="G68">
        <v>19940</v>
      </c>
      <c r="H68">
        <v>19940.294999999998</v>
      </c>
      <c r="I68" cm="1">
        <f t="array" ref="I68">TREND($X$8:$X$12,$W$8:$W$12,H68)</f>
        <v>2.9445390769311448</v>
      </c>
      <c r="J68">
        <f>I68/(2/0.2)*3</f>
        <v>0.88336172307934335</v>
      </c>
      <c r="K68">
        <v>0.18274602490671343</v>
      </c>
      <c r="L68" s="1">
        <f t="shared" si="0"/>
        <v>4.8338218220082982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3.43</v>
      </c>
      <c r="G69">
        <v>25176</v>
      </c>
      <c r="H69">
        <v>25176.129000000001</v>
      </c>
      <c r="I69" cm="1">
        <f t="array" ref="I69">TREND($X$8:$X$12,$W$8:$W$12,H69)</f>
        <v>3.8359739289922343</v>
      </c>
      <c r="J69">
        <f>I69/(2/0.2)*3</f>
        <v>1.1507921786976705</v>
      </c>
      <c r="K69">
        <v>0.10063693222270288</v>
      </c>
      <c r="L69" s="1">
        <f t="shared" si="0"/>
        <v>11.435088026640592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3.43</v>
      </c>
      <c r="G70">
        <v>40863</v>
      </c>
      <c r="H70">
        <v>40862.633000000002</v>
      </c>
      <c r="I70" cm="1">
        <f t="array" ref="I70">TREND($X$8:$X$12,$W$8:$W$12,H70)</f>
        <v>6.5067034388650988</v>
      </c>
      <c r="J70">
        <f>I70/(2/0.2)*3</f>
        <v>1.9520110316595298</v>
      </c>
      <c r="K70">
        <v>0.12156670094607813</v>
      </c>
      <c r="L70" s="1">
        <f t="shared" si="0"/>
        <v>16.057119395922076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3.43</v>
      </c>
      <c r="G71">
        <v>26287</v>
      </c>
      <c r="H71">
        <v>26287.035</v>
      </c>
      <c r="I71" cm="1">
        <f t="array" ref="I71">TREND($X$8:$X$12,$W$8:$W$12,H71)</f>
        <v>4.0251129134909354</v>
      </c>
      <c r="J71">
        <f>I71/(2/0.2)*3</f>
        <v>1.2075338740472805</v>
      </c>
      <c r="K71">
        <v>8.8562065651524843E-2</v>
      </c>
      <c r="L71" s="1">
        <f t="shared" si="0"/>
        <v>13.634888314356854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3.43</v>
      </c>
      <c r="G72">
        <v>18105</v>
      </c>
      <c r="H72">
        <v>18105.34</v>
      </c>
      <c r="I72" cm="1">
        <f t="array" ref="I72">TREND($X$8:$X$12,$W$8:$W$12,H72)</f>
        <v>2.6321260327124483</v>
      </c>
      <c r="J72">
        <f>I72/(2/0.2)*3</f>
        <v>0.78963780981373455</v>
      </c>
      <c r="K72">
        <v>0.13766652304098212</v>
      </c>
      <c r="L72" s="1">
        <f t="shared" si="0"/>
        <v>5.7358738520523707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3.44</v>
      </c>
      <c r="G73">
        <v>7366</v>
      </c>
      <c r="H73">
        <v>7365.576</v>
      </c>
      <c r="I73" cm="1">
        <f t="array" ref="I73">TREND($X$8:$X$12,$W$8:$W$12,H73)</f>
        <v>0.80361123783717003</v>
      </c>
      <c r="J73">
        <f>I73/(2/0.2)*3</f>
        <v>0.24108337135115099</v>
      </c>
      <c r="K73">
        <v>8.2122136813563229E-2</v>
      </c>
      <c r="L73" s="1">
        <f t="shared" ref="L73" si="1">J73/K73</f>
        <v>2.9356685140629932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3.4</v>
      </c>
      <c r="G74">
        <v>1157</v>
      </c>
      <c r="H74">
        <v>1156.96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7EE3-92F5-421B-88B6-D5EA94460BAC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278</v>
      </c>
      <c r="P3" t="s">
        <v>94</v>
      </c>
    </row>
    <row r="5" spans="1:28" x14ac:dyDescent="0.3">
      <c r="A5" t="s">
        <v>279</v>
      </c>
      <c r="P5" t="s">
        <v>58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3.5</v>
      </c>
      <c r="G8">
        <v>25682</v>
      </c>
      <c r="H8">
        <v>25682.008000000002</v>
      </c>
      <c r="I8" cm="1">
        <f t="array" ref="I8">TREND($X$8:$X$12,$W$8:$W$12,H8)</f>
        <v>3.9221031247470677</v>
      </c>
      <c r="J8">
        <f>I8/(2/0.2)*3</f>
        <v>1.1766309374241204</v>
      </c>
      <c r="K8">
        <v>0.10224691443219328</v>
      </c>
      <c r="L8" s="1">
        <f>J8/K8</f>
        <v>11.507740296695433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3.36</v>
      </c>
      <c r="V8">
        <v>8303</v>
      </c>
      <c r="W8">
        <v>8303.0959999999995</v>
      </c>
      <c r="X8">
        <v>1</v>
      </c>
      <c r="Y8">
        <v>1.1919999999999999</v>
      </c>
      <c r="Z8">
        <v>19.2</v>
      </c>
      <c r="AA8">
        <v>58</v>
      </c>
      <c r="AB8">
        <v>58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3.5</v>
      </c>
      <c r="G9">
        <v>39712</v>
      </c>
      <c r="H9">
        <v>39712.281000000003</v>
      </c>
      <c r="I9" cm="1">
        <f t="array" ref="I9">TREND($X$8:$X$12,$W$8:$W$12,H9)</f>
        <v>6.3108485158598659</v>
      </c>
      <c r="J9">
        <f>I9/(2/0.2)*3</f>
        <v>1.8932545547579598</v>
      </c>
      <c r="K9">
        <v>0.12639664757454935</v>
      </c>
      <c r="L9" s="1">
        <f t="shared" ref="L9:L72" si="0">J9/K9</f>
        <v>14.97867697512554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3.36</v>
      </c>
      <c r="V9">
        <v>12565</v>
      </c>
      <c r="W9">
        <v>12565.313</v>
      </c>
      <c r="X9">
        <v>2</v>
      </c>
      <c r="Y9">
        <v>1.8640000000000001</v>
      </c>
      <c r="Z9">
        <v>-6.8</v>
      </c>
      <c r="AA9">
        <v>156</v>
      </c>
      <c r="AB9">
        <v>56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3.5</v>
      </c>
      <c r="G10">
        <v>23896</v>
      </c>
      <c r="H10">
        <v>23896.368999999999</v>
      </c>
      <c r="I10" cm="1">
        <f t="array" ref="I10">TREND($X$8:$X$12,$W$8:$W$12,H10)</f>
        <v>3.6180864508419139</v>
      </c>
      <c r="J10">
        <f>I10/(2/0.2)*3</f>
        <v>1.0854259352525744</v>
      </c>
      <c r="K10">
        <v>0.15054638071690538</v>
      </c>
      <c r="L10" s="1">
        <f t="shared" si="0"/>
        <v>7.2099105277971525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3.36</v>
      </c>
      <c r="V10">
        <v>32711</v>
      </c>
      <c r="W10">
        <v>32710.937999999998</v>
      </c>
      <c r="X10">
        <v>5</v>
      </c>
      <c r="Y10">
        <v>5.0419999999999998</v>
      </c>
      <c r="Z10">
        <v>0.8</v>
      </c>
      <c r="AA10">
        <v>293</v>
      </c>
      <c r="AB10">
        <v>384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3.5</v>
      </c>
      <c r="G11">
        <v>54467</v>
      </c>
      <c r="H11">
        <v>54467.226999999999</v>
      </c>
      <c r="I11" cm="1">
        <f t="array" ref="I11">TREND($X$8:$X$12,$W$8:$W$12,H11)</f>
        <v>8.8229742067582695</v>
      </c>
      <c r="J11">
        <f>I11/(2/0.2)*3</f>
        <v>2.6468922620274808</v>
      </c>
      <c r="K11">
        <v>0.14893639850741497</v>
      </c>
      <c r="L11" s="1">
        <f t="shared" si="0"/>
        <v>17.771963660687703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3.36</v>
      </c>
      <c r="V11">
        <v>64284</v>
      </c>
      <c r="W11">
        <v>64283.745999999999</v>
      </c>
      <c r="X11">
        <v>10</v>
      </c>
      <c r="Y11">
        <v>10.034000000000001</v>
      </c>
      <c r="Z11">
        <v>0.3</v>
      </c>
      <c r="AA11">
        <v>478</v>
      </c>
      <c r="AB11">
        <v>711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3.5</v>
      </c>
      <c r="G12">
        <v>30730</v>
      </c>
      <c r="H12">
        <v>30729.976999999999</v>
      </c>
      <c r="I12" cm="1">
        <f t="array" ref="I12">TREND($X$8:$X$12,$W$8:$W$12,H12)</f>
        <v>4.7815527365422392</v>
      </c>
      <c r="J12">
        <f>I12/(2/0.2)*3</f>
        <v>1.4344658209626719</v>
      </c>
      <c r="K12">
        <v>4.0262599366812736E-2</v>
      </c>
      <c r="L12" s="1">
        <f t="shared" si="0"/>
        <v>35.627749909884344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3.36</v>
      </c>
      <c r="V12">
        <v>118557</v>
      </c>
      <c r="W12">
        <v>118557.406</v>
      </c>
      <c r="X12">
        <v>20</v>
      </c>
      <c r="Y12">
        <v>18.646999999999998</v>
      </c>
      <c r="Z12">
        <v>-6.8</v>
      </c>
      <c r="AA12">
        <v>662</v>
      </c>
      <c r="AB12">
        <v>793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3.5</v>
      </c>
      <c r="G13">
        <v>18684</v>
      </c>
      <c r="H13">
        <v>18684.098000000002</v>
      </c>
      <c r="I13" cm="1">
        <f t="array" ref="I13">TREND($X$8:$X$12,$W$8:$W$12,H13)</f>
        <v>2.7306633530532332</v>
      </c>
      <c r="J13">
        <f>I13/(2/0.2)*3</f>
        <v>0.81919900591596995</v>
      </c>
      <c r="K13">
        <v>0.11351678989862611</v>
      </c>
      <c r="L13" s="1">
        <f t="shared" si="0"/>
        <v>7.2165448533872318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3.36</v>
      </c>
      <c r="V13">
        <v>286257</v>
      </c>
      <c r="W13">
        <v>286256.84399999998</v>
      </c>
      <c r="X13">
        <v>50</v>
      </c>
      <c r="Y13">
        <v>45.524999999999999</v>
      </c>
      <c r="Z13">
        <v>-8.9</v>
      </c>
      <c r="AA13">
        <v>1828</v>
      </c>
      <c r="AB13">
        <v>2903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3.5</v>
      </c>
      <c r="G14">
        <v>24560</v>
      </c>
      <c r="H14">
        <v>24559.782999999999</v>
      </c>
      <c r="I14" cm="1">
        <f t="array" ref="I14">TREND($X$8:$X$12,$W$8:$W$12,H14)</f>
        <v>3.731037006750535</v>
      </c>
      <c r="J14">
        <f>I14/(2/0.2)*3</f>
        <v>1.1193111020251605</v>
      </c>
      <c r="K14">
        <v>0.10144192332744809</v>
      </c>
      <c r="L14" s="1">
        <f t="shared" si="0"/>
        <v>11.03400906952538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3.36</v>
      </c>
      <c r="V14">
        <v>589397</v>
      </c>
      <c r="W14">
        <v>589396.75</v>
      </c>
      <c r="X14">
        <v>100</v>
      </c>
      <c r="Y14">
        <v>95.174000000000007</v>
      </c>
      <c r="Z14">
        <v>-4.8</v>
      </c>
      <c r="AA14">
        <v>2960</v>
      </c>
      <c r="AB14">
        <v>4762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3.5</v>
      </c>
      <c r="G15">
        <v>13856</v>
      </c>
      <c r="H15">
        <v>13856.386</v>
      </c>
      <c r="I15" cm="1">
        <f t="array" ref="I15">TREND($X$8:$X$12,$W$8:$W$12,H15)</f>
        <v>1.9087139305708658</v>
      </c>
      <c r="J15">
        <f>I15/(2/0.2)*3</f>
        <v>0.57261417917125979</v>
      </c>
      <c r="K15">
        <v>8.3732119023053622E-2</v>
      </c>
      <c r="L15" s="1">
        <f t="shared" si="0"/>
        <v>6.8386443082087087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3.36</v>
      </c>
      <c r="V15">
        <v>1293603</v>
      </c>
      <c r="W15">
        <v>1293602.5</v>
      </c>
      <c r="X15">
        <v>200</v>
      </c>
      <c r="Y15">
        <v>216.428</v>
      </c>
      <c r="Z15">
        <v>8.1999999999999993</v>
      </c>
      <c r="AA15">
        <v>4906</v>
      </c>
      <c r="AB15">
        <v>9757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3.5</v>
      </c>
      <c r="G16">
        <v>51118</v>
      </c>
      <c r="H16">
        <v>51117.582000000002</v>
      </c>
      <c r="I16" cm="1">
        <f t="array" ref="I16">TREND($X$8:$X$12,$W$8:$W$12,H16)</f>
        <v>8.2526753212259631</v>
      </c>
      <c r="J16">
        <f>I16/(2/0.2)*3</f>
        <v>2.4758025963677888</v>
      </c>
      <c r="K16">
        <v>0.22299558014397355</v>
      </c>
      <c r="L16" s="1">
        <f t="shared" si="0"/>
        <v>11.102473846205051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3.36</v>
      </c>
      <c r="V16">
        <v>2712211</v>
      </c>
      <c r="W16">
        <v>2712210.75</v>
      </c>
      <c r="X16">
        <v>500</v>
      </c>
      <c r="Y16">
        <v>493.923</v>
      </c>
      <c r="Z16">
        <v>-1.2</v>
      </c>
      <c r="AA16">
        <v>17845</v>
      </c>
      <c r="AB16">
        <v>19049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3.51</v>
      </c>
      <c r="G17">
        <v>103493</v>
      </c>
      <c r="H17">
        <v>103493</v>
      </c>
      <c r="I17" cm="1">
        <f t="array" ref="I17">TREND($X$8:$X$12,$W$8:$W$12,H17)</f>
        <v>17.169931482606877</v>
      </c>
      <c r="J17">
        <f>I17/(2/0.2)*3</f>
        <v>5.1509794447820632</v>
      </c>
      <c r="K17">
        <v>0.1175417454223521</v>
      </c>
      <c r="L17" s="1">
        <f t="shared" si="0"/>
        <v>43.822553649118582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3.5</v>
      </c>
      <c r="G18">
        <v>85410</v>
      </c>
      <c r="H18">
        <v>85410.266000000003</v>
      </c>
      <c r="I18" cm="1">
        <f t="array" ref="I18">TREND($X$8:$X$12,$W$8:$W$12,H18)</f>
        <v>14.0912282028333</v>
      </c>
      <c r="J18">
        <f>I18/(2/0.2)*3</f>
        <v>4.2273684608499895</v>
      </c>
      <c r="K18">
        <v>0.11351678989862611</v>
      </c>
      <c r="L18" s="1">
        <f t="shared" si="0"/>
        <v>37.240028233930467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3.51</v>
      </c>
      <c r="G19">
        <v>104396</v>
      </c>
      <c r="H19">
        <v>104395.70299999999</v>
      </c>
      <c r="I19" cm="1">
        <f t="array" ref="I19">TREND($X$8:$X$12,$W$8:$W$12,H19)</f>
        <v>17.323622549829423</v>
      </c>
      <c r="J19">
        <f>I19/(2/0.2)*3</f>
        <v>5.1970867649488266</v>
      </c>
      <c r="K19">
        <v>8.4537110127798853E-2</v>
      </c>
      <c r="L19" s="1">
        <f t="shared" si="0"/>
        <v>61.476986344720537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3.5</v>
      </c>
      <c r="G20">
        <v>75089</v>
      </c>
      <c r="H20">
        <v>75089.312999999995</v>
      </c>
      <c r="I20" cm="1">
        <f t="array" ref="I20">TREND($X$8:$X$12,$W$8:$W$12,H20)</f>
        <v>12.334018709429868</v>
      </c>
      <c r="J20">
        <f>I20/(2/0.2)*3</f>
        <v>3.7002056128289604</v>
      </c>
      <c r="K20">
        <v>0.1078818521654097</v>
      </c>
      <c r="L20" s="1">
        <f t="shared" si="0"/>
        <v>34.298684519761721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3.5</v>
      </c>
      <c r="G21">
        <v>45520</v>
      </c>
      <c r="H21">
        <v>45520.324000000001</v>
      </c>
      <c r="I21" cm="1">
        <f t="array" ref="I21">TREND($X$8:$X$12,$W$8:$W$12,H21)</f>
        <v>7.2997056783423746</v>
      </c>
      <c r="J21">
        <f>I21/(2/0.2)*3</f>
        <v>2.1899117035027125</v>
      </c>
      <c r="K21">
        <v>0.14813140740266978</v>
      </c>
      <c r="L21" s="1">
        <f t="shared" si="0"/>
        <v>14.783574543039437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3.5</v>
      </c>
      <c r="G22">
        <v>47033</v>
      </c>
      <c r="H22">
        <v>47032.538999999997</v>
      </c>
      <c r="I22" cm="1">
        <f t="array" ref="I22">TREND($X$8:$X$12,$W$8:$W$12,H22)</f>
        <v>7.5571701347803657</v>
      </c>
      <c r="J22">
        <f>I22/(2/0.2)*3</f>
        <v>2.2671510404341095</v>
      </c>
      <c r="K22">
        <v>6.6022314718659172E-2</v>
      </c>
      <c r="L22" s="1">
        <f t="shared" si="0"/>
        <v>34.339163207093208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3.5</v>
      </c>
      <c r="G23">
        <v>67906</v>
      </c>
      <c r="H23">
        <v>67906.031000000003</v>
      </c>
      <c r="I23" cm="1">
        <f t="array" ref="I23">TREND($X$8:$X$12,$W$8:$W$12,H23)</f>
        <v>11.111018146963016</v>
      </c>
      <c r="J23">
        <f>I23/(2/0.2)*3</f>
        <v>3.3333054440889049</v>
      </c>
      <c r="K23">
        <v>0.22621554456295434</v>
      </c>
      <c r="L23" s="1">
        <f t="shared" si="0"/>
        <v>14.735085736609349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3.5</v>
      </c>
      <c r="G24">
        <v>59740</v>
      </c>
      <c r="H24">
        <v>59740.468999999997</v>
      </c>
      <c r="I24" cm="1">
        <f t="array" ref="I24">TREND($X$8:$X$12,$W$8:$W$12,H24)</f>
        <v>9.7207780145475002</v>
      </c>
      <c r="J24">
        <f>I24/(2/0.2)*3</f>
        <v>2.9162334043642497</v>
      </c>
      <c r="K24">
        <v>0.21897062462024752</v>
      </c>
      <c r="L24" s="1">
        <f t="shared" si="0"/>
        <v>13.317920654525068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3.5</v>
      </c>
      <c r="G25">
        <v>61229</v>
      </c>
      <c r="H25">
        <v>61229.406000000003</v>
      </c>
      <c r="I25" cm="1">
        <f t="array" ref="I25">TREND($X$8:$X$12,$W$8:$W$12,H25)</f>
        <v>9.9742792398199764</v>
      </c>
      <c r="J25">
        <f>I25/(2/0.2)*3</f>
        <v>2.9922837719459929</v>
      </c>
      <c r="K25">
        <v>0.11271179879388092</v>
      </c>
      <c r="L25" s="1">
        <f t="shared" si="0"/>
        <v>26.548097040116112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3.5</v>
      </c>
      <c r="G26">
        <v>58140</v>
      </c>
      <c r="H26">
        <v>58140.394999999997</v>
      </c>
      <c r="I26" cm="1">
        <f t="array" ref="I26">TREND($X$8:$X$12,$W$8:$W$12,H26)</f>
        <v>9.4483549909228408</v>
      </c>
      <c r="J26">
        <f>I26/(2/0.2)*3</f>
        <v>2.8345064972768519</v>
      </c>
      <c r="K26">
        <v>9.1782030070505644E-2</v>
      </c>
      <c r="L26" s="1">
        <f t="shared" si="0"/>
        <v>30.88302247291136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3.5</v>
      </c>
      <c r="G27">
        <v>63585</v>
      </c>
      <c r="H27">
        <v>63584.527000000002</v>
      </c>
      <c r="I27" cm="1">
        <f t="array" ref="I27">TREND($X$8:$X$12,$W$8:$W$12,H27)</f>
        <v>10.375253934629049</v>
      </c>
      <c r="J27">
        <f>I27/(2/0.2)*3</f>
        <v>3.1125761803887149</v>
      </c>
      <c r="K27">
        <v>0.16584121170706426</v>
      </c>
      <c r="L27" s="1">
        <f t="shared" si="0"/>
        <v>18.768411954723614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3.5</v>
      </c>
      <c r="G28">
        <v>62853</v>
      </c>
      <c r="H28">
        <v>62852.565999999999</v>
      </c>
      <c r="I28" cm="1">
        <f t="array" ref="I28">TREND($X$8:$X$12,$W$8:$W$12,H28)</f>
        <v>10.250632805359196</v>
      </c>
      <c r="J28">
        <f>I28/(2/0.2)*3</f>
        <v>3.075189841607759</v>
      </c>
      <c r="K28">
        <v>0.20850574025855992</v>
      </c>
      <c r="L28" s="1">
        <f t="shared" si="0"/>
        <v>14.748705900347563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3.5</v>
      </c>
      <c r="G29">
        <v>58465</v>
      </c>
      <c r="H29">
        <v>58465.472999999998</v>
      </c>
      <c r="I29" cm="1">
        <f t="array" ref="I29">TREND($X$8:$X$12,$W$8:$W$12,H29)</f>
        <v>9.5037016384365547</v>
      </c>
      <c r="J29">
        <f>I29/(2/0.2)*3</f>
        <v>2.8511104915309664</v>
      </c>
      <c r="K29">
        <v>0.15457133624063138</v>
      </c>
      <c r="L29" s="1">
        <f t="shared" si="0"/>
        <v>18.445272977988978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3.5</v>
      </c>
      <c r="G30">
        <v>70469</v>
      </c>
      <c r="H30">
        <v>70469.172000000006</v>
      </c>
      <c r="I30" cm="1">
        <f t="array" ref="I30">TREND($X$8:$X$12,$W$8:$W$12,H30)</f>
        <v>11.547409602105924</v>
      </c>
      <c r="J30">
        <f>I30/(2/0.2)*3</f>
        <v>3.4642228806317776</v>
      </c>
      <c r="K30">
        <v>0.22863051787718996</v>
      </c>
      <c r="L30" s="1">
        <f t="shared" si="0"/>
        <v>15.152058057676284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3.5</v>
      </c>
      <c r="G31">
        <v>58996</v>
      </c>
      <c r="H31">
        <v>58995.796999999999</v>
      </c>
      <c r="I31" cm="1">
        <f t="array" ref="I31">TREND($X$8:$X$12,$W$8:$W$12,H31)</f>
        <v>9.5939927547103796</v>
      </c>
      <c r="J31">
        <f>I31/(2/0.2)*3</f>
        <v>2.8781978264131141</v>
      </c>
      <c r="K31">
        <v>0.19079593595416544</v>
      </c>
      <c r="L31" s="1">
        <f t="shared" si="0"/>
        <v>15.085215583965784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3.5</v>
      </c>
      <c r="G32">
        <v>71728</v>
      </c>
      <c r="H32">
        <v>71728.125</v>
      </c>
      <c r="I32" cm="1">
        <f t="array" ref="I32">TREND($X$8:$X$12,$W$8:$W$12,H32)</f>
        <v>11.761754552940282</v>
      </c>
      <c r="J32">
        <f>I32/(2/0.2)*3</f>
        <v>3.5285263658820849</v>
      </c>
      <c r="K32">
        <v>0.13122659420302052</v>
      </c>
      <c r="L32" s="1">
        <f t="shared" si="0"/>
        <v>26.888805484223006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3.5</v>
      </c>
      <c r="G33">
        <v>61758</v>
      </c>
      <c r="H33">
        <v>61757.722999999998</v>
      </c>
      <c r="I33" cm="1">
        <f t="array" ref="I33">TREND($X$8:$X$12,$W$8:$W$12,H33)</f>
        <v>10.064228651267388</v>
      </c>
      <c r="J33">
        <f>I33/(2/0.2)*3</f>
        <v>3.0192685953802165</v>
      </c>
      <c r="K33">
        <v>0.13927650525047255</v>
      </c>
      <c r="L33" s="1">
        <f t="shared" si="0"/>
        <v>21.678233453305094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3.5</v>
      </c>
      <c r="G34">
        <v>38837</v>
      </c>
      <c r="H34">
        <v>38836.987999999998</v>
      </c>
      <c r="I34" cm="1">
        <f t="array" ref="I34">TREND($X$8:$X$12,$W$8:$W$12,H34)</f>
        <v>6.1618241797244746</v>
      </c>
      <c r="J34">
        <f>I34/(2/0.2)*3</f>
        <v>1.8485472539173422</v>
      </c>
      <c r="K34">
        <v>9.7416967803722054E-2</v>
      </c>
      <c r="L34" s="1">
        <f t="shared" si="0"/>
        <v>18.975618884400486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3.5</v>
      </c>
      <c r="G35">
        <v>34205</v>
      </c>
      <c r="H35">
        <v>34205.042999999998</v>
      </c>
      <c r="I35" cm="1">
        <f t="array" ref="I35">TREND($X$8:$X$12,$W$8:$W$12,H35)</f>
        <v>5.373205364492728</v>
      </c>
      <c r="J35">
        <f>I35/(2/0.2)*3</f>
        <v>1.6119616093478184</v>
      </c>
      <c r="K35">
        <v>7.4877216870856411E-2</v>
      </c>
      <c r="L35" s="1">
        <f t="shared" si="0"/>
        <v>21.528065234155672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3.5</v>
      </c>
      <c r="G36">
        <v>67152</v>
      </c>
      <c r="H36">
        <v>67151.922000000006</v>
      </c>
      <c r="I36" cm="1">
        <f t="array" ref="I36">TREND($X$8:$X$12,$W$8:$W$12,H36)</f>
        <v>10.982626176390049</v>
      </c>
      <c r="J36">
        <f>I36/(2/0.2)*3</f>
        <v>3.2947878529170147</v>
      </c>
      <c r="K36">
        <v>0.14491144298368897</v>
      </c>
      <c r="L36" s="1">
        <f t="shared" si="0"/>
        <v>22.736560930442682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3.5</v>
      </c>
      <c r="G37">
        <v>82047</v>
      </c>
      <c r="H37">
        <v>82046.914000000004</v>
      </c>
      <c r="I37" cm="1">
        <f t="array" ref="I37">TREND($X$8:$X$12,$W$8:$W$12,H37)</f>
        <v>13.518595611244383</v>
      </c>
      <c r="J37">
        <f>I37/(2/0.2)*3</f>
        <v>4.0555786833733141</v>
      </c>
      <c r="K37">
        <v>0.14571643408843418</v>
      </c>
      <c r="L37" s="1">
        <f t="shared" si="0"/>
        <v>27.831992381257521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3.5</v>
      </c>
      <c r="G38">
        <v>70880</v>
      </c>
      <c r="H38">
        <v>70879.827999999994</v>
      </c>
      <c r="I38" cm="1">
        <f t="array" ref="I38">TREND($X$8:$X$12,$W$8:$W$12,H38)</f>
        <v>11.61732646169467</v>
      </c>
      <c r="J38">
        <f>I38/(2/0.2)*3</f>
        <v>3.4851979385084011</v>
      </c>
      <c r="K38">
        <v>0.26405012648597881</v>
      </c>
      <c r="L38" s="1">
        <f t="shared" si="0"/>
        <v>13.199001208179565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3.5</v>
      </c>
      <c r="G39">
        <v>70234</v>
      </c>
      <c r="H39">
        <v>70234.304999999993</v>
      </c>
      <c r="I39" cm="1">
        <f t="array" ref="I39">TREND($X$8:$X$12,$W$8:$W$12,H39)</f>
        <v>11.5074219651031</v>
      </c>
      <c r="J39">
        <f>I39/(2/0.2)*3</f>
        <v>3.4522265895309299</v>
      </c>
      <c r="K39">
        <v>0.17469611385926145</v>
      </c>
      <c r="L39" s="1">
        <f t="shared" si="0"/>
        <v>19.761324469484823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3.5</v>
      </c>
      <c r="G40">
        <v>39552</v>
      </c>
      <c r="H40">
        <v>39551.656000000003</v>
      </c>
      <c r="I40" cm="1">
        <f t="array" ref="I40">TREND($X$8:$X$12,$W$8:$W$12,H40)</f>
        <v>6.283501063073488</v>
      </c>
      <c r="J40">
        <f>I40/(2/0.2)*3</f>
        <v>1.8850503189220462</v>
      </c>
      <c r="K40">
        <v>0.1175417454223521</v>
      </c>
      <c r="L40" s="1">
        <f t="shared" si="0"/>
        <v>16.037283708427722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3.5</v>
      </c>
      <c r="G41">
        <v>33671</v>
      </c>
      <c r="H41">
        <v>33671.394999999997</v>
      </c>
      <c r="I41" cm="1">
        <f t="array" ref="I41">TREND($X$8:$X$12,$W$8:$W$12,H41)</f>
        <v>5.2823483155617081</v>
      </c>
      <c r="J41">
        <f>I41/(2/0.2)*3</f>
        <v>1.5847044946685123</v>
      </c>
      <c r="K41">
        <v>0.14813140740266978</v>
      </c>
      <c r="L41" s="1">
        <f t="shared" si="0"/>
        <v>10.69796420931022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3.5</v>
      </c>
      <c r="G42">
        <v>89770</v>
      </c>
      <c r="H42">
        <v>89769.75</v>
      </c>
      <c r="I42" cm="1">
        <f t="array" ref="I42">TREND($X$8:$X$12,$W$8:$W$12,H42)</f>
        <v>14.833458757622218</v>
      </c>
      <c r="J42">
        <f>I42/(2/0.2)*3</f>
        <v>4.4500376272866653</v>
      </c>
      <c r="K42">
        <v>0.11673675431760691</v>
      </c>
      <c r="L42" s="1">
        <f t="shared" si="0"/>
        <v>38.120278855615609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3.5</v>
      </c>
      <c r="G43">
        <v>42910</v>
      </c>
      <c r="H43">
        <v>42910.273000000001</v>
      </c>
      <c r="I43" cm="1">
        <f t="array" ref="I43">TREND($X$8:$X$12,$W$8:$W$12,H43)</f>
        <v>6.8553274900619794</v>
      </c>
      <c r="J43">
        <f>I43/(2/0.2)*3</f>
        <v>2.0565982470185942</v>
      </c>
      <c r="K43">
        <v>8.6147092337289247E-2</v>
      </c>
      <c r="L43" s="1">
        <f t="shared" si="0"/>
        <v>23.8731011252992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3.5</v>
      </c>
      <c r="G44">
        <v>84454</v>
      </c>
      <c r="H44">
        <v>84453.672000000006</v>
      </c>
      <c r="I44" cm="1">
        <f t="array" ref="I44">TREND($X$8:$X$12,$W$8:$W$12,H44)</f>
        <v>13.928361841739246</v>
      </c>
      <c r="J44">
        <f>I44/(2/0.2)*3</f>
        <v>4.1785085525217731</v>
      </c>
      <c r="K44">
        <v>8.9367056756270047E-2</v>
      </c>
      <c r="L44" s="1">
        <f t="shared" si="0"/>
        <v>46.756698767844412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3.5</v>
      </c>
      <c r="G45">
        <v>65422</v>
      </c>
      <c r="H45">
        <v>65422.285000000003</v>
      </c>
      <c r="I45" cm="1">
        <f t="array" ref="I45">TREND($X$8:$X$12,$W$8:$W$12,H45)</f>
        <v>10.688144207860416</v>
      </c>
      <c r="J45">
        <f>I45/(2/0.2)*3</f>
        <v>3.2064432623581252</v>
      </c>
      <c r="K45">
        <v>9.3392012279996037E-2</v>
      </c>
      <c r="L45" s="1">
        <f t="shared" si="0"/>
        <v>34.333163876424202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3.5</v>
      </c>
      <c r="G46">
        <v>57289</v>
      </c>
      <c r="H46">
        <v>57289.468999999997</v>
      </c>
      <c r="I46" cm="1">
        <f t="array" ref="I46">TREND($X$8:$X$12,$W$8:$W$12,H46)</f>
        <v>9.3034792952982404</v>
      </c>
      <c r="J46">
        <f>I46/(2/0.2)*3</f>
        <v>2.7910437885894721</v>
      </c>
      <c r="K46">
        <v>0.18918595374467503</v>
      </c>
      <c r="L46" s="1">
        <f t="shared" si="0"/>
        <v>14.752912324327518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3.5</v>
      </c>
      <c r="G47">
        <v>67808</v>
      </c>
      <c r="H47">
        <v>67808.358999999997</v>
      </c>
      <c r="I47" cm="1">
        <f t="array" ref="I47">TREND($X$8:$X$12,$W$8:$W$12,H47)</f>
        <v>11.094388852590711</v>
      </c>
      <c r="J47">
        <f>I47/(2/0.2)*3</f>
        <v>3.328316655777213</v>
      </c>
      <c r="K47">
        <v>9.2587021175250833E-2</v>
      </c>
      <c r="L47" s="1">
        <f t="shared" si="0"/>
        <v>35.947982919520641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3.5</v>
      </c>
      <c r="G48">
        <v>39302</v>
      </c>
      <c r="H48">
        <v>39301.559000000001</v>
      </c>
      <c r="I48" cm="1">
        <f t="array" ref="I48">TREND($X$8:$X$12,$W$8:$W$12,H48)</f>
        <v>6.2409204193411005</v>
      </c>
      <c r="J48">
        <f>I48/(2/0.2)*3</f>
        <v>1.8722761258023302</v>
      </c>
      <c r="K48">
        <v>0.14974138961216016</v>
      </c>
      <c r="L48" s="1">
        <f t="shared" si="0"/>
        <v>12.503397561967642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3.5</v>
      </c>
      <c r="G49">
        <v>69057</v>
      </c>
      <c r="H49">
        <v>69056.726999999999</v>
      </c>
      <c r="I49" cm="1">
        <f t="array" ref="I49">TREND($X$8:$X$12,$W$8:$W$12,H49)</f>
        <v>11.306931638209544</v>
      </c>
      <c r="J49">
        <f>I49/(2/0.2)*3</f>
        <v>3.3920794914628636</v>
      </c>
      <c r="K49">
        <v>0.19965083810636269</v>
      </c>
      <c r="L49" s="1">
        <f t="shared" si="0"/>
        <v>16.990058862942288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3.5</v>
      </c>
      <c r="G50">
        <v>94221</v>
      </c>
      <c r="H50">
        <v>94220.687999999995</v>
      </c>
      <c r="I50" cm="1">
        <f t="array" ref="I50">TREND($X$8:$X$12,$W$8:$W$12,H50)</f>
        <v>15.591259951770672</v>
      </c>
      <c r="J50">
        <f>I50/(2/0.2)*3</f>
        <v>4.6773779855312014</v>
      </c>
      <c r="K50">
        <v>0.22058060682973793</v>
      </c>
      <c r="L50" s="1">
        <f t="shared" si="0"/>
        <v>21.204846848306943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3.5</v>
      </c>
      <c r="G51">
        <v>122945</v>
      </c>
      <c r="H51">
        <v>122945.469</v>
      </c>
      <c r="I51" cm="1">
        <f t="array" ref="I51">TREND($X$8:$X$12,$W$8:$W$12,H51)</f>
        <v>20.481841070504032</v>
      </c>
      <c r="J51">
        <f>I51/(2/0.2)*3</f>
        <v>6.1445523211512096</v>
      </c>
      <c r="K51">
        <v>0.12720163867929454</v>
      </c>
      <c r="L51" s="1">
        <f t="shared" si="0"/>
        <v>48.305606633284661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3.5</v>
      </c>
      <c r="G52">
        <v>100950</v>
      </c>
      <c r="H52">
        <v>100950.367</v>
      </c>
      <c r="I52" cm="1">
        <f t="array" ref="I52">TREND($X$8:$X$12,$W$8:$W$12,H52)</f>
        <v>16.737031648081825</v>
      </c>
      <c r="J52">
        <f>I52/(2/0.2)*3</f>
        <v>5.0211094944245467</v>
      </c>
      <c r="K52">
        <v>0.1594012828691026</v>
      </c>
      <c r="L52" s="1">
        <f t="shared" si="0"/>
        <v>31.499806049539696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3.5</v>
      </c>
      <c r="G53">
        <v>135137</v>
      </c>
      <c r="H53">
        <v>135136.734</v>
      </c>
      <c r="I53" cm="1">
        <f t="array" ref="I53">TREND($X$8:$X$12,$W$8:$W$12,H53)</f>
        <v>22.557483367741213</v>
      </c>
      <c r="J53">
        <f>I53/(2/0.2)*3</f>
        <v>6.7672450103223634</v>
      </c>
      <c r="K53">
        <v>0.14491144298368897</v>
      </c>
      <c r="L53" s="1">
        <f t="shared" si="0"/>
        <v>46.699176207113439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3.5</v>
      </c>
      <c r="G54">
        <v>60122</v>
      </c>
      <c r="H54">
        <v>60121.612999999998</v>
      </c>
      <c r="I54" cm="1">
        <f t="array" ref="I54">TREND($X$8:$X$12,$W$8:$W$12,H54)</f>
        <v>9.785670263853719</v>
      </c>
      <c r="J54">
        <f>I54/(2/0.2)*3</f>
        <v>2.9357010791561153</v>
      </c>
      <c r="K54">
        <v>0.24553533107683917</v>
      </c>
      <c r="L54" s="1">
        <f t="shared" si="0"/>
        <v>11.956328509958515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3.5</v>
      </c>
      <c r="G55">
        <v>46938</v>
      </c>
      <c r="H55">
        <v>46938.43</v>
      </c>
      <c r="I55" cm="1">
        <f t="array" ref="I55">TREND($X$8:$X$12,$W$8:$W$12,H55)</f>
        <v>7.5411474643724397</v>
      </c>
      <c r="J55">
        <f>I55/(2/0.2)*3</f>
        <v>2.2623442393117319</v>
      </c>
      <c r="K55">
        <v>0.3002747261995129</v>
      </c>
      <c r="L55" s="1">
        <f t="shared" si="0"/>
        <v>7.534247946690499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3.5</v>
      </c>
      <c r="G56">
        <v>85782</v>
      </c>
      <c r="H56">
        <v>85782.437999999995</v>
      </c>
      <c r="I56" cm="1">
        <f t="array" ref="I56">TREND($X$8:$X$12,$W$8:$W$12,H56)</f>
        <v>14.154592910683332</v>
      </c>
      <c r="J56">
        <f>I56/(2/0.2)*3</f>
        <v>4.2463778732049997</v>
      </c>
      <c r="K56">
        <v>0.17147614944028067</v>
      </c>
      <c r="L56" s="1">
        <f t="shared" si="0"/>
        <v>24.763664725769161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3.5</v>
      </c>
      <c r="G57">
        <v>61016</v>
      </c>
      <c r="H57">
        <v>61015.519999999997</v>
      </c>
      <c r="I57" cm="1">
        <f t="array" ref="I57">TREND($X$8:$X$12,$W$8:$W$12,H57)</f>
        <v>9.9378637547667932</v>
      </c>
      <c r="J57">
        <f>I57/(2/0.2)*3</f>
        <v>2.9813591264300383</v>
      </c>
      <c r="K57">
        <v>0.18113604269722305</v>
      </c>
      <c r="L57" s="1">
        <f t="shared" si="0"/>
        <v>16.459226347422817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3.5</v>
      </c>
      <c r="G58">
        <v>128768</v>
      </c>
      <c r="H58">
        <v>128768.266</v>
      </c>
      <c r="I58" cm="1">
        <f t="array" ref="I58">TREND($X$8:$X$12,$W$8:$W$12,H58)</f>
        <v>21.473210197614776</v>
      </c>
      <c r="J58">
        <f>I58/(2/0.2)*3</f>
        <v>6.4419630592844328</v>
      </c>
      <c r="K58">
        <v>8.2927127918308433E-2</v>
      </c>
      <c r="L58" s="1">
        <f t="shared" si="0"/>
        <v>77.682215952666482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3.5</v>
      </c>
      <c r="G59">
        <v>63253</v>
      </c>
      <c r="H59">
        <v>63252.785000000003</v>
      </c>
      <c r="I59" cm="1">
        <f t="array" ref="I59">TREND($X$8:$X$12,$W$8:$W$12,H59)</f>
        <v>10.3187726976967</v>
      </c>
      <c r="J59">
        <f>I59/(2/0.2)*3</f>
        <v>3.0956318093090096</v>
      </c>
      <c r="K59">
        <v>0.11593176321286171</v>
      </c>
      <c r="L59" s="1">
        <f t="shared" si="0"/>
        <v>26.702188628194467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3.5</v>
      </c>
      <c r="G60">
        <v>59339</v>
      </c>
      <c r="H60">
        <v>59338.781000000003</v>
      </c>
      <c r="I60" cm="1">
        <f t="array" ref="I60">TREND($X$8:$X$12,$W$8:$W$12,H60)</f>
        <v>9.6523880153888744</v>
      </c>
      <c r="J60">
        <f>I60/(2/0.2)*3</f>
        <v>2.8957164046166621</v>
      </c>
      <c r="K60">
        <v>0.17469611385926145</v>
      </c>
      <c r="L60" s="1">
        <f t="shared" si="0"/>
        <v>16.575734517766701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3.5</v>
      </c>
      <c r="G61">
        <v>69906</v>
      </c>
      <c r="H61">
        <v>69905.531000000003</v>
      </c>
      <c r="I61" cm="1">
        <f t="array" ref="I61">TREND($X$8:$X$12,$W$8:$W$12,H61)</f>
        <v>11.451446049508464</v>
      </c>
      <c r="J61">
        <f>I61/(2/0.2)*3</f>
        <v>3.4354338148525394</v>
      </c>
      <c r="K61">
        <v>0.17952606048773259</v>
      </c>
      <c r="L61" s="1">
        <f t="shared" si="0"/>
        <v>19.136128791102671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3.5</v>
      </c>
      <c r="G62">
        <v>43084</v>
      </c>
      <c r="H62">
        <v>43084.394999999997</v>
      </c>
      <c r="I62" cm="1">
        <f t="array" ref="I62">TREND($X$8:$X$12,$W$8:$W$12,H62)</f>
        <v>6.8849728950367313</v>
      </c>
      <c r="J62">
        <f>I62/(2/0.2)*3</f>
        <v>2.0654918685110193</v>
      </c>
      <c r="K62">
        <v>0.19723586479212707</v>
      </c>
      <c r="L62" s="1">
        <f t="shared" si="0"/>
        <v>10.47219211722931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3.5</v>
      </c>
      <c r="G63">
        <v>72541</v>
      </c>
      <c r="H63">
        <v>72540.608999999997</v>
      </c>
      <c r="I63" cm="1">
        <f t="array" ref="I63">TREND($X$8:$X$12,$W$8:$W$12,H63)</f>
        <v>11.900085247599813</v>
      </c>
      <c r="J63">
        <f>I63/(2/0.2)*3</f>
        <v>3.5700255742799443</v>
      </c>
      <c r="K63">
        <v>0.28417490410460888</v>
      </c>
      <c r="L63" s="1">
        <f t="shared" si="0"/>
        <v>12.562775680451242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3.5</v>
      </c>
      <c r="G64">
        <v>62006</v>
      </c>
      <c r="H64">
        <v>62005.805</v>
      </c>
      <c r="I64" cm="1">
        <f t="array" ref="I64">TREND($X$8:$X$12,$W$8:$W$12,H64)</f>
        <v>10.106466228121242</v>
      </c>
      <c r="J64">
        <f>I64/(2/0.2)*3</f>
        <v>3.031939868436373</v>
      </c>
      <c r="K64">
        <v>0.17872106938298743</v>
      </c>
      <c r="L64" s="1">
        <f t="shared" si="0"/>
        <v>16.964647083322483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3.5</v>
      </c>
      <c r="G65">
        <v>58528</v>
      </c>
      <c r="H65">
        <v>58528.148000000001</v>
      </c>
      <c r="I65" cm="1">
        <f t="array" ref="I65">TREND($X$8:$X$12,$W$8:$W$12,H65)</f>
        <v>9.5143724655393491</v>
      </c>
      <c r="J65">
        <f>I65/(2/0.2)*3</f>
        <v>2.8543117396618047</v>
      </c>
      <c r="K65">
        <v>0.19884584700161748</v>
      </c>
      <c r="L65" s="1">
        <f t="shared" si="0"/>
        <v>14.354394535776184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3.5</v>
      </c>
      <c r="G66">
        <v>95552</v>
      </c>
      <c r="H66">
        <v>95551.648000000001</v>
      </c>
      <c r="I66" cm="1">
        <f t="array" ref="I66">TREND($X$8:$X$12,$W$8:$W$12,H66)</f>
        <v>15.817864563509554</v>
      </c>
      <c r="J66">
        <f>I66/(2/0.2)*3</f>
        <v>4.7453593690528661</v>
      </c>
      <c r="K66">
        <v>0.17469611385926145</v>
      </c>
      <c r="L66" s="1">
        <f t="shared" si="0"/>
        <v>27.163508473209763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3.5</v>
      </c>
      <c r="G67">
        <v>35004</v>
      </c>
      <c r="H67">
        <v>35004.366999999998</v>
      </c>
      <c r="I67" cm="1">
        <f t="array" ref="I67">TREND($X$8:$X$12,$W$8:$W$12,H67)</f>
        <v>5.5092954834095762</v>
      </c>
      <c r="J67">
        <f>I67/(2/0.2)*3</f>
        <v>1.652788645022873</v>
      </c>
      <c r="K67">
        <v>0.24875529549582001</v>
      </c>
      <c r="L67" s="1">
        <f t="shared" si="0"/>
        <v>6.6442350171019608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3.5</v>
      </c>
      <c r="G68">
        <v>32406</v>
      </c>
      <c r="H68">
        <v>32406.232</v>
      </c>
      <c r="I68" cm="1">
        <f t="array" ref="I68">TREND($X$8:$X$12,$W$8:$W$12,H68)</f>
        <v>5.0669460717667061</v>
      </c>
      <c r="J68">
        <f>I68/(2/0.2)*3</f>
        <v>1.5200838215300116</v>
      </c>
      <c r="K68">
        <v>0.18274602490671343</v>
      </c>
      <c r="L68" s="1">
        <f t="shared" si="0"/>
        <v>8.3180130583194387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3.5</v>
      </c>
      <c r="G69">
        <v>49349</v>
      </c>
      <c r="H69">
        <v>49348.538999999997</v>
      </c>
      <c r="I69" cm="1">
        <f t="array" ref="I69">TREND($X$8:$X$12,$W$8:$W$12,H69)</f>
        <v>7.9514842244504127</v>
      </c>
      <c r="J69">
        <f>I69/(2/0.2)*3</f>
        <v>2.3854452673351236</v>
      </c>
      <c r="K69">
        <v>0.10063693222270288</v>
      </c>
      <c r="L69" s="1">
        <f t="shared" si="0"/>
        <v>23.703477586700387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3.5</v>
      </c>
      <c r="G70">
        <v>104684</v>
      </c>
      <c r="H70">
        <v>104683.82799999999</v>
      </c>
      <c r="I70" cm="1">
        <f t="array" ref="I70">TREND($X$8:$X$12,$W$8:$W$12,H70)</f>
        <v>17.372677708329505</v>
      </c>
      <c r="J70">
        <f>I70/(2/0.2)*3</f>
        <v>5.2118033124988514</v>
      </c>
      <c r="K70">
        <v>0.12156670094607813</v>
      </c>
      <c r="L70" s="1">
        <f t="shared" si="0"/>
        <v>42.871964706935557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3.5</v>
      </c>
      <c r="G71">
        <v>56052</v>
      </c>
      <c r="H71">
        <v>56052.309000000001</v>
      </c>
      <c r="I71" cm="1">
        <f t="array" ref="I71">TREND($X$8:$X$12,$W$8:$W$12,H71)</f>
        <v>9.0928447447040295</v>
      </c>
      <c r="J71">
        <f>I71/(2/0.2)*3</f>
        <v>2.7278534234112088</v>
      </c>
      <c r="K71">
        <v>8.8562065651524843E-2</v>
      </c>
      <c r="L71" s="1">
        <f t="shared" si="0"/>
        <v>30.801601152177295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3.5</v>
      </c>
      <c r="G72">
        <v>43566</v>
      </c>
      <c r="H72">
        <v>43565.953000000001</v>
      </c>
      <c r="I72" cm="1">
        <f t="array" ref="I72">TREND($X$8:$X$12,$W$8:$W$12,H72)</f>
        <v>6.9669612820804838</v>
      </c>
      <c r="J72">
        <f>I72/(2/0.2)*3</f>
        <v>2.0900883846241451</v>
      </c>
      <c r="K72">
        <v>0.13766652304098212</v>
      </c>
      <c r="L72" s="1">
        <f t="shared" si="0"/>
        <v>15.182255921448268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3.5</v>
      </c>
      <c r="G73">
        <v>15127</v>
      </c>
      <c r="H73">
        <v>15127.09</v>
      </c>
      <c r="I73" cm="1">
        <f t="array" ref="I73">TREND($X$8:$X$12,$W$8:$W$12,H73)</f>
        <v>2.1250595657177085</v>
      </c>
      <c r="J73">
        <f>I73/(2/0.2)*3</f>
        <v>0.63751786971531255</v>
      </c>
      <c r="K73">
        <v>8.2122136813563229E-2</v>
      </c>
      <c r="L73" s="1">
        <f t="shared" ref="L73" si="1">J73/K73</f>
        <v>7.7630453182511516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3.48</v>
      </c>
      <c r="G74">
        <v>2431</v>
      </c>
      <c r="H74">
        <v>2431.1379999999999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8B5D-77CA-4BEE-BDEC-44095B8DDFB1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280</v>
      </c>
      <c r="P3" t="s">
        <v>94</v>
      </c>
    </row>
    <row r="5" spans="1:28" x14ac:dyDescent="0.3">
      <c r="A5" t="s">
        <v>281</v>
      </c>
      <c r="P5" t="s">
        <v>58</v>
      </c>
    </row>
    <row r="7" spans="1:28" x14ac:dyDescent="0.3">
      <c r="B7" t="s">
        <v>2</v>
      </c>
      <c r="C7" t="s">
        <v>3</v>
      </c>
      <c r="D7" t="s">
        <v>4</v>
      </c>
      <c r="E7" t="s">
        <v>5</v>
      </c>
      <c r="F7" t="s">
        <v>7</v>
      </c>
      <c r="G7" t="s">
        <v>8</v>
      </c>
      <c r="H7" t="s">
        <v>9</v>
      </c>
      <c r="I7" t="s">
        <v>10</v>
      </c>
      <c r="J7" t="s">
        <v>282</v>
      </c>
      <c r="K7" t="s">
        <v>283</v>
      </c>
      <c r="L7" t="s">
        <v>284</v>
      </c>
      <c r="Q7" t="s">
        <v>2</v>
      </c>
      <c r="R7" t="s">
        <v>3</v>
      </c>
      <c r="S7" t="s">
        <v>4</v>
      </c>
      <c r="T7" t="s">
        <v>5</v>
      </c>
      <c r="U7" t="s">
        <v>7</v>
      </c>
      <c r="V7" t="s">
        <v>8</v>
      </c>
      <c r="W7" t="s">
        <v>9</v>
      </c>
      <c r="X7" t="s">
        <v>6</v>
      </c>
      <c r="Y7" t="s">
        <v>10</v>
      </c>
      <c r="Z7" t="s">
        <v>11</v>
      </c>
      <c r="AA7" t="s">
        <v>12</v>
      </c>
      <c r="AB7" t="s">
        <v>12</v>
      </c>
    </row>
    <row r="8" spans="1:28" x14ac:dyDescent="0.3">
      <c r="A8">
        <v>1</v>
      </c>
      <c r="B8" t="s">
        <v>97</v>
      </c>
      <c r="C8" t="s">
        <v>285</v>
      </c>
      <c r="D8" t="s">
        <v>23</v>
      </c>
      <c r="E8" t="s">
        <v>24</v>
      </c>
      <c r="F8">
        <v>3.64</v>
      </c>
      <c r="G8">
        <v>4807</v>
      </c>
      <c r="H8">
        <v>4807.4650000000001</v>
      </c>
      <c r="I8">
        <f>$X$8*H8/$V$8</f>
        <v>0.57900337227508136</v>
      </c>
      <c r="J8">
        <f>I8/(2/0.2)*3</f>
        <v>0.17370101168252439</v>
      </c>
      <c r="K8">
        <v>0.10224691443219328</v>
      </c>
      <c r="L8" s="1">
        <f>J8/K8</f>
        <v>1.6988386656666992</v>
      </c>
      <c r="P8">
        <v>1</v>
      </c>
      <c r="Q8" t="s">
        <v>74</v>
      </c>
      <c r="R8" t="s">
        <v>39</v>
      </c>
      <c r="S8" t="s">
        <v>13</v>
      </c>
      <c r="T8" t="s">
        <v>14</v>
      </c>
      <c r="U8">
        <v>3.36</v>
      </c>
      <c r="V8">
        <v>8303</v>
      </c>
      <c r="W8">
        <v>8303.0959999999995</v>
      </c>
      <c r="X8">
        <v>1</v>
      </c>
      <c r="Y8">
        <v>1.1919999999999999</v>
      </c>
      <c r="Z8">
        <v>19.2</v>
      </c>
      <c r="AA8">
        <v>58</v>
      </c>
      <c r="AB8">
        <v>58</v>
      </c>
    </row>
    <row r="9" spans="1:28" x14ac:dyDescent="0.3">
      <c r="A9">
        <v>2</v>
      </c>
      <c r="B9" t="s">
        <v>98</v>
      </c>
      <c r="C9" t="s">
        <v>286</v>
      </c>
      <c r="D9" t="s">
        <v>23</v>
      </c>
      <c r="E9" t="s">
        <v>25</v>
      </c>
      <c r="F9">
        <v>3.64</v>
      </c>
      <c r="G9">
        <v>11540</v>
      </c>
      <c r="H9">
        <v>11539.903</v>
      </c>
      <c r="I9">
        <f>$X$8*H9/$V$8</f>
        <v>1.3898474045525715</v>
      </c>
      <c r="J9">
        <f>I9/(2/0.2)*3</f>
        <v>0.41695422136577148</v>
      </c>
      <c r="K9">
        <v>0.12639664757454935</v>
      </c>
      <c r="L9" s="1">
        <f t="shared" ref="L9:L72" si="0">J9/K9</f>
        <v>3.2987759514733161</v>
      </c>
      <c r="P9">
        <v>2</v>
      </c>
      <c r="Q9" t="s">
        <v>75</v>
      </c>
      <c r="R9" t="s">
        <v>41</v>
      </c>
      <c r="S9" t="s">
        <v>13</v>
      </c>
      <c r="T9" t="s">
        <v>15</v>
      </c>
      <c r="U9">
        <v>3.36</v>
      </c>
      <c r="V9">
        <v>12565</v>
      </c>
      <c r="W9">
        <v>12565.313</v>
      </c>
      <c r="X9">
        <v>2</v>
      </c>
      <c r="Y9">
        <v>1.8640000000000001</v>
      </c>
      <c r="Z9">
        <v>-6.8</v>
      </c>
      <c r="AA9">
        <v>156</v>
      </c>
      <c r="AB9">
        <v>56</v>
      </c>
    </row>
    <row r="10" spans="1:28" x14ac:dyDescent="0.3">
      <c r="A10">
        <v>3</v>
      </c>
      <c r="B10" t="s">
        <v>99</v>
      </c>
      <c r="C10" t="s">
        <v>287</v>
      </c>
      <c r="D10" t="s">
        <v>23</v>
      </c>
      <c r="E10" t="s">
        <v>26</v>
      </c>
      <c r="F10">
        <v>3.64</v>
      </c>
      <c r="G10">
        <v>4527</v>
      </c>
      <c r="H10">
        <v>4526.8419999999996</v>
      </c>
      <c r="I10">
        <f>$X$8*H10/$V$8</f>
        <v>0.5452055883415633</v>
      </c>
      <c r="J10">
        <f>I10/(2/0.2)*3</f>
        <v>0.163561676502469</v>
      </c>
      <c r="K10">
        <v>0.15054638071690538</v>
      </c>
      <c r="L10" s="1">
        <f t="shared" si="0"/>
        <v>1.0864537275727553</v>
      </c>
      <c r="P10">
        <v>3</v>
      </c>
      <c r="Q10" t="s">
        <v>76</v>
      </c>
      <c r="R10" t="s">
        <v>43</v>
      </c>
      <c r="S10" t="s">
        <v>13</v>
      </c>
      <c r="T10" t="s">
        <v>16</v>
      </c>
      <c r="U10">
        <v>3.36</v>
      </c>
      <c r="V10">
        <v>32711</v>
      </c>
      <c r="W10">
        <v>32710.937999999998</v>
      </c>
      <c r="X10">
        <v>5</v>
      </c>
      <c r="Y10">
        <v>5.0419999999999998</v>
      </c>
      <c r="Z10">
        <v>0.8</v>
      </c>
      <c r="AA10">
        <v>293</v>
      </c>
      <c r="AB10">
        <v>384</v>
      </c>
    </row>
    <row r="11" spans="1:28" x14ac:dyDescent="0.3">
      <c r="A11">
        <v>4</v>
      </c>
      <c r="B11" t="s">
        <v>100</v>
      </c>
      <c r="C11" t="s">
        <v>288</v>
      </c>
      <c r="D11" t="s">
        <v>23</v>
      </c>
      <c r="E11" t="s">
        <v>27</v>
      </c>
      <c r="F11">
        <v>3.63</v>
      </c>
      <c r="G11">
        <v>9980</v>
      </c>
      <c r="H11">
        <v>9979.5169999999998</v>
      </c>
      <c r="I11">
        <f>$X$8*H11/$V$8</f>
        <v>1.2019170179453209</v>
      </c>
      <c r="J11">
        <f>I11/(2/0.2)*3</f>
        <v>0.36057510538359627</v>
      </c>
      <c r="K11">
        <v>0.14893639850741497</v>
      </c>
      <c r="L11" s="1">
        <f t="shared" si="0"/>
        <v>2.4210005680085289</v>
      </c>
      <c r="P11">
        <v>4</v>
      </c>
      <c r="Q11" t="s">
        <v>77</v>
      </c>
      <c r="R11" t="s">
        <v>45</v>
      </c>
      <c r="S11" t="s">
        <v>13</v>
      </c>
      <c r="T11" t="s">
        <v>17</v>
      </c>
      <c r="U11">
        <v>3.36</v>
      </c>
      <c r="V11">
        <v>64284</v>
      </c>
      <c r="W11">
        <v>64283.745999999999</v>
      </c>
      <c r="X11">
        <v>10</v>
      </c>
      <c r="Y11">
        <v>10.034000000000001</v>
      </c>
      <c r="Z11">
        <v>0.3</v>
      </c>
      <c r="AA11">
        <v>478</v>
      </c>
      <c r="AB11">
        <v>711</v>
      </c>
    </row>
    <row r="12" spans="1:28" x14ac:dyDescent="0.3">
      <c r="A12">
        <v>5</v>
      </c>
      <c r="B12" t="s">
        <v>101</v>
      </c>
      <c r="C12" t="s">
        <v>289</v>
      </c>
      <c r="D12" t="s">
        <v>23</v>
      </c>
      <c r="E12" t="s">
        <v>28</v>
      </c>
      <c r="F12">
        <v>3.64</v>
      </c>
      <c r="G12">
        <v>6284</v>
      </c>
      <c r="H12">
        <v>6283.5749999999998</v>
      </c>
      <c r="I12">
        <f>$X$8*H12/$V$8</f>
        <v>0.75678369264121403</v>
      </c>
      <c r="J12">
        <f>I12/(2/0.2)*3</f>
        <v>0.22703510779236419</v>
      </c>
      <c r="K12">
        <v>4.0262599366812736E-2</v>
      </c>
      <c r="L12" s="1">
        <f t="shared" si="0"/>
        <v>5.6388586768568771</v>
      </c>
      <c r="P12">
        <v>5</v>
      </c>
      <c r="Q12" t="s">
        <v>78</v>
      </c>
      <c r="R12" t="s">
        <v>47</v>
      </c>
      <c r="S12" t="s">
        <v>13</v>
      </c>
      <c r="T12" t="s">
        <v>18</v>
      </c>
      <c r="U12">
        <v>3.36</v>
      </c>
      <c r="V12">
        <v>118557</v>
      </c>
      <c r="W12">
        <v>118557.406</v>
      </c>
      <c r="X12">
        <v>20</v>
      </c>
      <c r="Y12">
        <v>18.646999999999998</v>
      </c>
      <c r="Z12">
        <v>-6.8</v>
      </c>
      <c r="AA12">
        <v>662</v>
      </c>
      <c r="AB12">
        <v>793</v>
      </c>
    </row>
    <row r="13" spans="1:28" x14ac:dyDescent="0.3">
      <c r="A13">
        <v>6</v>
      </c>
      <c r="B13" t="s">
        <v>102</v>
      </c>
      <c r="C13" t="s">
        <v>290</v>
      </c>
      <c r="D13" t="s">
        <v>23</v>
      </c>
      <c r="E13" t="s">
        <v>29</v>
      </c>
      <c r="F13">
        <v>3.64</v>
      </c>
      <c r="G13">
        <v>2707</v>
      </c>
      <c r="H13">
        <v>2707.4409999999998</v>
      </c>
      <c r="I13">
        <f>$X$8*H13/$V$8</f>
        <v>0.32607985065638923</v>
      </c>
      <c r="J13">
        <f>I13/(2/0.2)*3</f>
        <v>9.7823955196916779E-2</v>
      </c>
      <c r="K13">
        <v>0.11351678989862611</v>
      </c>
      <c r="L13" s="1">
        <f t="shared" si="0"/>
        <v>0.86175758920135515</v>
      </c>
      <c r="P13">
        <v>6</v>
      </c>
      <c r="Q13" t="s">
        <v>79</v>
      </c>
      <c r="R13" t="s">
        <v>49</v>
      </c>
      <c r="S13" t="s">
        <v>13</v>
      </c>
      <c r="T13" t="s">
        <v>19</v>
      </c>
      <c r="U13">
        <v>3.36</v>
      </c>
      <c r="V13">
        <v>286257</v>
      </c>
      <c r="W13">
        <v>286256.84399999998</v>
      </c>
      <c r="X13">
        <v>50</v>
      </c>
      <c r="Y13">
        <v>45.524999999999999</v>
      </c>
      <c r="Z13">
        <v>-8.9</v>
      </c>
      <c r="AA13">
        <v>1828</v>
      </c>
      <c r="AB13">
        <v>2903</v>
      </c>
    </row>
    <row r="14" spans="1:28" x14ac:dyDescent="0.3">
      <c r="A14">
        <v>7</v>
      </c>
      <c r="B14" t="s">
        <v>103</v>
      </c>
      <c r="C14" t="s">
        <v>291</v>
      </c>
      <c r="D14" t="s">
        <v>23</v>
      </c>
      <c r="E14" t="s">
        <v>30</v>
      </c>
      <c r="F14">
        <v>3.64</v>
      </c>
      <c r="G14">
        <v>5264</v>
      </c>
      <c r="H14">
        <v>5263.5590000000002</v>
      </c>
      <c r="I14">
        <f>$X$8*H14/$V$8</f>
        <v>0.63393460195110207</v>
      </c>
      <c r="J14">
        <f>I14/(2/0.2)*3</f>
        <v>0.1901803805853306</v>
      </c>
      <c r="K14">
        <v>0.10144192332744809</v>
      </c>
      <c r="L14" s="1">
        <f t="shared" si="0"/>
        <v>1.8747710448217785</v>
      </c>
      <c r="P14">
        <v>7</v>
      </c>
      <c r="Q14" t="s">
        <v>80</v>
      </c>
      <c r="R14" t="s">
        <v>51</v>
      </c>
      <c r="S14" t="s">
        <v>13</v>
      </c>
      <c r="T14" t="s">
        <v>20</v>
      </c>
      <c r="U14">
        <v>3.36</v>
      </c>
      <c r="V14">
        <v>589397</v>
      </c>
      <c r="W14">
        <v>589396.75</v>
      </c>
      <c r="X14">
        <v>100</v>
      </c>
      <c r="Y14">
        <v>95.174000000000007</v>
      </c>
      <c r="Z14">
        <v>-4.8</v>
      </c>
      <c r="AA14">
        <v>2960</v>
      </c>
      <c r="AB14">
        <v>4762</v>
      </c>
    </row>
    <row r="15" spans="1:28" x14ac:dyDescent="0.3">
      <c r="A15">
        <v>8</v>
      </c>
      <c r="B15" t="s">
        <v>104</v>
      </c>
      <c r="C15" t="s">
        <v>292</v>
      </c>
      <c r="D15" t="s">
        <v>23</v>
      </c>
      <c r="E15" t="s">
        <v>31</v>
      </c>
      <c r="F15">
        <v>3.64</v>
      </c>
      <c r="G15">
        <v>2046</v>
      </c>
      <c r="H15">
        <v>2045.8520000000001</v>
      </c>
      <c r="I15">
        <f>$X$8*H15/$V$8</f>
        <v>0.24639913284355053</v>
      </c>
      <c r="J15">
        <f>I15/(2/0.2)*3</f>
        <v>7.3919739853065158E-2</v>
      </c>
      <c r="K15">
        <v>8.3732119023053622E-2</v>
      </c>
      <c r="L15" s="1">
        <f t="shared" si="0"/>
        <v>0.88281224356346621</v>
      </c>
      <c r="P15">
        <v>8</v>
      </c>
      <c r="Q15" t="s">
        <v>81</v>
      </c>
      <c r="R15" t="s">
        <v>53</v>
      </c>
      <c r="S15" t="s">
        <v>13</v>
      </c>
      <c r="T15" t="s">
        <v>21</v>
      </c>
      <c r="U15">
        <v>3.36</v>
      </c>
      <c r="V15">
        <v>1293603</v>
      </c>
      <c r="W15">
        <v>1293602.5</v>
      </c>
      <c r="X15">
        <v>200</v>
      </c>
      <c r="Y15">
        <v>216.428</v>
      </c>
      <c r="Z15">
        <v>8.1999999999999993</v>
      </c>
      <c r="AA15">
        <v>4906</v>
      </c>
      <c r="AB15">
        <v>9757</v>
      </c>
    </row>
    <row r="16" spans="1:28" x14ac:dyDescent="0.3">
      <c r="A16">
        <v>9</v>
      </c>
      <c r="B16" t="s">
        <v>105</v>
      </c>
      <c r="C16" t="s">
        <v>293</v>
      </c>
      <c r="D16" t="s">
        <v>23</v>
      </c>
      <c r="E16" t="s">
        <v>32</v>
      </c>
      <c r="F16">
        <v>3.64</v>
      </c>
      <c r="G16">
        <v>9467</v>
      </c>
      <c r="H16">
        <v>9466.9979999999996</v>
      </c>
      <c r="I16">
        <f>$X$8*H16/$V$8</f>
        <v>1.1401900517885102</v>
      </c>
      <c r="J16">
        <f>I16/(2/0.2)*3</f>
        <v>0.3420570155365531</v>
      </c>
      <c r="K16">
        <v>0.22299558014397355</v>
      </c>
      <c r="L16" s="1">
        <f t="shared" si="0"/>
        <v>1.5339183642819711</v>
      </c>
      <c r="P16">
        <v>9</v>
      </c>
      <c r="Q16" t="s">
        <v>82</v>
      </c>
      <c r="R16" t="s">
        <v>55</v>
      </c>
      <c r="S16" t="s">
        <v>13</v>
      </c>
      <c r="T16" t="s">
        <v>22</v>
      </c>
      <c r="U16">
        <v>3.36</v>
      </c>
      <c r="V16">
        <v>2712211</v>
      </c>
      <c r="W16">
        <v>2712210.75</v>
      </c>
      <c r="X16">
        <v>500</v>
      </c>
      <c r="Y16">
        <v>493.923</v>
      </c>
      <c r="Z16">
        <v>-1.2</v>
      </c>
      <c r="AA16">
        <v>17845</v>
      </c>
      <c r="AB16">
        <v>19049</v>
      </c>
    </row>
    <row r="17" spans="1:12" x14ac:dyDescent="0.3">
      <c r="A17">
        <v>10</v>
      </c>
      <c r="B17" t="s">
        <v>106</v>
      </c>
      <c r="C17" t="s">
        <v>294</v>
      </c>
      <c r="D17" t="s">
        <v>23</v>
      </c>
      <c r="E17" t="s">
        <v>33</v>
      </c>
      <c r="F17">
        <v>3.64</v>
      </c>
      <c r="G17">
        <v>25910</v>
      </c>
      <c r="H17">
        <v>25909.578000000001</v>
      </c>
      <c r="I17">
        <f>$X$8*H17/$V$8</f>
        <v>3.1205080091533182</v>
      </c>
      <c r="J17">
        <f>I17/(2/0.2)*3</f>
        <v>0.93615240274599554</v>
      </c>
      <c r="K17">
        <v>0.1175417454223521</v>
      </c>
      <c r="L17" s="1">
        <f t="shared" si="0"/>
        <v>7.964424889065616</v>
      </c>
    </row>
    <row r="18" spans="1:12" x14ac:dyDescent="0.3">
      <c r="A18">
        <v>11</v>
      </c>
      <c r="B18" t="s">
        <v>107</v>
      </c>
      <c r="C18" t="s">
        <v>295</v>
      </c>
      <c r="D18" t="s">
        <v>23</v>
      </c>
      <c r="E18" t="s">
        <v>34</v>
      </c>
      <c r="F18">
        <v>3.64</v>
      </c>
      <c r="G18">
        <v>16598</v>
      </c>
      <c r="H18">
        <v>16597.655999999999</v>
      </c>
      <c r="I18">
        <f>$X$8*H18/$V$8</f>
        <v>1.9989950620257737</v>
      </c>
      <c r="J18">
        <f>I18/(2/0.2)*3</f>
        <v>0.59969851860773216</v>
      </c>
      <c r="K18">
        <v>0.11351678989862611</v>
      </c>
      <c r="L18" s="1">
        <f t="shared" si="0"/>
        <v>5.2829058956237303</v>
      </c>
    </row>
    <row r="19" spans="1:12" x14ac:dyDescent="0.3">
      <c r="A19">
        <v>12</v>
      </c>
      <c r="B19" t="s">
        <v>108</v>
      </c>
      <c r="C19" t="s">
        <v>296</v>
      </c>
      <c r="D19" t="s">
        <v>23</v>
      </c>
      <c r="E19" t="s">
        <v>35</v>
      </c>
      <c r="F19">
        <v>3.64</v>
      </c>
      <c r="G19">
        <v>22180</v>
      </c>
      <c r="H19">
        <v>22179.775000000001</v>
      </c>
      <c r="I19">
        <f>$X$8*H19/$V$8</f>
        <v>2.6712965193303626</v>
      </c>
      <c r="J19">
        <f>I19/(2/0.2)*3</f>
        <v>0.80138895579910885</v>
      </c>
      <c r="K19">
        <v>8.4537110127798853E-2</v>
      </c>
      <c r="L19" s="1">
        <f t="shared" si="0"/>
        <v>9.4797297256507846</v>
      </c>
    </row>
    <row r="20" spans="1:12" x14ac:dyDescent="0.3">
      <c r="A20">
        <v>13</v>
      </c>
      <c r="B20" t="s">
        <v>109</v>
      </c>
      <c r="C20" t="s">
        <v>297</v>
      </c>
      <c r="D20" t="s">
        <v>23</v>
      </c>
      <c r="E20" t="s">
        <v>36</v>
      </c>
      <c r="F20">
        <v>3.64</v>
      </c>
      <c r="G20">
        <v>16579</v>
      </c>
      <c r="H20">
        <v>16578.641</v>
      </c>
      <c r="I20">
        <f>$X$8*H20/$V$8</f>
        <v>1.9967049259303866</v>
      </c>
      <c r="J20">
        <f>I20/(2/0.2)*3</f>
        <v>0.59901147777911601</v>
      </c>
      <c r="K20">
        <v>0.1078818521654097</v>
      </c>
      <c r="L20" s="1">
        <f t="shared" si="0"/>
        <v>5.5524767674611528</v>
      </c>
    </row>
    <row r="21" spans="1:12" x14ac:dyDescent="0.3">
      <c r="A21">
        <v>14</v>
      </c>
      <c r="B21" t="s">
        <v>110</v>
      </c>
      <c r="C21" t="s">
        <v>298</v>
      </c>
      <c r="D21" t="s">
        <v>23</v>
      </c>
      <c r="E21" t="s">
        <v>37</v>
      </c>
      <c r="F21">
        <v>3.64</v>
      </c>
      <c r="G21">
        <v>9820</v>
      </c>
      <c r="H21">
        <v>9819.5409999999993</v>
      </c>
      <c r="I21">
        <f>$X$8*H21/$V$8</f>
        <v>1.1826497651451282</v>
      </c>
      <c r="J21">
        <f>I21/(2/0.2)*3</f>
        <v>0.35479492954353842</v>
      </c>
      <c r="K21">
        <v>0.14813140740266978</v>
      </c>
      <c r="L21" s="1">
        <f t="shared" si="0"/>
        <v>2.3951364249114935</v>
      </c>
    </row>
    <row r="22" spans="1:12" x14ac:dyDescent="0.3">
      <c r="A22">
        <v>15</v>
      </c>
      <c r="B22" t="s">
        <v>111</v>
      </c>
      <c r="C22" t="s">
        <v>299</v>
      </c>
      <c r="D22" t="s">
        <v>23</v>
      </c>
      <c r="E22" t="s">
        <v>38</v>
      </c>
      <c r="F22">
        <v>3.64</v>
      </c>
      <c r="G22">
        <v>9301</v>
      </c>
      <c r="H22">
        <v>9301.152</v>
      </c>
      <c r="I22">
        <f>$X$8*H22/$V$8</f>
        <v>1.1202158256052031</v>
      </c>
      <c r="J22">
        <f>I22/(2/0.2)*3</f>
        <v>0.33606474768156092</v>
      </c>
      <c r="K22">
        <v>6.6022314718659172E-2</v>
      </c>
      <c r="L22" s="1">
        <f t="shared" si="0"/>
        <v>5.0901691210560145</v>
      </c>
    </row>
    <row r="23" spans="1:12" x14ac:dyDescent="0.3">
      <c r="A23">
        <v>16</v>
      </c>
      <c r="B23" t="s">
        <v>112</v>
      </c>
      <c r="C23" t="s">
        <v>300</v>
      </c>
      <c r="D23" t="s">
        <v>23</v>
      </c>
      <c r="E23" t="s">
        <v>59</v>
      </c>
      <c r="F23">
        <v>3.63</v>
      </c>
      <c r="G23">
        <v>15057</v>
      </c>
      <c r="H23">
        <v>15056.921</v>
      </c>
      <c r="I23">
        <f>$X$8*H23/$V$8</f>
        <v>1.8134314103336144</v>
      </c>
      <c r="J23">
        <f>I23/(2/0.2)*3</f>
        <v>0.54402942310008429</v>
      </c>
      <c r="K23">
        <v>0.22621554456295434</v>
      </c>
      <c r="L23" s="1">
        <f t="shared" si="0"/>
        <v>2.4049161791739047</v>
      </c>
    </row>
    <row r="24" spans="1:12" x14ac:dyDescent="0.3">
      <c r="A24">
        <v>17</v>
      </c>
      <c r="B24" t="s">
        <v>113</v>
      </c>
      <c r="C24" t="s">
        <v>301</v>
      </c>
      <c r="D24" t="s">
        <v>23</v>
      </c>
      <c r="E24" t="s">
        <v>60</v>
      </c>
      <c r="F24">
        <v>3.64</v>
      </c>
      <c r="G24">
        <v>13722</v>
      </c>
      <c r="H24">
        <v>13721.97</v>
      </c>
      <c r="I24">
        <f>$X$8*H24/$V$8</f>
        <v>1.6526520534746476</v>
      </c>
      <c r="J24">
        <f>I24/(2/0.2)*3</f>
        <v>0.49579561604239425</v>
      </c>
      <c r="K24">
        <v>0.21897062462024752</v>
      </c>
      <c r="L24" s="1">
        <f t="shared" si="0"/>
        <v>2.2642106305456902</v>
      </c>
    </row>
    <row r="25" spans="1:12" x14ac:dyDescent="0.3">
      <c r="A25">
        <v>18</v>
      </c>
      <c r="B25" t="s">
        <v>114</v>
      </c>
      <c r="C25" t="s">
        <v>302</v>
      </c>
      <c r="D25" t="s">
        <v>23</v>
      </c>
      <c r="E25" t="s">
        <v>61</v>
      </c>
      <c r="F25">
        <v>3.63</v>
      </c>
      <c r="G25">
        <v>15439</v>
      </c>
      <c r="H25">
        <v>15439.206</v>
      </c>
      <c r="I25">
        <f>$X$8*H25/$V$8</f>
        <v>1.8594732024569434</v>
      </c>
      <c r="J25">
        <f>I25/(2/0.2)*3</f>
        <v>0.55784196073708303</v>
      </c>
      <c r="K25">
        <v>0.11271179879388092</v>
      </c>
      <c r="L25" s="1">
        <f t="shared" si="0"/>
        <v>4.9492774199906391</v>
      </c>
    </row>
    <row r="26" spans="1:12" x14ac:dyDescent="0.3">
      <c r="A26">
        <v>19</v>
      </c>
      <c r="B26" t="s">
        <v>115</v>
      </c>
      <c r="C26" t="s">
        <v>303</v>
      </c>
      <c r="D26" t="s">
        <v>23</v>
      </c>
      <c r="E26" t="s">
        <v>62</v>
      </c>
      <c r="F26">
        <v>3.64</v>
      </c>
      <c r="G26">
        <v>11229</v>
      </c>
      <c r="H26">
        <v>11229.05</v>
      </c>
      <c r="I26">
        <f>$X$8*H26/$V$8</f>
        <v>1.3524087679152113</v>
      </c>
      <c r="J26">
        <f>I26/(2/0.2)*3</f>
        <v>0.40572263037456341</v>
      </c>
      <c r="K26">
        <v>9.1782030070505644E-2</v>
      </c>
      <c r="L26" s="1">
        <f t="shared" si="0"/>
        <v>4.4205018135128746</v>
      </c>
    </row>
    <row r="27" spans="1:12" x14ac:dyDescent="0.3">
      <c r="A27">
        <v>20</v>
      </c>
      <c r="B27" t="s">
        <v>116</v>
      </c>
      <c r="C27" t="s">
        <v>304</v>
      </c>
      <c r="D27" t="s">
        <v>23</v>
      </c>
      <c r="E27" t="s">
        <v>63</v>
      </c>
      <c r="F27">
        <v>3.64</v>
      </c>
      <c r="G27">
        <v>10865</v>
      </c>
      <c r="H27">
        <v>10865.299000000001</v>
      </c>
      <c r="I27">
        <f>$X$8*H27/$V$8</f>
        <v>1.308599181018909</v>
      </c>
      <c r="J27">
        <f>I27/(2/0.2)*3</f>
        <v>0.39257975430567271</v>
      </c>
      <c r="K27">
        <v>0.16584121170706426</v>
      </c>
      <c r="L27" s="1">
        <f t="shared" si="0"/>
        <v>2.3672026407954072</v>
      </c>
    </row>
    <row r="28" spans="1:12" x14ac:dyDescent="0.3">
      <c r="A28">
        <v>21</v>
      </c>
      <c r="B28" t="s">
        <v>117</v>
      </c>
      <c r="C28" t="s">
        <v>305</v>
      </c>
      <c r="D28" t="s">
        <v>23</v>
      </c>
      <c r="E28" t="s">
        <v>66</v>
      </c>
      <c r="F28">
        <v>3.64</v>
      </c>
      <c r="G28">
        <v>14519</v>
      </c>
      <c r="H28">
        <v>14518.81</v>
      </c>
      <c r="I28">
        <f>$X$8*H28/$V$8</f>
        <v>1.748622184752499</v>
      </c>
      <c r="J28">
        <f>I28/(2/0.2)*3</f>
        <v>0.52458665542574967</v>
      </c>
      <c r="K28">
        <v>0.20850574025855992</v>
      </c>
      <c r="L28" s="1">
        <f t="shared" si="0"/>
        <v>2.5159338768094828</v>
      </c>
    </row>
    <row r="29" spans="1:12" x14ac:dyDescent="0.3">
      <c r="A29">
        <v>22</v>
      </c>
      <c r="B29" t="s">
        <v>118</v>
      </c>
      <c r="C29" t="s">
        <v>306</v>
      </c>
      <c r="D29" t="s">
        <v>23</v>
      </c>
      <c r="E29" t="s">
        <v>67</v>
      </c>
      <c r="F29">
        <v>3.64</v>
      </c>
      <c r="G29">
        <v>12994</v>
      </c>
      <c r="H29">
        <v>12994.013999999999</v>
      </c>
      <c r="I29">
        <f>$X$8*H29/$V$8</f>
        <v>1.5649782006503672</v>
      </c>
      <c r="J29">
        <f>I29/(2/0.2)*3</f>
        <v>0.46949346019511012</v>
      </c>
      <c r="K29">
        <v>0.15457133624063138</v>
      </c>
      <c r="L29" s="1">
        <f t="shared" si="0"/>
        <v>3.0373901889818611</v>
      </c>
    </row>
    <row r="30" spans="1:12" x14ac:dyDescent="0.3">
      <c r="A30">
        <v>23</v>
      </c>
      <c r="B30" t="s">
        <v>119</v>
      </c>
      <c r="C30" t="s">
        <v>307</v>
      </c>
      <c r="D30" t="s">
        <v>23</v>
      </c>
      <c r="E30" t="s">
        <v>68</v>
      </c>
      <c r="F30">
        <v>3.64</v>
      </c>
      <c r="G30">
        <v>11595</v>
      </c>
      <c r="H30">
        <v>11594.933999999999</v>
      </c>
      <c r="I30">
        <f>$X$8*H30/$V$8</f>
        <v>1.3964752499096711</v>
      </c>
      <c r="J30">
        <f>I30/(2/0.2)*3</f>
        <v>0.41894257497290133</v>
      </c>
      <c r="K30">
        <v>0.22863051787718996</v>
      </c>
      <c r="L30" s="1">
        <f t="shared" si="0"/>
        <v>1.832400061298634</v>
      </c>
    </row>
    <row r="31" spans="1:12" x14ac:dyDescent="0.3">
      <c r="A31">
        <v>24</v>
      </c>
      <c r="B31" t="s">
        <v>120</v>
      </c>
      <c r="C31" t="s">
        <v>121</v>
      </c>
      <c r="D31" t="s">
        <v>23</v>
      </c>
      <c r="E31" t="s">
        <v>69</v>
      </c>
      <c r="F31">
        <v>3.64</v>
      </c>
      <c r="G31">
        <v>13590</v>
      </c>
      <c r="H31">
        <v>13589.549000000001</v>
      </c>
      <c r="I31">
        <f>$X$8*H31/$V$8</f>
        <v>1.6367034806696377</v>
      </c>
      <c r="J31">
        <f>I31/(2/0.2)*3</f>
        <v>0.49101104420089126</v>
      </c>
      <c r="K31">
        <v>0.19079593595416544</v>
      </c>
      <c r="L31" s="1">
        <f t="shared" si="0"/>
        <v>2.5734879610792443</v>
      </c>
    </row>
    <row r="32" spans="1:12" x14ac:dyDescent="0.3">
      <c r="A32">
        <v>25</v>
      </c>
      <c r="B32" t="s">
        <v>122</v>
      </c>
      <c r="C32" t="s">
        <v>123</v>
      </c>
      <c r="D32" t="s">
        <v>23</v>
      </c>
      <c r="E32" t="s">
        <v>70</v>
      </c>
      <c r="F32">
        <v>3.64</v>
      </c>
      <c r="G32">
        <v>16089</v>
      </c>
      <c r="H32">
        <v>16088.929</v>
      </c>
      <c r="I32">
        <f>$X$8*H32/$V$8</f>
        <v>1.9377247982656871</v>
      </c>
      <c r="J32">
        <f>I32/(2/0.2)*3</f>
        <v>0.58131743947970604</v>
      </c>
      <c r="K32">
        <v>0.13122659420302052</v>
      </c>
      <c r="L32" s="1">
        <f t="shared" si="0"/>
        <v>4.4298752323050499</v>
      </c>
    </row>
    <row r="33" spans="1:12" x14ac:dyDescent="0.3">
      <c r="A33">
        <v>26</v>
      </c>
      <c r="B33" t="s">
        <v>124</v>
      </c>
      <c r="C33" t="s">
        <v>125</v>
      </c>
      <c r="D33" t="s">
        <v>23</v>
      </c>
      <c r="E33" t="s">
        <v>71</v>
      </c>
      <c r="F33">
        <v>3.64</v>
      </c>
      <c r="G33">
        <v>9001</v>
      </c>
      <c r="H33">
        <v>9000.6010000000006</v>
      </c>
      <c r="I33">
        <f>$X$8*H33/$V$8</f>
        <v>1.0840179453209684</v>
      </c>
      <c r="J33">
        <f>I33/(2/0.2)*3</f>
        <v>0.32520538359629048</v>
      </c>
      <c r="K33">
        <v>0.13927650525047255</v>
      </c>
      <c r="L33" s="1">
        <f t="shared" si="0"/>
        <v>2.3349622609459257</v>
      </c>
    </row>
    <row r="34" spans="1:12" x14ac:dyDescent="0.3">
      <c r="A34">
        <v>27</v>
      </c>
      <c r="B34" t="s">
        <v>126</v>
      </c>
      <c r="C34" t="s">
        <v>127</v>
      </c>
      <c r="D34" t="s">
        <v>23</v>
      </c>
      <c r="E34" t="s">
        <v>128</v>
      </c>
      <c r="F34">
        <v>3.64</v>
      </c>
      <c r="G34">
        <v>9419</v>
      </c>
      <c r="H34">
        <v>9418.9439999999995</v>
      </c>
      <c r="I34">
        <f>$X$8*H34/$V$8</f>
        <v>1.1344025051186317</v>
      </c>
      <c r="J34">
        <f>I34/(2/0.2)*3</f>
        <v>0.34032075153558949</v>
      </c>
      <c r="K34">
        <v>9.7416967803722054E-2</v>
      </c>
      <c r="L34" s="1">
        <f t="shared" si="0"/>
        <v>3.493444306553203</v>
      </c>
    </row>
    <row r="35" spans="1:12" x14ac:dyDescent="0.3">
      <c r="A35">
        <v>28</v>
      </c>
      <c r="B35" t="s">
        <v>129</v>
      </c>
      <c r="C35" t="s">
        <v>130</v>
      </c>
      <c r="D35" t="s">
        <v>23</v>
      </c>
      <c r="E35" t="s">
        <v>131</v>
      </c>
      <c r="F35">
        <v>3.64</v>
      </c>
      <c r="G35">
        <v>6514</v>
      </c>
      <c r="H35">
        <v>6513.5240000000003</v>
      </c>
      <c r="I35">
        <f>$X$8*H35/$V$8</f>
        <v>0.78447838130796099</v>
      </c>
      <c r="J35">
        <f>I35/(2/0.2)*3</f>
        <v>0.23534351439238832</v>
      </c>
      <c r="K35">
        <v>7.4877216870856411E-2</v>
      </c>
      <c r="L35" s="1">
        <f t="shared" si="0"/>
        <v>3.1430590535742566</v>
      </c>
    </row>
    <row r="36" spans="1:12" x14ac:dyDescent="0.3">
      <c r="A36">
        <v>29</v>
      </c>
      <c r="B36" t="s">
        <v>132</v>
      </c>
      <c r="C36" t="s">
        <v>133</v>
      </c>
      <c r="D36" t="s">
        <v>23</v>
      </c>
      <c r="E36" t="s">
        <v>134</v>
      </c>
      <c r="F36">
        <v>3.64</v>
      </c>
      <c r="G36">
        <v>11621</v>
      </c>
      <c r="H36">
        <v>11620.65</v>
      </c>
      <c r="I36">
        <f>$X$8*H36/$V$8</f>
        <v>1.3995724436950499</v>
      </c>
      <c r="J36">
        <f>I36/(2/0.2)*3</f>
        <v>0.419871733108515</v>
      </c>
      <c r="K36">
        <v>0.14491144298368897</v>
      </c>
      <c r="L36" s="1">
        <f t="shared" si="0"/>
        <v>2.8974366997075256</v>
      </c>
    </row>
    <row r="37" spans="1:12" x14ac:dyDescent="0.3">
      <c r="A37">
        <v>30</v>
      </c>
      <c r="B37" t="s">
        <v>135</v>
      </c>
      <c r="C37" t="s">
        <v>136</v>
      </c>
      <c r="D37" t="s">
        <v>23</v>
      </c>
      <c r="E37" t="s">
        <v>40</v>
      </c>
      <c r="F37">
        <v>3.64</v>
      </c>
      <c r="G37">
        <v>17254</v>
      </c>
      <c r="H37">
        <v>17254.381000000001</v>
      </c>
      <c r="I37">
        <f>$X$8*H37/$V$8</f>
        <v>2.0780899674816333</v>
      </c>
      <c r="J37">
        <f>I37/(2/0.2)*3</f>
        <v>0.62342699024449</v>
      </c>
      <c r="K37">
        <v>0.14571643408843418</v>
      </c>
      <c r="L37" s="1">
        <f t="shared" si="0"/>
        <v>4.2783574422781783</v>
      </c>
    </row>
    <row r="38" spans="1:12" x14ac:dyDescent="0.3">
      <c r="A38">
        <v>31</v>
      </c>
      <c r="B38" t="s">
        <v>137</v>
      </c>
      <c r="C38" t="s">
        <v>138</v>
      </c>
      <c r="D38" t="s">
        <v>23</v>
      </c>
      <c r="E38" t="s">
        <v>42</v>
      </c>
      <c r="F38">
        <v>3.64</v>
      </c>
      <c r="G38">
        <v>15465</v>
      </c>
      <c r="H38">
        <v>15464.52</v>
      </c>
      <c r="I38">
        <f>$X$8*H38/$V$8</f>
        <v>1.8625219800072264</v>
      </c>
      <c r="J38">
        <f>I38/(2/0.2)*3</f>
        <v>0.55875659400216793</v>
      </c>
      <c r="K38">
        <v>0.26405012648597881</v>
      </c>
      <c r="L38" s="1">
        <f t="shared" si="0"/>
        <v>2.1161004595536075</v>
      </c>
    </row>
    <row r="39" spans="1:12" x14ac:dyDescent="0.3">
      <c r="A39">
        <v>32</v>
      </c>
      <c r="B39" t="s">
        <v>139</v>
      </c>
      <c r="C39" t="s">
        <v>140</v>
      </c>
      <c r="D39" t="s">
        <v>23</v>
      </c>
      <c r="E39" t="s">
        <v>44</v>
      </c>
      <c r="F39">
        <v>3.64</v>
      </c>
      <c r="G39">
        <v>14838</v>
      </c>
      <c r="H39">
        <v>14838.434999999999</v>
      </c>
      <c r="I39">
        <f>$X$8*H39/$V$8</f>
        <v>1.7871173069974706</v>
      </c>
      <c r="J39">
        <f>I39/(2/0.2)*3</f>
        <v>0.53613519209924121</v>
      </c>
      <c r="K39">
        <v>0.17469611385926145</v>
      </c>
      <c r="L39" s="1">
        <f t="shared" si="0"/>
        <v>3.068958892417962</v>
      </c>
    </row>
    <row r="40" spans="1:12" x14ac:dyDescent="0.3">
      <c r="A40">
        <v>33</v>
      </c>
      <c r="B40" t="s">
        <v>141</v>
      </c>
      <c r="C40" t="s">
        <v>142</v>
      </c>
      <c r="D40" t="s">
        <v>23</v>
      </c>
      <c r="E40" t="s">
        <v>46</v>
      </c>
      <c r="F40">
        <v>3.64</v>
      </c>
      <c r="G40">
        <v>11209</v>
      </c>
      <c r="H40">
        <v>11209.144</v>
      </c>
      <c r="I40">
        <f>$X$8*H40/$V$8</f>
        <v>1.3500113212092015</v>
      </c>
      <c r="J40">
        <f>I40/(2/0.2)*3</f>
        <v>0.4050033963627605</v>
      </c>
      <c r="K40">
        <v>0.1175417454223521</v>
      </c>
      <c r="L40" s="1">
        <f t="shared" si="0"/>
        <v>3.445613257719617</v>
      </c>
    </row>
    <row r="41" spans="1:12" x14ac:dyDescent="0.3">
      <c r="A41">
        <v>35</v>
      </c>
      <c r="B41" t="s">
        <v>143</v>
      </c>
      <c r="C41" t="s">
        <v>144</v>
      </c>
      <c r="D41" t="s">
        <v>23</v>
      </c>
      <c r="E41" t="s">
        <v>48</v>
      </c>
      <c r="F41">
        <v>3.64</v>
      </c>
      <c r="G41">
        <v>7131</v>
      </c>
      <c r="H41">
        <v>7130.9210000000003</v>
      </c>
      <c r="I41">
        <f>$X$8*H41/$V$8</f>
        <v>0.85883668553534875</v>
      </c>
      <c r="J41">
        <f>I41/(2/0.2)*3</f>
        <v>0.25765100566060462</v>
      </c>
      <c r="K41">
        <v>0.14813140740266978</v>
      </c>
      <c r="L41" s="1">
        <f t="shared" si="0"/>
        <v>1.7393408337789205</v>
      </c>
    </row>
    <row r="42" spans="1:12" x14ac:dyDescent="0.3">
      <c r="A42">
        <v>36</v>
      </c>
      <c r="B42" t="s">
        <v>145</v>
      </c>
      <c r="C42" t="s">
        <v>146</v>
      </c>
      <c r="D42" t="s">
        <v>23</v>
      </c>
      <c r="E42" t="s">
        <v>50</v>
      </c>
      <c r="F42">
        <v>3.64</v>
      </c>
      <c r="G42">
        <v>23572</v>
      </c>
      <c r="H42">
        <v>23572.148000000001</v>
      </c>
      <c r="I42">
        <f>$X$8*H42/$V$8</f>
        <v>2.8389916897506926</v>
      </c>
      <c r="J42">
        <f>I42/(2/0.2)*3</f>
        <v>0.85169750692520785</v>
      </c>
      <c r="K42">
        <v>0.11673675431760691</v>
      </c>
      <c r="L42" s="1">
        <f t="shared" si="0"/>
        <v>7.2958813349220373</v>
      </c>
    </row>
    <row r="43" spans="1:12" x14ac:dyDescent="0.3">
      <c r="A43">
        <v>37</v>
      </c>
      <c r="B43" t="s">
        <v>147</v>
      </c>
      <c r="C43" t="s">
        <v>148</v>
      </c>
      <c r="D43" t="s">
        <v>23</v>
      </c>
      <c r="E43" t="s">
        <v>52</v>
      </c>
      <c r="F43">
        <v>3.63</v>
      </c>
      <c r="G43">
        <v>10727</v>
      </c>
      <c r="H43">
        <v>10726.868</v>
      </c>
      <c r="I43">
        <f>$X$8*H43/$V$8</f>
        <v>1.2919267734553777</v>
      </c>
      <c r="J43">
        <f>I43/(2/0.2)*3</f>
        <v>0.38757803203661334</v>
      </c>
      <c r="K43">
        <v>8.6147092337289247E-2</v>
      </c>
      <c r="L43" s="1">
        <f t="shared" si="0"/>
        <v>4.4990262761178306</v>
      </c>
    </row>
    <row r="44" spans="1:12" x14ac:dyDescent="0.3">
      <c r="A44">
        <v>38</v>
      </c>
      <c r="B44" t="s">
        <v>149</v>
      </c>
      <c r="C44" t="s">
        <v>150</v>
      </c>
      <c r="D44" t="s">
        <v>23</v>
      </c>
      <c r="E44" t="s">
        <v>54</v>
      </c>
      <c r="F44">
        <v>3.64</v>
      </c>
      <c r="G44">
        <v>20912</v>
      </c>
      <c r="H44">
        <v>20911.896000000001</v>
      </c>
      <c r="I44">
        <f>$X$8*H44/$V$8</f>
        <v>2.5185952065518489</v>
      </c>
      <c r="J44">
        <f>I44/(2/0.2)*3</f>
        <v>0.75557856196555473</v>
      </c>
      <c r="K44">
        <v>8.9367056756270047E-2</v>
      </c>
      <c r="L44" s="1">
        <f t="shared" si="0"/>
        <v>8.454777290318928</v>
      </c>
    </row>
    <row r="45" spans="1:12" x14ac:dyDescent="0.3">
      <c r="A45">
        <v>39</v>
      </c>
      <c r="B45" t="s">
        <v>151</v>
      </c>
      <c r="C45" t="s">
        <v>152</v>
      </c>
      <c r="D45" t="s">
        <v>23</v>
      </c>
      <c r="E45" t="s">
        <v>56</v>
      </c>
      <c r="F45">
        <v>3.63</v>
      </c>
      <c r="G45">
        <v>15464</v>
      </c>
      <c r="H45">
        <v>15463.829</v>
      </c>
      <c r="I45">
        <f>$X$8*H45/$V$8</f>
        <v>1.8624387570757557</v>
      </c>
      <c r="J45">
        <f>I45/(2/0.2)*3</f>
        <v>0.55873162712272673</v>
      </c>
      <c r="K45">
        <v>9.3392012279996037E-2</v>
      </c>
      <c r="L45" s="1">
        <f t="shared" si="0"/>
        <v>5.9826489812384462</v>
      </c>
    </row>
    <row r="46" spans="1:12" x14ac:dyDescent="0.3">
      <c r="A46">
        <v>40</v>
      </c>
      <c r="B46" t="s">
        <v>153</v>
      </c>
      <c r="C46" t="s">
        <v>154</v>
      </c>
      <c r="D46" t="s">
        <v>23</v>
      </c>
      <c r="E46" t="s">
        <v>155</v>
      </c>
      <c r="F46">
        <v>3.64</v>
      </c>
      <c r="G46">
        <v>13801</v>
      </c>
      <c r="H46">
        <v>13800.605</v>
      </c>
      <c r="I46">
        <f>$X$8*H46/$V$8</f>
        <v>1.6621227267252801</v>
      </c>
      <c r="J46">
        <f>I46/(2/0.2)*3</f>
        <v>0.49863681801758397</v>
      </c>
      <c r="K46">
        <v>0.18918595374467503</v>
      </c>
      <c r="L46" s="1">
        <f t="shared" si="0"/>
        <v>2.6356968271045278</v>
      </c>
    </row>
    <row r="47" spans="1:12" x14ac:dyDescent="0.3">
      <c r="A47">
        <v>41</v>
      </c>
      <c r="B47" t="s">
        <v>156</v>
      </c>
      <c r="C47" t="s">
        <v>157</v>
      </c>
      <c r="D47" t="s">
        <v>23</v>
      </c>
      <c r="E47" t="s">
        <v>158</v>
      </c>
      <c r="F47">
        <v>3.64</v>
      </c>
      <c r="G47">
        <v>12704</v>
      </c>
      <c r="H47">
        <v>12703.653</v>
      </c>
      <c r="I47">
        <f>$X$8*H47/$V$8</f>
        <v>1.530007587618933</v>
      </c>
      <c r="J47">
        <f>I47/(2/0.2)*3</f>
        <v>0.45900227628567986</v>
      </c>
      <c r="K47">
        <v>9.2587021175250833E-2</v>
      </c>
      <c r="L47" s="1">
        <f t="shared" si="0"/>
        <v>4.9575228845182293</v>
      </c>
    </row>
    <row r="48" spans="1:12" x14ac:dyDescent="0.3">
      <c r="A48">
        <v>42</v>
      </c>
      <c r="B48" t="s">
        <v>159</v>
      </c>
      <c r="C48" t="s">
        <v>160</v>
      </c>
      <c r="D48" t="s">
        <v>23</v>
      </c>
      <c r="E48" t="s">
        <v>161</v>
      </c>
      <c r="F48">
        <v>3.63</v>
      </c>
      <c r="G48">
        <v>9522</v>
      </c>
      <c r="H48">
        <v>9521.9940000000006</v>
      </c>
      <c r="I48">
        <f>$X$8*H48/$V$8</f>
        <v>1.1468136818017585</v>
      </c>
      <c r="J48">
        <f>I48/(2/0.2)*3</f>
        <v>0.34404410454052758</v>
      </c>
      <c r="K48">
        <v>0.14974138961216016</v>
      </c>
      <c r="L48" s="1">
        <f t="shared" si="0"/>
        <v>2.2975885654034864</v>
      </c>
    </row>
    <row r="49" spans="1:12" x14ac:dyDescent="0.3">
      <c r="A49">
        <v>43</v>
      </c>
      <c r="B49" t="s">
        <v>162</v>
      </c>
      <c r="C49" t="s">
        <v>163</v>
      </c>
      <c r="D49" t="s">
        <v>23</v>
      </c>
      <c r="E49" t="s">
        <v>164</v>
      </c>
      <c r="F49">
        <v>3.64</v>
      </c>
      <c r="G49">
        <v>12765</v>
      </c>
      <c r="H49">
        <v>12765.141</v>
      </c>
      <c r="I49">
        <f>$X$8*H49/$V$8</f>
        <v>1.5374131036974588</v>
      </c>
      <c r="J49">
        <f>I49/(2/0.2)*3</f>
        <v>0.46122393110923759</v>
      </c>
      <c r="K49">
        <v>0.19965083810636269</v>
      </c>
      <c r="L49" s="1">
        <f t="shared" si="0"/>
        <v>2.3101527420762618</v>
      </c>
    </row>
    <row r="50" spans="1:12" x14ac:dyDescent="0.3">
      <c r="A50">
        <v>44</v>
      </c>
      <c r="B50" t="s">
        <v>165</v>
      </c>
      <c r="C50" t="s">
        <v>166</v>
      </c>
      <c r="D50" t="s">
        <v>23</v>
      </c>
      <c r="E50" t="s">
        <v>167</v>
      </c>
      <c r="F50">
        <v>3.64</v>
      </c>
      <c r="G50">
        <v>23724</v>
      </c>
      <c r="H50">
        <v>23724.035</v>
      </c>
      <c r="I50">
        <f>$X$8*H50/$V$8</f>
        <v>2.8572847163675781</v>
      </c>
      <c r="J50">
        <f>I50/(2/0.2)*3</f>
        <v>0.85718541491027334</v>
      </c>
      <c r="K50">
        <v>0.22058060682973793</v>
      </c>
      <c r="L50" s="1">
        <f t="shared" si="0"/>
        <v>3.8860416027956566</v>
      </c>
    </row>
    <row r="51" spans="1:12" x14ac:dyDescent="0.3">
      <c r="A51">
        <v>45</v>
      </c>
      <c r="B51" t="s">
        <v>168</v>
      </c>
      <c r="C51" t="s">
        <v>169</v>
      </c>
      <c r="D51" t="s">
        <v>23</v>
      </c>
      <c r="E51" t="s">
        <v>170</v>
      </c>
      <c r="F51">
        <v>3.64</v>
      </c>
      <c r="G51">
        <v>24222</v>
      </c>
      <c r="H51">
        <v>24221.738000000001</v>
      </c>
      <c r="I51">
        <f>$X$8*H51/$V$8</f>
        <v>2.9172272672528003</v>
      </c>
      <c r="J51">
        <f>I51/(2/0.2)*3</f>
        <v>0.87516818017584019</v>
      </c>
      <c r="K51">
        <v>0.12720163867929454</v>
      </c>
      <c r="L51" s="1">
        <f t="shared" si="0"/>
        <v>6.8801643537183228</v>
      </c>
    </row>
    <row r="52" spans="1:12" x14ac:dyDescent="0.3">
      <c r="A52">
        <v>46</v>
      </c>
      <c r="B52" t="s">
        <v>171</v>
      </c>
      <c r="C52" t="s">
        <v>172</v>
      </c>
      <c r="D52" t="s">
        <v>23</v>
      </c>
      <c r="E52" t="s">
        <v>173</v>
      </c>
      <c r="F52">
        <v>3.63</v>
      </c>
      <c r="G52">
        <v>24416</v>
      </c>
      <c r="H52">
        <v>24416.125</v>
      </c>
      <c r="I52">
        <f>$X$8*H52/$V$8</f>
        <v>2.9406389256895098</v>
      </c>
      <c r="J52">
        <f>I52/(2/0.2)*3</f>
        <v>0.88219167770685303</v>
      </c>
      <c r="K52">
        <v>0.1594012828691026</v>
      </c>
      <c r="L52" s="1">
        <f t="shared" si="0"/>
        <v>5.5344076398136179</v>
      </c>
    </row>
    <row r="53" spans="1:12" x14ac:dyDescent="0.3">
      <c r="A53">
        <v>47</v>
      </c>
      <c r="B53" t="s">
        <v>174</v>
      </c>
      <c r="C53" t="s">
        <v>175</v>
      </c>
      <c r="D53" t="s">
        <v>23</v>
      </c>
      <c r="E53" t="s">
        <v>176</v>
      </c>
      <c r="F53">
        <v>3.63</v>
      </c>
      <c r="G53">
        <v>23940</v>
      </c>
      <c r="H53">
        <v>23940.059000000001</v>
      </c>
      <c r="I53">
        <f>$X$8*H53/$V$8</f>
        <v>2.8833023003733591</v>
      </c>
      <c r="J53">
        <f>I53/(2/0.2)*3</f>
        <v>0.8649906901120078</v>
      </c>
      <c r="K53">
        <v>0.14491144298368897</v>
      </c>
      <c r="L53" s="1">
        <f t="shared" si="0"/>
        <v>5.9690985908502059</v>
      </c>
    </row>
    <row r="54" spans="1:12" x14ac:dyDescent="0.3">
      <c r="A54">
        <v>48</v>
      </c>
      <c r="B54" t="s">
        <v>177</v>
      </c>
      <c r="C54" t="s">
        <v>178</v>
      </c>
      <c r="D54" t="s">
        <v>23</v>
      </c>
      <c r="E54" t="s">
        <v>179</v>
      </c>
      <c r="F54">
        <v>3.64</v>
      </c>
      <c r="G54">
        <v>9731</v>
      </c>
      <c r="H54">
        <v>9731.1319999999996</v>
      </c>
      <c r="I54">
        <f>$X$8*H54/$V$8</f>
        <v>1.172001927014332</v>
      </c>
      <c r="J54">
        <f>I54/(2/0.2)*3</f>
        <v>0.35160057810429957</v>
      </c>
      <c r="K54">
        <v>0.24553533107683917</v>
      </c>
      <c r="L54" s="1">
        <f t="shared" si="0"/>
        <v>1.4319754984437159</v>
      </c>
    </row>
    <row r="55" spans="1:12" x14ac:dyDescent="0.3">
      <c r="A55">
        <v>49</v>
      </c>
      <c r="B55" t="s">
        <v>180</v>
      </c>
      <c r="C55" t="s">
        <v>181</v>
      </c>
      <c r="D55" t="s">
        <v>23</v>
      </c>
      <c r="E55" t="s">
        <v>182</v>
      </c>
      <c r="F55">
        <v>3.64</v>
      </c>
      <c r="G55">
        <v>10349</v>
      </c>
      <c r="H55">
        <v>10349.054</v>
      </c>
      <c r="I55">
        <f>$X$8*H55/$V$8</f>
        <v>1.2464234613994942</v>
      </c>
      <c r="J55">
        <f>I55/(2/0.2)*3</f>
        <v>0.37392703841984831</v>
      </c>
      <c r="K55">
        <v>0.3002747261995129</v>
      </c>
      <c r="L55" s="1">
        <f t="shared" si="0"/>
        <v>1.2452830884321522</v>
      </c>
    </row>
    <row r="56" spans="1:12" x14ac:dyDescent="0.3">
      <c r="A56">
        <v>50</v>
      </c>
      <c r="B56" t="s">
        <v>183</v>
      </c>
      <c r="C56" t="s">
        <v>184</v>
      </c>
      <c r="D56" t="s">
        <v>23</v>
      </c>
      <c r="E56" t="s">
        <v>185</v>
      </c>
      <c r="F56">
        <v>3.63</v>
      </c>
      <c r="G56">
        <v>14240</v>
      </c>
      <c r="H56">
        <v>14240.061</v>
      </c>
      <c r="I56">
        <f>$X$8*H56/$V$8</f>
        <v>1.7150501023726363</v>
      </c>
      <c r="J56">
        <f>I56/(2/0.2)*3</f>
        <v>0.51451503071179094</v>
      </c>
      <c r="K56">
        <v>0.17147614944028067</v>
      </c>
      <c r="L56" s="1">
        <f t="shared" si="0"/>
        <v>3.0005049238114547</v>
      </c>
    </row>
    <row r="57" spans="1:12" x14ac:dyDescent="0.3">
      <c r="A57">
        <v>51</v>
      </c>
      <c r="B57" t="s">
        <v>186</v>
      </c>
      <c r="C57" t="s">
        <v>187</v>
      </c>
      <c r="D57" t="s">
        <v>23</v>
      </c>
      <c r="E57" t="s">
        <v>188</v>
      </c>
      <c r="F57">
        <v>3.63</v>
      </c>
      <c r="G57">
        <v>12338</v>
      </c>
      <c r="H57">
        <v>12338.323</v>
      </c>
      <c r="I57">
        <f>$X$8*H57/$V$8</f>
        <v>1.4860078284957245</v>
      </c>
      <c r="J57">
        <f>I57/(2/0.2)*3</f>
        <v>0.44580234854871736</v>
      </c>
      <c r="K57">
        <v>0.18113604269722305</v>
      </c>
      <c r="L57" s="1">
        <f t="shared" si="0"/>
        <v>2.4611465609519572</v>
      </c>
    </row>
    <row r="58" spans="1:12" x14ac:dyDescent="0.3">
      <c r="A58">
        <v>52</v>
      </c>
      <c r="B58" t="s">
        <v>189</v>
      </c>
      <c r="C58" t="s">
        <v>190</v>
      </c>
      <c r="D58" t="s">
        <v>23</v>
      </c>
      <c r="E58" t="s">
        <v>191</v>
      </c>
      <c r="F58">
        <v>3.63</v>
      </c>
      <c r="G58">
        <v>18887</v>
      </c>
      <c r="H58">
        <v>18886.886999999999</v>
      </c>
      <c r="I58">
        <f>$X$8*H58/$V$8</f>
        <v>2.2747063711911357</v>
      </c>
      <c r="J58">
        <f>I58/(2/0.2)*3</f>
        <v>0.68241191135734081</v>
      </c>
      <c r="K58">
        <v>8.2927127918308433E-2</v>
      </c>
      <c r="L58" s="1">
        <f t="shared" si="0"/>
        <v>8.2290551775721124</v>
      </c>
    </row>
    <row r="59" spans="1:12" x14ac:dyDescent="0.3">
      <c r="A59">
        <v>53</v>
      </c>
      <c r="B59" t="s">
        <v>192</v>
      </c>
      <c r="C59" t="s">
        <v>193</v>
      </c>
      <c r="D59" t="s">
        <v>23</v>
      </c>
      <c r="E59" t="s">
        <v>194</v>
      </c>
      <c r="F59">
        <v>3.64</v>
      </c>
      <c r="G59">
        <v>9998</v>
      </c>
      <c r="H59">
        <v>9997.8539999999994</v>
      </c>
      <c r="I59">
        <f>$X$8*H59/$V$8</f>
        <v>1.2041254968083825</v>
      </c>
      <c r="J59">
        <f>I59/(2/0.2)*3</f>
        <v>0.36123764904251476</v>
      </c>
      <c r="K59">
        <v>0.11593176321286171</v>
      </c>
      <c r="L59" s="1">
        <f t="shared" si="0"/>
        <v>3.1159506163918875</v>
      </c>
    </row>
    <row r="60" spans="1:12" x14ac:dyDescent="0.3">
      <c r="A60">
        <v>54</v>
      </c>
      <c r="B60" t="s">
        <v>195</v>
      </c>
      <c r="C60" t="s">
        <v>196</v>
      </c>
      <c r="D60" t="s">
        <v>23</v>
      </c>
      <c r="E60" t="s">
        <v>197</v>
      </c>
      <c r="F60">
        <v>3.64</v>
      </c>
      <c r="G60">
        <v>11504</v>
      </c>
      <c r="H60">
        <v>11503.814</v>
      </c>
      <c r="I60">
        <f>$X$8*H60/$V$8</f>
        <v>1.3855009032879682</v>
      </c>
      <c r="J60">
        <f>I60/(2/0.2)*3</f>
        <v>0.4156502709863904</v>
      </c>
      <c r="K60">
        <v>0.17469611385926145</v>
      </c>
      <c r="L60" s="1">
        <f t="shared" si="0"/>
        <v>2.379275999930063</v>
      </c>
    </row>
    <row r="61" spans="1:12" x14ac:dyDescent="0.3">
      <c r="A61">
        <v>55</v>
      </c>
      <c r="B61" t="s">
        <v>198</v>
      </c>
      <c r="C61" t="s">
        <v>199</v>
      </c>
      <c r="D61" t="s">
        <v>23</v>
      </c>
      <c r="E61" t="s">
        <v>200</v>
      </c>
      <c r="F61">
        <v>3.64</v>
      </c>
      <c r="G61">
        <v>14057</v>
      </c>
      <c r="H61">
        <v>14057.47</v>
      </c>
      <c r="I61">
        <f>$X$8*H61/$V$8</f>
        <v>1.6930591352523183</v>
      </c>
      <c r="J61">
        <f>I61/(2/0.2)*3</f>
        <v>0.5079177405756955</v>
      </c>
      <c r="K61">
        <v>0.17952606048773259</v>
      </c>
      <c r="L61" s="1">
        <f t="shared" si="0"/>
        <v>2.8292145396372836</v>
      </c>
    </row>
    <row r="62" spans="1:12" x14ac:dyDescent="0.3">
      <c r="A62">
        <v>56</v>
      </c>
      <c r="B62" t="s">
        <v>201</v>
      </c>
      <c r="C62" t="s">
        <v>202</v>
      </c>
      <c r="D62" t="s">
        <v>23</v>
      </c>
      <c r="E62" t="s">
        <v>203</v>
      </c>
      <c r="F62">
        <v>3.64</v>
      </c>
      <c r="G62">
        <v>9474</v>
      </c>
      <c r="H62">
        <v>9474.1710000000003</v>
      </c>
      <c r="I62">
        <f>$X$8*H62/$V$8</f>
        <v>1.1410539564013007</v>
      </c>
      <c r="J62">
        <f>I62/(2/0.2)*3</f>
        <v>0.34231618692039023</v>
      </c>
      <c r="K62">
        <v>0.19723586479212707</v>
      </c>
      <c r="L62" s="1">
        <f t="shared" si="0"/>
        <v>1.7355676528767614</v>
      </c>
    </row>
    <row r="63" spans="1:12" x14ac:dyDescent="0.3">
      <c r="A63">
        <v>57</v>
      </c>
      <c r="B63" t="s">
        <v>204</v>
      </c>
      <c r="C63" t="s">
        <v>205</v>
      </c>
      <c r="D63" t="s">
        <v>23</v>
      </c>
      <c r="E63" t="s">
        <v>206</v>
      </c>
      <c r="F63">
        <v>3.64</v>
      </c>
      <c r="G63">
        <v>13761</v>
      </c>
      <c r="H63">
        <v>13760.728999999999</v>
      </c>
      <c r="I63">
        <f>$X$8*H63/$V$8</f>
        <v>1.6573201252559315</v>
      </c>
      <c r="J63">
        <f>I63/(2/0.2)*3</f>
        <v>0.49719603757677949</v>
      </c>
      <c r="K63">
        <v>0.28417490410460888</v>
      </c>
      <c r="L63" s="1">
        <f t="shared" si="0"/>
        <v>1.7496127574789448</v>
      </c>
    </row>
    <row r="64" spans="1:12" x14ac:dyDescent="0.3">
      <c r="A64">
        <v>58</v>
      </c>
      <c r="B64" t="s">
        <v>207</v>
      </c>
      <c r="C64" t="s">
        <v>208</v>
      </c>
      <c r="D64" t="s">
        <v>23</v>
      </c>
      <c r="E64" t="s">
        <v>209</v>
      </c>
      <c r="F64">
        <v>3.64</v>
      </c>
      <c r="G64">
        <v>16575</v>
      </c>
      <c r="H64">
        <v>16575.469000000001</v>
      </c>
      <c r="I64">
        <f>$X$8*H64/$V$8</f>
        <v>1.9963228953390342</v>
      </c>
      <c r="J64">
        <f>I64/(2/0.2)*3</f>
        <v>0.59889686860171021</v>
      </c>
      <c r="K64">
        <v>0.17872106938298743</v>
      </c>
      <c r="L64" s="1">
        <f t="shared" si="0"/>
        <v>3.3510143525289333</v>
      </c>
    </row>
    <row r="65" spans="1:12" x14ac:dyDescent="0.3">
      <c r="A65">
        <v>59</v>
      </c>
      <c r="B65" t="s">
        <v>210</v>
      </c>
      <c r="C65" t="s">
        <v>211</v>
      </c>
      <c r="D65" t="s">
        <v>23</v>
      </c>
      <c r="E65" t="s">
        <v>212</v>
      </c>
      <c r="F65">
        <v>3.64</v>
      </c>
      <c r="G65">
        <v>10961</v>
      </c>
      <c r="H65">
        <v>10961.311</v>
      </c>
      <c r="I65">
        <f>$X$8*H65/$V$8</f>
        <v>1.3201627122726725</v>
      </c>
      <c r="J65">
        <f>I65/(2/0.2)*3</f>
        <v>0.39604881368180178</v>
      </c>
      <c r="K65">
        <v>0.19884584700161748</v>
      </c>
      <c r="L65" s="1">
        <f t="shared" si="0"/>
        <v>1.99173791987006</v>
      </c>
    </row>
    <row r="66" spans="1:12" x14ac:dyDescent="0.3">
      <c r="A66">
        <v>60</v>
      </c>
      <c r="B66" t="s">
        <v>213</v>
      </c>
      <c r="C66" t="s">
        <v>214</v>
      </c>
      <c r="D66" t="s">
        <v>23</v>
      </c>
      <c r="E66" t="s">
        <v>215</v>
      </c>
      <c r="F66">
        <v>3.64</v>
      </c>
      <c r="G66">
        <v>16197</v>
      </c>
      <c r="H66">
        <v>16197.206</v>
      </c>
      <c r="I66">
        <f>$X$8*H66/$V$8</f>
        <v>1.9507655064434541</v>
      </c>
      <c r="J66">
        <f>I66/(2/0.2)*3</f>
        <v>0.58522965193303622</v>
      </c>
      <c r="K66">
        <v>0.17469611385926145</v>
      </c>
      <c r="L66" s="1">
        <f t="shared" si="0"/>
        <v>3.3499866654418455</v>
      </c>
    </row>
    <row r="67" spans="1:12" x14ac:dyDescent="0.3">
      <c r="A67">
        <v>61</v>
      </c>
      <c r="B67" t="s">
        <v>216</v>
      </c>
      <c r="C67" t="s">
        <v>217</v>
      </c>
      <c r="D67" t="s">
        <v>23</v>
      </c>
      <c r="E67" t="s">
        <v>218</v>
      </c>
      <c r="F67">
        <v>3.63</v>
      </c>
      <c r="G67">
        <v>9041</v>
      </c>
      <c r="H67">
        <v>9041.1659999999993</v>
      </c>
      <c r="I67">
        <f>$X$8*H67/$V$8</f>
        <v>1.0889035288449957</v>
      </c>
      <c r="J67">
        <f>I67/(2/0.2)*3</f>
        <v>0.32667105865349877</v>
      </c>
      <c r="K67">
        <v>0.24875529549582001</v>
      </c>
      <c r="L67" s="1">
        <f t="shared" si="0"/>
        <v>1.3132225306093555</v>
      </c>
    </row>
    <row r="68" spans="1:12" x14ac:dyDescent="0.3">
      <c r="A68">
        <v>62</v>
      </c>
      <c r="B68" t="s">
        <v>219</v>
      </c>
      <c r="C68" t="s">
        <v>220</v>
      </c>
      <c r="D68" t="s">
        <v>23</v>
      </c>
      <c r="E68" t="s">
        <v>221</v>
      </c>
      <c r="F68">
        <v>3.64</v>
      </c>
      <c r="G68">
        <v>7493</v>
      </c>
      <c r="H68">
        <v>7493.0330000000004</v>
      </c>
      <c r="I68">
        <f>$X$8*H68/$V$8</f>
        <v>0.9024488739009997</v>
      </c>
      <c r="J68">
        <f>I68/(2/0.2)*3</f>
        <v>0.27073466217029996</v>
      </c>
      <c r="K68">
        <v>0.18274602490671343</v>
      </c>
      <c r="L68" s="1">
        <f t="shared" si="0"/>
        <v>1.4814804442860094</v>
      </c>
    </row>
    <row r="69" spans="1:12" x14ac:dyDescent="0.3">
      <c r="A69">
        <v>63</v>
      </c>
      <c r="B69" t="s">
        <v>222</v>
      </c>
      <c r="C69" t="s">
        <v>223</v>
      </c>
      <c r="D69" t="s">
        <v>23</v>
      </c>
      <c r="E69" t="s">
        <v>224</v>
      </c>
      <c r="F69">
        <v>3.63</v>
      </c>
      <c r="G69">
        <v>8782</v>
      </c>
      <c r="H69">
        <v>8781.5630000000001</v>
      </c>
      <c r="I69">
        <f>$X$8*H69/$V$8</f>
        <v>1.057637359990365</v>
      </c>
      <c r="J69">
        <f>I69/(2/0.2)*3</f>
        <v>0.31729120799710953</v>
      </c>
      <c r="K69">
        <v>0.10063693222270288</v>
      </c>
      <c r="L69" s="1">
        <f t="shared" si="0"/>
        <v>3.1528306854084645</v>
      </c>
    </row>
    <row r="70" spans="1:12" x14ac:dyDescent="0.3">
      <c r="A70">
        <v>64</v>
      </c>
      <c r="B70" t="s">
        <v>225</v>
      </c>
      <c r="C70" t="s">
        <v>226</v>
      </c>
      <c r="D70" t="s">
        <v>23</v>
      </c>
      <c r="E70" t="s">
        <v>227</v>
      </c>
      <c r="F70">
        <v>3.63</v>
      </c>
      <c r="G70">
        <v>18895</v>
      </c>
      <c r="H70">
        <v>18894.601999999999</v>
      </c>
      <c r="I70">
        <f>$X$8*H70/$V$8</f>
        <v>2.2756355534144284</v>
      </c>
      <c r="J70">
        <f>I70/(2/0.2)*3</f>
        <v>0.6826906660243286</v>
      </c>
      <c r="K70">
        <v>0.12156670094607813</v>
      </c>
      <c r="L70" s="1">
        <f t="shared" si="0"/>
        <v>5.6157702784674681</v>
      </c>
    </row>
    <row r="71" spans="1:12" x14ac:dyDescent="0.3">
      <c r="A71">
        <v>65</v>
      </c>
      <c r="B71" t="s">
        <v>228</v>
      </c>
      <c r="C71" t="s">
        <v>229</v>
      </c>
      <c r="D71" t="s">
        <v>23</v>
      </c>
      <c r="E71" t="s">
        <v>230</v>
      </c>
      <c r="F71">
        <v>3.64</v>
      </c>
      <c r="G71">
        <v>15201</v>
      </c>
      <c r="H71">
        <v>15201.11</v>
      </c>
      <c r="I71">
        <f>$X$8*H71/$V$8</f>
        <v>1.8307973021799351</v>
      </c>
      <c r="J71">
        <f>I71/(2/0.2)*3</f>
        <v>0.54923919065398052</v>
      </c>
      <c r="K71">
        <v>8.8562065651524843E-2</v>
      </c>
      <c r="L71" s="1">
        <f t="shared" si="0"/>
        <v>6.201743225086167</v>
      </c>
    </row>
    <row r="72" spans="1:12" x14ac:dyDescent="0.3">
      <c r="A72">
        <v>66</v>
      </c>
      <c r="B72" t="s">
        <v>231</v>
      </c>
      <c r="C72" t="s">
        <v>232</v>
      </c>
      <c r="D72" t="s">
        <v>23</v>
      </c>
      <c r="E72" t="s">
        <v>233</v>
      </c>
      <c r="F72">
        <v>3.64</v>
      </c>
      <c r="G72">
        <v>12617</v>
      </c>
      <c r="H72">
        <v>12617.044</v>
      </c>
      <c r="I72">
        <f>$X$8*H72/$V$8</f>
        <v>1.5195765386005058</v>
      </c>
      <c r="J72">
        <f>I72/(2/0.2)*3</f>
        <v>0.45587296158015178</v>
      </c>
      <c r="K72">
        <v>0.13766652304098212</v>
      </c>
      <c r="L72" s="1">
        <f t="shared" si="0"/>
        <v>3.3114293258096041</v>
      </c>
    </row>
    <row r="73" spans="1:12" x14ac:dyDescent="0.3">
      <c r="A73">
        <v>67</v>
      </c>
      <c r="B73" t="s">
        <v>234</v>
      </c>
      <c r="C73" t="s">
        <v>235</v>
      </c>
      <c r="D73" t="s">
        <v>23</v>
      </c>
      <c r="E73" t="s">
        <v>236</v>
      </c>
      <c r="F73">
        <v>3.64</v>
      </c>
      <c r="G73">
        <v>3944</v>
      </c>
      <c r="H73">
        <v>3943.51</v>
      </c>
      <c r="I73">
        <f>$X$8*H73/$V$8</f>
        <v>0.47495001806575937</v>
      </c>
      <c r="J73">
        <f>I73/(2/0.2)*3</f>
        <v>0.14248500541972781</v>
      </c>
      <c r="K73">
        <v>8.2122136813563229E-2</v>
      </c>
      <c r="L73" s="1">
        <f t="shared" ref="L73" si="1">J73/K73</f>
        <v>1.7350377248853452</v>
      </c>
    </row>
    <row r="74" spans="1:12" x14ac:dyDescent="0.3">
      <c r="A74">
        <v>34</v>
      </c>
      <c r="B74" t="s">
        <v>237</v>
      </c>
      <c r="C74" t="s">
        <v>238</v>
      </c>
      <c r="D74" t="s">
        <v>239</v>
      </c>
      <c r="E74" t="s">
        <v>240</v>
      </c>
      <c r="F74">
        <v>3.66</v>
      </c>
      <c r="G74">
        <v>1034</v>
      </c>
      <c r="H74">
        <v>1033.606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NH_C18</vt:lpstr>
      <vt:lpstr>NH_C20</vt:lpstr>
      <vt:lpstr>NH_C22</vt:lpstr>
      <vt:lpstr>NH_C24</vt:lpstr>
      <vt:lpstr>NH_C25</vt:lpstr>
      <vt:lpstr>NH_C26</vt:lpstr>
      <vt:lpstr>NH_C28</vt:lpstr>
      <vt:lpstr>NH_C30</vt:lpstr>
      <vt:lpstr>NS_C16</vt:lpstr>
      <vt:lpstr>NS_C18</vt:lpstr>
      <vt:lpstr>NS_C20</vt:lpstr>
      <vt:lpstr>NS_C22</vt:lpstr>
      <vt:lpstr>NS_C24_1</vt:lpstr>
      <vt:lpstr>NS_C24</vt:lpstr>
      <vt:lpstr>NS_C25</vt:lpstr>
      <vt:lpstr>NS_C26</vt:lpstr>
      <vt:lpstr>NS_C28</vt:lpstr>
      <vt:lpstr>NDS_C16</vt:lpstr>
      <vt:lpstr>NDS_C18</vt:lpstr>
      <vt:lpstr>NDS_C20</vt:lpstr>
      <vt:lpstr>NDS_C22</vt:lpstr>
      <vt:lpstr>NDS_C24</vt:lpstr>
      <vt:lpstr>NDS_C25</vt:lpstr>
      <vt:lpstr>NDS_C26</vt:lpstr>
      <vt:lpstr>NDS_C28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주경미/분석인증 Lab/KYUNGMI JOO</cp:lastModifiedBy>
  <dcterms:created xsi:type="dcterms:W3CDTF">2024-02-16T04:24:37Z</dcterms:created>
  <dcterms:modified xsi:type="dcterms:W3CDTF">2026-03-30T06:27:12Z</dcterms:modified>
</cp:coreProperties>
</file>